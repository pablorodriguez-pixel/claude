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2"/>
  <workbookPr/>
  <mc:AlternateContent xmlns:mc="http://schemas.openxmlformats.org/markup-compatibility/2006">
    <mc:Choice Requires="x15">
      <x15ac:absPath xmlns:x15ac="http://schemas.microsoft.com/office/spreadsheetml/2010/11/ac" url="/Users/pablorodriguez/Downloads/"/>
    </mc:Choice>
  </mc:AlternateContent>
  <xr:revisionPtr revIDLastSave="0" documentId="8_{FB1A64A3-2FFB-764C-8F93-4637DAB03BB4}" xr6:coauthVersionLast="47" xr6:coauthVersionMax="47" xr10:uidLastSave="{00000000-0000-0000-0000-000000000000}"/>
  <bookViews>
    <workbookView xWindow="0" yWindow="680" windowWidth="34200" windowHeight="21460" firstSheet="1" activeTab="9" xr2:uid="{00000000-000D-0000-FFFF-FFFF00000000}"/>
  </bookViews>
  <sheets>
    <sheet name="Instrucciones" sheetId="1" r:id="rId1"/>
    <sheet name="Calendario Octubre 2026" sheetId="2" r:id="rId2"/>
    <sheet name="Cobertura por día" sheetId="3" r:id="rId3"/>
    <sheet name="Resumen de guardias" sheetId="4" r:id="rId4"/>
    <sheet name="Mapa de bloqueos" sheetId="5" r:id="rId5"/>
    <sheet name="Validación H-01 a H-18" sheetId="6" r:id="rId6"/>
    <sheet name="Bloqueos y vacaciones" sheetId="9" r:id="rId7"/>
    <sheet name="Preguntas pendientes (Q)" sheetId="7" r:id="rId8"/>
    <sheet name="Plantilla y elegibilidad" sheetId="8" r:id="rId9"/>
    <sheet name="Reglas (resumen)" sheetId="10" r:id="rId10"/>
    <sheet name="ListaValida" sheetId="11" state="hidden" r:id="rId1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6" i="6" l="1"/>
  <c r="C36" i="6"/>
  <c r="T27" i="4"/>
  <c r="S27" i="4"/>
  <c r="R27" i="4"/>
  <c r="Q27" i="4"/>
  <c r="P27" i="4"/>
  <c r="O27" i="4"/>
  <c r="N27" i="4"/>
  <c r="M27" i="4"/>
  <c r="K27" i="4"/>
  <c r="J27" i="4"/>
  <c r="I27" i="4"/>
  <c r="H27" i="4"/>
  <c r="L27" i="4" s="1"/>
  <c r="T26" i="4"/>
  <c r="S26" i="4"/>
  <c r="R26" i="4"/>
  <c r="Q26" i="4"/>
  <c r="P26" i="4"/>
  <c r="O26" i="4"/>
  <c r="N26" i="4"/>
  <c r="M26" i="4"/>
  <c r="K26" i="4"/>
  <c r="J26" i="4"/>
  <c r="I26" i="4"/>
  <c r="H26" i="4"/>
  <c r="L26" i="4" s="1"/>
  <c r="T25" i="4"/>
  <c r="S25" i="4"/>
  <c r="R25" i="4"/>
  <c r="Q25" i="4"/>
  <c r="P25" i="4"/>
  <c r="O25" i="4"/>
  <c r="N25" i="4"/>
  <c r="M25" i="4"/>
  <c r="K25" i="4"/>
  <c r="J25" i="4"/>
  <c r="I25" i="4"/>
  <c r="H25" i="4"/>
  <c r="L25" i="4" s="1"/>
  <c r="T24" i="4"/>
  <c r="S24" i="4"/>
  <c r="R24" i="4"/>
  <c r="Q24" i="4"/>
  <c r="P24" i="4"/>
  <c r="O24" i="4"/>
  <c r="N24" i="4"/>
  <c r="M24" i="4"/>
  <c r="K24" i="4"/>
  <c r="J24" i="4"/>
  <c r="I24" i="4"/>
  <c r="H24" i="4"/>
  <c r="L24" i="4" s="1"/>
  <c r="T23" i="4"/>
  <c r="S23" i="4"/>
  <c r="R23" i="4"/>
  <c r="Q23" i="4"/>
  <c r="P23" i="4"/>
  <c r="O23" i="4"/>
  <c r="N23" i="4"/>
  <c r="M23" i="4"/>
  <c r="K23" i="4"/>
  <c r="J23" i="4"/>
  <c r="I23" i="4"/>
  <c r="H23" i="4"/>
  <c r="T22" i="4"/>
  <c r="S22" i="4"/>
  <c r="R22" i="4"/>
  <c r="Q22" i="4"/>
  <c r="P22" i="4"/>
  <c r="O22" i="4"/>
  <c r="N22" i="4"/>
  <c r="M22" i="4"/>
  <c r="K22" i="4"/>
  <c r="J22" i="4"/>
  <c r="I22" i="4"/>
  <c r="H22" i="4"/>
  <c r="L22" i="4" s="1"/>
  <c r="T21" i="4"/>
  <c r="S21" i="4"/>
  <c r="R21" i="4"/>
  <c r="Q21" i="4"/>
  <c r="P21" i="4"/>
  <c r="O21" i="4"/>
  <c r="N21" i="4"/>
  <c r="M21" i="4"/>
  <c r="K21" i="4"/>
  <c r="J21" i="4"/>
  <c r="I21" i="4"/>
  <c r="H21" i="4"/>
  <c r="L21" i="4" s="1"/>
  <c r="T20" i="4"/>
  <c r="S20" i="4"/>
  <c r="R20" i="4"/>
  <c r="Q20" i="4"/>
  <c r="P20" i="4"/>
  <c r="O20" i="4"/>
  <c r="N20" i="4"/>
  <c r="M20" i="4"/>
  <c r="K20" i="4"/>
  <c r="J20" i="4"/>
  <c r="I20" i="4"/>
  <c r="H20" i="4"/>
  <c r="T19" i="4"/>
  <c r="S19" i="4"/>
  <c r="R19" i="4"/>
  <c r="Q19" i="4"/>
  <c r="P19" i="4"/>
  <c r="O19" i="4"/>
  <c r="N19" i="4"/>
  <c r="M19" i="4"/>
  <c r="K19" i="4"/>
  <c r="J19" i="4"/>
  <c r="I19" i="4"/>
  <c r="H19" i="4"/>
  <c r="L19" i="4" s="1"/>
  <c r="T18" i="4"/>
  <c r="S18" i="4"/>
  <c r="R18" i="4"/>
  <c r="Q18" i="4"/>
  <c r="P18" i="4"/>
  <c r="O18" i="4"/>
  <c r="N18" i="4"/>
  <c r="M18" i="4"/>
  <c r="K18" i="4"/>
  <c r="J18" i="4"/>
  <c r="I18" i="4"/>
  <c r="H18" i="4"/>
  <c r="T17" i="4"/>
  <c r="S17" i="4"/>
  <c r="R17" i="4"/>
  <c r="Q17" i="4"/>
  <c r="P17" i="4"/>
  <c r="O17" i="4"/>
  <c r="N17" i="4"/>
  <c r="M17" i="4"/>
  <c r="K17" i="4"/>
  <c r="J17" i="4"/>
  <c r="I17" i="4"/>
  <c r="H17" i="4"/>
  <c r="L17" i="4" s="1"/>
  <c r="T16" i="4"/>
  <c r="S16" i="4"/>
  <c r="R16" i="4"/>
  <c r="Q16" i="4"/>
  <c r="P16" i="4"/>
  <c r="O16" i="4"/>
  <c r="N16" i="4"/>
  <c r="M16" i="4"/>
  <c r="K16" i="4"/>
  <c r="J16" i="4"/>
  <c r="I16" i="4"/>
  <c r="H16" i="4"/>
  <c r="L16" i="4" s="1"/>
  <c r="T15" i="4"/>
  <c r="S15" i="4"/>
  <c r="R15" i="4"/>
  <c r="Q15" i="4"/>
  <c r="P15" i="4"/>
  <c r="O15" i="4"/>
  <c r="N15" i="4"/>
  <c r="M15" i="4"/>
  <c r="K15" i="4"/>
  <c r="J15" i="4"/>
  <c r="I15" i="4"/>
  <c r="H15" i="4"/>
  <c r="L15" i="4" s="1"/>
  <c r="T14" i="4"/>
  <c r="S14" i="4"/>
  <c r="R14" i="4"/>
  <c r="Q14" i="4"/>
  <c r="P14" i="4"/>
  <c r="O14" i="4"/>
  <c r="N14" i="4"/>
  <c r="M14" i="4"/>
  <c r="K14" i="4"/>
  <c r="J14" i="4"/>
  <c r="I14" i="4"/>
  <c r="H14" i="4"/>
  <c r="L14" i="4" s="1"/>
  <c r="T13" i="4"/>
  <c r="S13" i="4"/>
  <c r="R13" i="4"/>
  <c r="Q13" i="4"/>
  <c r="P13" i="4"/>
  <c r="O13" i="4"/>
  <c r="N13" i="4"/>
  <c r="M13" i="4"/>
  <c r="K13" i="4"/>
  <c r="J13" i="4"/>
  <c r="I13" i="4"/>
  <c r="H13" i="4"/>
  <c r="L13" i="4" s="1"/>
  <c r="T12" i="4"/>
  <c r="S12" i="4"/>
  <c r="R12" i="4"/>
  <c r="Q12" i="4"/>
  <c r="P12" i="4"/>
  <c r="O12" i="4"/>
  <c r="N12" i="4"/>
  <c r="M12" i="4"/>
  <c r="K12" i="4"/>
  <c r="J12" i="4"/>
  <c r="I12" i="4"/>
  <c r="H12" i="4"/>
  <c r="T11" i="4"/>
  <c r="S11" i="4"/>
  <c r="R11" i="4"/>
  <c r="Q11" i="4"/>
  <c r="P11" i="4"/>
  <c r="O11" i="4"/>
  <c r="N11" i="4"/>
  <c r="M11" i="4"/>
  <c r="K11" i="4"/>
  <c r="J11" i="4"/>
  <c r="I11" i="4"/>
  <c r="H11" i="4"/>
  <c r="T10" i="4"/>
  <c r="S10" i="4"/>
  <c r="R10" i="4"/>
  <c r="Q10" i="4"/>
  <c r="P10" i="4"/>
  <c r="O10" i="4"/>
  <c r="N10" i="4"/>
  <c r="M10" i="4"/>
  <c r="K10" i="4"/>
  <c r="J10" i="4"/>
  <c r="I10" i="4"/>
  <c r="H10" i="4"/>
  <c r="T9" i="4"/>
  <c r="S9" i="4"/>
  <c r="R9" i="4"/>
  <c r="Q9" i="4"/>
  <c r="P9" i="4"/>
  <c r="O9" i="4"/>
  <c r="N9" i="4"/>
  <c r="M9" i="4"/>
  <c r="K9" i="4"/>
  <c r="J9" i="4"/>
  <c r="I9" i="4"/>
  <c r="H9" i="4"/>
  <c r="L9" i="4" s="1"/>
  <c r="T8" i="4"/>
  <c r="S8" i="4"/>
  <c r="R8" i="4"/>
  <c r="Q8" i="4"/>
  <c r="P8" i="4"/>
  <c r="O8" i="4"/>
  <c r="N8" i="4"/>
  <c r="M8" i="4"/>
  <c r="K8" i="4"/>
  <c r="J8" i="4"/>
  <c r="I8" i="4"/>
  <c r="H8" i="4"/>
  <c r="L8" i="4" s="1"/>
  <c r="T7" i="4"/>
  <c r="S7" i="4"/>
  <c r="R7" i="4"/>
  <c r="Q7" i="4"/>
  <c r="P7" i="4"/>
  <c r="O7" i="4"/>
  <c r="N7" i="4"/>
  <c r="M7" i="4"/>
  <c r="K7" i="4"/>
  <c r="J7" i="4"/>
  <c r="I7" i="4"/>
  <c r="H7" i="4"/>
  <c r="L7" i="4" s="1"/>
  <c r="T6" i="4"/>
  <c r="S6" i="4"/>
  <c r="R6" i="4"/>
  <c r="Q6" i="4"/>
  <c r="P6" i="4"/>
  <c r="O6" i="4"/>
  <c r="N6" i="4"/>
  <c r="M6" i="4"/>
  <c r="K6" i="4"/>
  <c r="J6" i="4"/>
  <c r="I6" i="4"/>
  <c r="H6" i="4"/>
  <c r="L6" i="4" s="1"/>
  <c r="T5" i="4"/>
  <c r="S5" i="4"/>
  <c r="R5" i="4"/>
  <c r="Q5" i="4"/>
  <c r="P5" i="4"/>
  <c r="O5" i="4"/>
  <c r="N5" i="4"/>
  <c r="M5" i="4"/>
  <c r="K5" i="4"/>
  <c r="J5" i="4"/>
  <c r="I5" i="4"/>
  <c r="H5" i="4"/>
  <c r="L5" i="4" s="1"/>
  <c r="T4" i="4"/>
  <c r="S4" i="4"/>
  <c r="R4" i="4"/>
  <c r="Q4" i="4"/>
  <c r="P4" i="4"/>
  <c r="O4" i="4"/>
  <c r="N4" i="4"/>
  <c r="M4" i="4"/>
  <c r="K4" i="4"/>
  <c r="J4" i="4"/>
  <c r="I4" i="4"/>
  <c r="H4" i="4"/>
  <c r="T3" i="4"/>
  <c r="T28" i="4" s="1"/>
  <c r="S3" i="4"/>
  <c r="S28" i="4" s="1"/>
  <c r="R3" i="4"/>
  <c r="R28" i="4" s="1"/>
  <c r="Q3" i="4"/>
  <c r="P3" i="4"/>
  <c r="O3" i="4"/>
  <c r="N3" i="4"/>
  <c r="N28" i="4" s="1"/>
  <c r="M3" i="4"/>
  <c r="K3" i="4"/>
  <c r="J3" i="4"/>
  <c r="I3" i="4"/>
  <c r="I28" i="4" s="1"/>
  <c r="H3" i="4"/>
  <c r="AC24" i="3"/>
  <c r="AB24" i="3"/>
  <c r="U24" i="3"/>
  <c r="T24" i="3"/>
  <c r="M24" i="3"/>
  <c r="L24" i="3"/>
  <c r="E24" i="3"/>
  <c r="D24" i="3"/>
  <c r="AE23" i="3"/>
  <c r="AD23" i="3"/>
  <c r="W23" i="3"/>
  <c r="V23" i="3"/>
  <c r="O23" i="3"/>
  <c r="N23" i="3"/>
  <c r="G23" i="3"/>
  <c r="F23" i="3"/>
  <c r="AG22" i="3"/>
  <c r="AF22" i="3"/>
  <c r="Y22" i="3"/>
  <c r="X22" i="3"/>
  <c r="Q22" i="3"/>
  <c r="P22" i="3"/>
  <c r="I22" i="3"/>
  <c r="H22" i="3"/>
  <c r="AI21" i="3"/>
  <c r="AI25" i="3" s="1"/>
  <c r="AH21" i="3"/>
  <c r="AH25" i="3" s="1"/>
  <c r="AA21" i="3"/>
  <c r="Z21" i="3"/>
  <c r="S21" i="3"/>
  <c r="R21" i="3"/>
  <c r="R25" i="3" s="1"/>
  <c r="K21" i="3"/>
  <c r="K25" i="3" s="1"/>
  <c r="J21" i="3"/>
  <c r="J25" i="3" s="1"/>
  <c r="C21" i="3"/>
  <c r="C25" i="3" s="1"/>
  <c r="M17" i="3"/>
  <c r="L17" i="3"/>
  <c r="E17" i="3"/>
  <c r="D17" i="3"/>
  <c r="AI16" i="3"/>
  <c r="AI24" i="3" s="1"/>
  <c r="AH16" i="3"/>
  <c r="AH24" i="3" s="1"/>
  <c r="AG16" i="3"/>
  <c r="AG24" i="3" s="1"/>
  <c r="AF16" i="3"/>
  <c r="AF24" i="3" s="1"/>
  <c r="AE16" i="3"/>
  <c r="AE24" i="3" s="1"/>
  <c r="AD16" i="3"/>
  <c r="AD24" i="3" s="1"/>
  <c r="AC16" i="3"/>
  <c r="AB16" i="3"/>
  <c r="AA16" i="3"/>
  <c r="AA24" i="3" s="1"/>
  <c r="Z16" i="3"/>
  <c r="Z24" i="3" s="1"/>
  <c r="Y16" i="3"/>
  <c r="Y24" i="3" s="1"/>
  <c r="X16" i="3"/>
  <c r="X24" i="3" s="1"/>
  <c r="W16" i="3"/>
  <c r="W24" i="3" s="1"/>
  <c r="V16" i="3"/>
  <c r="V24" i="3" s="1"/>
  <c r="U16" i="3"/>
  <c r="T16" i="3"/>
  <c r="S16" i="3"/>
  <c r="S24" i="3" s="1"/>
  <c r="R16" i="3"/>
  <c r="R24" i="3" s="1"/>
  <c r="Q16" i="3"/>
  <c r="Q24" i="3" s="1"/>
  <c r="P16" i="3"/>
  <c r="P24" i="3" s="1"/>
  <c r="O16" i="3"/>
  <c r="O24" i="3" s="1"/>
  <c r="N16" i="3"/>
  <c r="N24" i="3" s="1"/>
  <c r="M16" i="3"/>
  <c r="L16" i="3"/>
  <c r="K16" i="3"/>
  <c r="K24" i="3" s="1"/>
  <c r="J16" i="3"/>
  <c r="J24" i="3" s="1"/>
  <c r="I16" i="3"/>
  <c r="I24" i="3" s="1"/>
  <c r="H16" i="3"/>
  <c r="H24" i="3" s="1"/>
  <c r="G16" i="3"/>
  <c r="G24" i="3" s="1"/>
  <c r="F16" i="3"/>
  <c r="E16" i="3"/>
  <c r="D16" i="3"/>
  <c r="C16" i="3"/>
  <c r="C24" i="3" s="1"/>
  <c r="AI15" i="3"/>
  <c r="AI23" i="3" s="1"/>
  <c r="AH15" i="3"/>
  <c r="AH23" i="3" s="1"/>
  <c r="AG15" i="3"/>
  <c r="AG23" i="3" s="1"/>
  <c r="AF15" i="3"/>
  <c r="AF23" i="3" s="1"/>
  <c r="AE15" i="3"/>
  <c r="AD15" i="3"/>
  <c r="AC15" i="3"/>
  <c r="AC23" i="3" s="1"/>
  <c r="AB15" i="3"/>
  <c r="AB23" i="3" s="1"/>
  <c r="AA15" i="3"/>
  <c r="AA23" i="3" s="1"/>
  <c r="Z15" i="3"/>
  <c r="Z23" i="3" s="1"/>
  <c r="Y15" i="3"/>
  <c r="Y23" i="3" s="1"/>
  <c r="X15" i="3"/>
  <c r="X23" i="3" s="1"/>
  <c r="W15" i="3"/>
  <c r="V15" i="3"/>
  <c r="U15" i="3"/>
  <c r="U23" i="3" s="1"/>
  <c r="T15" i="3"/>
  <c r="T23" i="3" s="1"/>
  <c r="S15" i="3"/>
  <c r="S23" i="3" s="1"/>
  <c r="R15" i="3"/>
  <c r="R23" i="3" s="1"/>
  <c r="Q15" i="3"/>
  <c r="Q23" i="3" s="1"/>
  <c r="P15" i="3"/>
  <c r="P23" i="3" s="1"/>
  <c r="O15" i="3"/>
  <c r="N15" i="3"/>
  <c r="M15" i="3"/>
  <c r="M23" i="3" s="1"/>
  <c r="L15" i="3"/>
  <c r="L23" i="3" s="1"/>
  <c r="K15" i="3"/>
  <c r="K23" i="3" s="1"/>
  <c r="J15" i="3"/>
  <c r="J23" i="3" s="1"/>
  <c r="I15" i="3"/>
  <c r="I23" i="3" s="1"/>
  <c r="H15" i="3"/>
  <c r="H23" i="3" s="1"/>
  <c r="G15" i="3"/>
  <c r="F15" i="3"/>
  <c r="E15" i="3"/>
  <c r="E23" i="3" s="1"/>
  <c r="D15" i="3"/>
  <c r="D23" i="3" s="1"/>
  <c r="C15" i="3"/>
  <c r="C23" i="3" s="1"/>
  <c r="AI14" i="3"/>
  <c r="AI22" i="3" s="1"/>
  <c r="AH14" i="3"/>
  <c r="AH22" i="3" s="1"/>
  <c r="AG14" i="3"/>
  <c r="AF14" i="3"/>
  <c r="AE14" i="3"/>
  <c r="AE22" i="3" s="1"/>
  <c r="AD14" i="3"/>
  <c r="AD22" i="3" s="1"/>
  <c r="AC14" i="3"/>
  <c r="AC22" i="3" s="1"/>
  <c r="AB14" i="3"/>
  <c r="AB22" i="3" s="1"/>
  <c r="AA14" i="3"/>
  <c r="AA22" i="3" s="1"/>
  <c r="Z14" i="3"/>
  <c r="Z22" i="3" s="1"/>
  <c r="Z25" i="3" s="1"/>
  <c r="Y14" i="3"/>
  <c r="X14" i="3"/>
  <c r="W14" i="3"/>
  <c r="W22" i="3" s="1"/>
  <c r="V14" i="3"/>
  <c r="V22" i="3" s="1"/>
  <c r="U14" i="3"/>
  <c r="U22" i="3" s="1"/>
  <c r="T14" i="3"/>
  <c r="T22" i="3" s="1"/>
  <c r="S14" i="3"/>
  <c r="S22" i="3" s="1"/>
  <c r="R14" i="3"/>
  <c r="R22" i="3" s="1"/>
  <c r="Q14" i="3"/>
  <c r="P14" i="3"/>
  <c r="O14" i="3"/>
  <c r="O22" i="3" s="1"/>
  <c r="N14" i="3"/>
  <c r="N22" i="3" s="1"/>
  <c r="M14" i="3"/>
  <c r="M22" i="3" s="1"/>
  <c r="L14" i="3"/>
  <c r="L22" i="3" s="1"/>
  <c r="K14" i="3"/>
  <c r="K22" i="3" s="1"/>
  <c r="J14" i="3"/>
  <c r="J22" i="3" s="1"/>
  <c r="I14" i="3"/>
  <c r="H14" i="3"/>
  <c r="G14" i="3"/>
  <c r="G22" i="3" s="1"/>
  <c r="F14" i="3"/>
  <c r="F22" i="3" s="1"/>
  <c r="E14" i="3"/>
  <c r="E22" i="3" s="1"/>
  <c r="D14" i="3"/>
  <c r="D22" i="3" s="1"/>
  <c r="C14" i="3"/>
  <c r="C22" i="3" s="1"/>
  <c r="B14" i="3"/>
  <c r="AI13" i="3"/>
  <c r="AI17" i="3" s="1"/>
  <c r="AH13" i="3"/>
  <c r="AH17" i="3" s="1"/>
  <c r="AG13" i="3"/>
  <c r="AG17" i="3" s="1"/>
  <c r="AF13" i="3"/>
  <c r="AF21" i="3" s="1"/>
  <c r="AF25" i="3" s="1"/>
  <c r="AE13" i="3"/>
  <c r="AE21" i="3" s="1"/>
  <c r="AD13" i="3"/>
  <c r="AC13" i="3"/>
  <c r="AC21" i="3" s="1"/>
  <c r="AB13" i="3"/>
  <c r="AB21" i="3" s="1"/>
  <c r="AA13" i="3"/>
  <c r="AA17" i="3" s="1"/>
  <c r="Z13" i="3"/>
  <c r="Z17" i="3" s="1"/>
  <c r="Y13" i="3"/>
  <c r="Y17" i="3" s="1"/>
  <c r="X13" i="3"/>
  <c r="X21" i="3" s="1"/>
  <c r="X25" i="3" s="1"/>
  <c r="W13" i="3"/>
  <c r="W21" i="3" s="1"/>
  <c r="V13" i="3"/>
  <c r="U13" i="3"/>
  <c r="U21" i="3" s="1"/>
  <c r="T13" i="3"/>
  <c r="T21" i="3" s="1"/>
  <c r="T25" i="3" s="1"/>
  <c r="S13" i="3"/>
  <c r="S17" i="3" s="1"/>
  <c r="R13" i="3"/>
  <c r="R17" i="3" s="1"/>
  <c r="Q13" i="3"/>
  <c r="Q17" i="3" s="1"/>
  <c r="P13" i="3"/>
  <c r="P21" i="3" s="1"/>
  <c r="P25" i="3" s="1"/>
  <c r="O13" i="3"/>
  <c r="O21" i="3" s="1"/>
  <c r="N13" i="3"/>
  <c r="M13" i="3"/>
  <c r="M21" i="3" s="1"/>
  <c r="L13" i="3"/>
  <c r="L21" i="3" s="1"/>
  <c r="L25" i="3" s="1"/>
  <c r="K13" i="3"/>
  <c r="K17" i="3" s="1"/>
  <c r="J13" i="3"/>
  <c r="J17" i="3" s="1"/>
  <c r="I13" i="3"/>
  <c r="I17" i="3" s="1"/>
  <c r="H13" i="3"/>
  <c r="H21" i="3" s="1"/>
  <c r="H25" i="3" s="1"/>
  <c r="G13" i="3"/>
  <c r="G21" i="3" s="1"/>
  <c r="F13" i="3"/>
  <c r="E13" i="3"/>
  <c r="E21" i="3" s="1"/>
  <c r="D13" i="3"/>
  <c r="C13" i="3"/>
  <c r="C17" i="3" s="1"/>
  <c r="AI9" i="3"/>
  <c r="AH9" i="3"/>
  <c r="AG9" i="3"/>
  <c r="AF9" i="3"/>
  <c r="AE9" i="3"/>
  <c r="AD9" i="3"/>
  <c r="AC9" i="3"/>
  <c r="AB9" i="3"/>
  <c r="AA9" i="3"/>
  <c r="Z9" i="3"/>
  <c r="Y9" i="3"/>
  <c r="X9" i="3"/>
  <c r="W9" i="3"/>
  <c r="V9" i="3"/>
  <c r="U9" i="3"/>
  <c r="T9" i="3"/>
  <c r="S9" i="3"/>
  <c r="R9" i="3"/>
  <c r="Q9" i="3"/>
  <c r="P9" i="3"/>
  <c r="O9" i="3"/>
  <c r="N9" i="3"/>
  <c r="M9" i="3"/>
  <c r="L9" i="3"/>
  <c r="K9" i="3"/>
  <c r="J9" i="3"/>
  <c r="I9" i="3"/>
  <c r="H9" i="3"/>
  <c r="G9" i="3"/>
  <c r="F9" i="3"/>
  <c r="B9" i="3" s="1"/>
  <c r="E9" i="3"/>
  <c r="D9" i="3"/>
  <c r="C9" i="3"/>
  <c r="B8" i="3"/>
  <c r="B7" i="3"/>
  <c r="B6" i="3"/>
  <c r="B5" i="3"/>
  <c r="L4" i="4" l="1"/>
  <c r="L10" i="4"/>
  <c r="L11" i="4"/>
  <c r="L12" i="4"/>
  <c r="L18" i="4"/>
  <c r="L20" i="4"/>
  <c r="L23" i="4"/>
  <c r="M28" i="4"/>
  <c r="E25" i="3"/>
  <c r="AC25" i="3"/>
  <c r="U17" i="3"/>
  <c r="O28" i="4"/>
  <c r="D21" i="3"/>
  <c r="B13" i="3"/>
  <c r="AB25" i="3"/>
  <c r="T17" i="3"/>
  <c r="U25" i="3"/>
  <c r="F17" i="3"/>
  <c r="B17" i="3" s="1"/>
  <c r="N17" i="3"/>
  <c r="V17" i="3"/>
  <c r="AD17" i="3"/>
  <c r="B23" i="3"/>
  <c r="AB17" i="3"/>
  <c r="P28" i="4"/>
  <c r="J28" i="4"/>
  <c r="F24" i="3"/>
  <c r="B16" i="3"/>
  <c r="K28" i="4"/>
  <c r="M25" i="3"/>
  <c r="B22" i="3"/>
  <c r="S25" i="3"/>
  <c r="G25" i="3"/>
  <c r="O25" i="3"/>
  <c r="W25" i="3"/>
  <c r="AE25" i="3"/>
  <c r="B24" i="3"/>
  <c r="AC17" i="3"/>
  <c r="AA25" i="3"/>
  <c r="H28" i="4"/>
  <c r="Q28" i="4"/>
  <c r="H17" i="3"/>
  <c r="P17" i="3"/>
  <c r="X17" i="3"/>
  <c r="AF17" i="3"/>
  <c r="F21" i="3"/>
  <c r="F25" i="3" s="1"/>
  <c r="N21" i="3"/>
  <c r="N25" i="3" s="1"/>
  <c r="V21" i="3"/>
  <c r="V25" i="3" s="1"/>
  <c r="AD21" i="3"/>
  <c r="AD25" i="3" s="1"/>
  <c r="O17" i="3"/>
  <c r="W17" i="3"/>
  <c r="AE17" i="3"/>
  <c r="L3" i="4"/>
  <c r="L28" i="4" s="1"/>
  <c r="I21" i="3"/>
  <c r="I25" i="3" s="1"/>
  <c r="Q21" i="3"/>
  <c r="Q25" i="3" s="1"/>
  <c r="Y21" i="3"/>
  <c r="Y25" i="3" s="1"/>
  <c r="AG21" i="3"/>
  <c r="AG25" i="3" s="1"/>
  <c r="B15" i="3"/>
  <c r="G17" i="3"/>
  <c r="D25" i="3" l="1"/>
  <c r="B25" i="3" s="1"/>
  <c r="B21"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fuente-verdad-guardias-anestesia.md</author>
    <author>Bloqueos declarados</author>
  </authors>
  <commentList>
    <comment ref="G5" authorId="0" shapeId="0" xr:uid="{00000000-0006-0000-0100-000001000000}">
      <text>
        <r>
          <rPr>
            <sz val="11"/>
            <color theme="1"/>
            <rFont val="Calibri"/>
            <family val="2"/>
            <scheme val="minor"/>
          </rPr>
          <t>Ana R4 en turno externo (24(T2) CHA) — bloqueada H-10a; ver H-10b/c/d para TX y QX-M/QX-P adyacentes.</t>
        </r>
      </text>
    </comment>
    <comment ref="M5" authorId="0" shapeId="0" xr:uid="{00000000-0006-0000-0100-000002000000}">
      <text>
        <r>
          <rPr>
            <sz val="11"/>
            <color theme="1"/>
            <rFont val="Calibri"/>
            <family val="2"/>
            <scheme val="minor"/>
          </rPr>
          <t>Ana R4 en turno externo (MT SVA) — bloqueada H-10a; ver H-10b/c/d para TX y QX-M/QX-P adyacentes.</t>
        </r>
      </text>
    </comment>
    <comment ref="G12" authorId="1" shapeId="0" xr:uid="{00000000-0006-0000-0100-000003000000}">
      <text>
        <r>
          <rPr>
            <sz val="11"/>
            <color theme="1"/>
            <rFont val="Calibri"/>
            <family val="2"/>
            <scheme val="minor"/>
          </rPr>
          <t>No disponibles el 1 oct (3):
- Ana R4 (Gaudioso) [R4-03] (trabajo externo 24(T2) CHA)
- Emilio [R2-05]
- Eva [R2-04]</t>
        </r>
      </text>
    </comment>
    <comment ref="I12" authorId="1" shapeId="0" xr:uid="{00000000-0006-0000-0100-000004000000}">
      <text>
        <r>
          <rPr>
            <sz val="11"/>
            <color theme="1"/>
            <rFont val="Calibri"/>
            <family val="2"/>
            <scheme val="minor"/>
          </rPr>
          <t>No disponibles el 2 oct (7):
- Aitor [R1-07]
- Almudena [R4-02]
- Carlota [R4-01] (si se puede)
- Cristina [R1-02]
- Eva [R2-04]
- Mercedes [R1-05]
- Rosario [R1-01]</t>
        </r>
      </text>
    </comment>
    <comment ref="K12" authorId="1" shapeId="0" xr:uid="{00000000-0006-0000-0100-000005000000}">
      <text>
        <r>
          <rPr>
            <sz val="11"/>
            <color theme="1"/>
            <rFont val="Calibri"/>
            <family val="2"/>
            <scheme val="minor"/>
          </rPr>
          <t>No disponibles el 3 oct (8):
- Aitor [R1-07]
- Almudena [R4-02]
- Ana R2 [R2-07]
- Carlota [R4-01] (si se puede)
- Cristina [R1-02]
- Eva [R2-04]
- Mercedes [R1-05]
- Rosario [R1-01]</t>
        </r>
      </text>
    </comment>
    <comment ref="M12" authorId="1" shapeId="0" xr:uid="{00000000-0006-0000-0100-000006000000}">
      <text>
        <r>
          <rPr>
            <sz val="11"/>
            <color theme="1"/>
            <rFont val="Calibri"/>
            <family val="2"/>
            <scheme val="minor"/>
          </rPr>
          <t>No disponibles el 4 oct (10):
- Aitor [R1-07]
- Almudena [R4-02]
- Ana R2 [R2-07]
- Ana R4 (Gaudioso) [R4-03] (trabajo externo MT SVA)
- Carlota [R4-01] (si se puede)
- Cristina [R1-02]
- Eva [R2-04]
- Isa [R4-05]
- Mercedes [R1-05]
- Rosario [R1-01]</t>
        </r>
      </text>
    </comment>
    <comment ref="E14" authorId="0" shapeId="0" xr:uid="{00000000-0006-0000-0100-000007000000}">
      <text>
        <r>
          <rPr>
            <sz val="11"/>
            <color theme="1"/>
            <rFont val="Calibri"/>
            <family val="2"/>
            <scheme val="minor"/>
          </rPr>
          <t>Ana R4 en turno externo (24(T2) CHA) — bloqueada H-10a; ver H-10b/c/d para TX y QX-M/QX-P adyacentes.</t>
        </r>
      </text>
    </comment>
    <comment ref="K14" authorId="0" shapeId="0" xr:uid="{00000000-0006-0000-0100-000008000000}">
      <text>
        <r>
          <rPr>
            <sz val="11"/>
            <color theme="1"/>
            <rFont val="Calibri"/>
            <family val="2"/>
            <scheme val="minor"/>
          </rPr>
          <t>Ana R4 en turno externo (MT SVA) — bloqueada H-10a; ver H-10b/c/d para TX y QX-M/QX-P adyacentes.</t>
        </r>
      </text>
    </comment>
    <comment ref="A21" authorId="1" shapeId="0" xr:uid="{00000000-0006-0000-0100-000009000000}">
      <text>
        <r>
          <rPr>
            <sz val="11"/>
            <color theme="1"/>
            <rFont val="Calibri"/>
            <family val="2"/>
            <scheme val="minor"/>
          </rPr>
          <t>No disponibles el 5 oct (1):
- Eva [R2-04]</t>
        </r>
      </text>
    </comment>
    <comment ref="C21" authorId="1" shapeId="0" xr:uid="{00000000-0006-0000-0100-00000A000000}">
      <text>
        <r>
          <rPr>
            <sz val="11"/>
            <color theme="1"/>
            <rFont val="Calibri"/>
            <family val="2"/>
            <scheme val="minor"/>
          </rPr>
          <t>No disponibles el 6 oct (1):
- Eva [R2-04]</t>
        </r>
      </text>
    </comment>
    <comment ref="E21" authorId="1" shapeId="0" xr:uid="{00000000-0006-0000-0100-00000B000000}">
      <text>
        <r>
          <rPr>
            <sz val="11"/>
            <color theme="1"/>
            <rFont val="Calibri"/>
            <family val="2"/>
            <scheme val="minor"/>
          </rPr>
          <t>No disponibles el 7 oct (2):
- Ana R4 (Gaudioso) [R4-03] (trabajo externo 24(T2) CHA)
- Eva [R2-04]</t>
        </r>
      </text>
    </comment>
    <comment ref="G21" authorId="1" shapeId="0" xr:uid="{00000000-0006-0000-0100-00000C000000}">
      <text>
        <r>
          <rPr>
            <sz val="11"/>
            <color theme="1"/>
            <rFont val="Calibri"/>
            <family val="2"/>
            <scheme val="minor"/>
          </rPr>
          <t>No disponibles el 8 oct (4):
- Asis [R2-02]
- Candela [R3-02]
- Eva [R2-04]
- Patricia R3 [R3-01]</t>
        </r>
      </text>
    </comment>
    <comment ref="I21" authorId="1" shapeId="0" xr:uid="{00000000-0006-0000-0100-00000D000000}">
      <text>
        <r>
          <rPr>
            <sz val="11"/>
            <color theme="1"/>
            <rFont val="Calibri"/>
            <family val="2"/>
            <scheme val="minor"/>
          </rPr>
          <t>No disponibles el 9 oct (7):
- Almudena [R4-02]
- Asis [R2-02]
- Candela [R3-02]
- Fatima [R1-08]
- Miriam [R1-03]
- Patricia R3 [R3-01]
- Tony [R3-04]</t>
        </r>
      </text>
    </comment>
    <comment ref="K21" authorId="1" shapeId="0" xr:uid="{00000000-0006-0000-0100-00000E000000}">
      <text>
        <r>
          <rPr>
            <sz val="11"/>
            <color theme="1"/>
            <rFont val="Calibri"/>
            <family val="2"/>
            <scheme val="minor"/>
          </rPr>
          <t>No disponibles el 10 oct (7):
- Almudena [R4-02]
- Ana R4 (Gaudioso) [R4-03] (trabajo externo MT SVA)
- Fatima [R1-08]
- Miriam [R1-03]
- Patricia R3 [R3-01]
- Tania [R2-01]
- Tony [R3-04]</t>
        </r>
      </text>
    </comment>
    <comment ref="M21" authorId="1" shapeId="0" xr:uid="{00000000-0006-0000-0100-00000F000000}">
      <text>
        <r>
          <rPr>
            <sz val="11"/>
            <color theme="1"/>
            <rFont val="Calibri"/>
            <family val="2"/>
            <scheme val="minor"/>
          </rPr>
          <t>No disponibles el 11 oct (6):
- Almudena [R4-02]
- Carlota [R4-01] (si se puede)
- Fatima [R1-08]
- Miriam [R1-03]
- Patricia R3 [R3-01]
- Tony [R3-04]</t>
        </r>
      </text>
    </comment>
    <comment ref="A23" authorId="0" shapeId="0" xr:uid="{00000000-0006-0000-0100-000010000000}">
      <text>
        <r>
          <rPr>
            <sz val="11"/>
            <color theme="1"/>
            <rFont val="Calibri"/>
            <family val="2"/>
            <scheme val="minor"/>
          </rPr>
          <t>Festivo: Fiesta Nacional (El Pilar)</t>
        </r>
      </text>
    </comment>
    <comment ref="C23" authorId="0" shapeId="0" xr:uid="{00000000-0006-0000-0100-000011000000}">
      <text>
        <r>
          <rPr>
            <sz val="11"/>
            <color theme="1"/>
            <rFont val="Calibri"/>
            <family val="2"/>
            <scheme val="minor"/>
          </rPr>
          <t>Ana R4 en turno externo (24(T2) CHA) — bloqueada H-10a; ver H-10b/c/d para TX y QX-M/QX-P adyacentes.</t>
        </r>
      </text>
    </comment>
    <comment ref="M23" authorId="0" shapeId="0" xr:uid="{00000000-0006-0000-0100-000012000000}">
      <text>
        <r>
          <rPr>
            <sz val="11"/>
            <color theme="1"/>
            <rFont val="Calibri"/>
            <family val="2"/>
            <scheme val="minor"/>
          </rPr>
          <t>Ana R4 en turno externo (MT SVA) — bloqueada H-10a; ver H-10b/c/d para TX y QX-M/QX-P adyacentes.</t>
        </r>
      </text>
    </comment>
    <comment ref="A30" authorId="1" shapeId="0" xr:uid="{00000000-0006-0000-0100-000013000000}">
      <text>
        <r>
          <rPr>
            <sz val="11"/>
            <color theme="1"/>
            <rFont val="Calibri"/>
            <family val="2"/>
            <scheme val="minor"/>
          </rPr>
          <t>No disponibles el 12 oct (1):
- Patricia R3 [R3-01]</t>
        </r>
      </text>
    </comment>
    <comment ref="C30" authorId="1" shapeId="0" xr:uid="{00000000-0006-0000-0100-000014000000}">
      <text>
        <r>
          <rPr>
            <sz val="11"/>
            <color theme="1"/>
            <rFont val="Calibri"/>
            <family val="2"/>
            <scheme val="minor"/>
          </rPr>
          <t>No disponibles el 13 oct (1):
- Ana R4 (Gaudioso) [R4-03] (trabajo externo 24(T2) CHA)</t>
        </r>
      </text>
    </comment>
    <comment ref="E30" authorId="1" shapeId="0" xr:uid="{00000000-0006-0000-0100-000015000000}">
      <text>
        <r>
          <rPr>
            <sz val="11"/>
            <color theme="1"/>
            <rFont val="Calibri"/>
            <family val="2"/>
            <scheme val="minor"/>
          </rPr>
          <t>No disponibles el 14 oct (1):
- Isa [R4-05]</t>
        </r>
      </text>
    </comment>
    <comment ref="G30" authorId="1" shapeId="0" xr:uid="{00000000-0006-0000-0100-000016000000}">
      <text>
        <r>
          <rPr>
            <sz val="11"/>
            <color theme="1"/>
            <rFont val="Calibri"/>
            <family val="2"/>
            <scheme val="minor"/>
          </rPr>
          <t>No disponibles el 15 oct (3):
- Almudena [R4-02]
- Antonio [R2-06]
- Isa [R4-05]</t>
        </r>
      </text>
    </comment>
    <comment ref="I30" authorId="1" shapeId="0" xr:uid="{00000000-0006-0000-0100-000017000000}">
      <text>
        <r>
          <rPr>
            <sz val="11"/>
            <color theme="1"/>
            <rFont val="Calibri"/>
            <family val="2"/>
            <scheme val="minor"/>
          </rPr>
          <t>No disponibles el 16 oct (4):
- Almudena [R4-02]
- Ana R4 (Gaudioso) [R4-03] (si se puede)
- Antonio [R2-06]
- Isa [R4-05]</t>
        </r>
      </text>
    </comment>
    <comment ref="K30" authorId="1" shapeId="0" xr:uid="{00000000-0006-0000-0100-000018000000}">
      <text>
        <r>
          <rPr>
            <sz val="11"/>
            <color theme="1"/>
            <rFont val="Calibri"/>
            <family val="2"/>
            <scheme val="minor"/>
          </rPr>
          <t>No disponibles el 17 oct (4):
- Almudena [R4-02]
- Ana R4 (Gaudioso) [R4-03] (si se puede)
- Antonio [R2-06]
- Isa [R4-05]</t>
        </r>
      </text>
    </comment>
    <comment ref="M30" authorId="1" shapeId="0" xr:uid="{00000000-0006-0000-0100-000019000000}">
      <text>
        <r>
          <rPr>
            <sz val="11"/>
            <color theme="1"/>
            <rFont val="Calibri"/>
            <family val="2"/>
            <scheme val="minor"/>
          </rPr>
          <t>No disponibles el 18 oct (4):
- Almudena [R4-02]
- Ana R4 (Gaudioso) [R4-03] (trabajo externo MT SVA)
- Antonio [R2-06]
- Isa [R4-05]</t>
        </r>
      </text>
    </comment>
    <comment ref="E32" authorId="0" shapeId="0" xr:uid="{00000000-0006-0000-0100-00001A000000}">
      <text>
        <r>
          <rPr>
            <sz val="11"/>
            <color theme="1"/>
            <rFont val="Calibri"/>
            <family val="2"/>
            <scheme val="minor"/>
          </rPr>
          <t>Ana R4 en turno externo (24(T2) CHA) — bloqueada H-10a; ver H-10b/c/d para TX y QX-M/QX-P adyacentes.</t>
        </r>
      </text>
    </comment>
    <comment ref="I32" authorId="0" shapeId="0" xr:uid="{00000000-0006-0000-0100-00001B000000}">
      <text>
        <r>
          <rPr>
            <sz val="11"/>
            <color theme="1"/>
            <rFont val="Calibri"/>
            <family val="2"/>
            <scheme val="minor"/>
          </rPr>
          <t>Congreso R1 (23-25 oct, H-18): los 8 R1 bloqueados. PEQ lo cubre íntegramente R2.</t>
        </r>
      </text>
    </comment>
    <comment ref="K32" authorId="0" shapeId="0" xr:uid="{00000000-0006-0000-0100-00001C000000}">
      <text>
        <r>
          <rPr>
            <sz val="11"/>
            <color theme="1"/>
            <rFont val="Calibri"/>
            <family val="2"/>
            <scheme val="minor"/>
          </rPr>
          <t>Congreso R1 (23-25 oct, H-18): los 8 R1 bloqueados. PEQ lo cubre íntegramente R2.</t>
        </r>
      </text>
    </comment>
    <comment ref="M32" authorId="0" shapeId="0" xr:uid="{00000000-0006-0000-0100-00001D000000}">
      <text>
        <r>
          <rPr>
            <sz val="11"/>
            <color theme="1"/>
            <rFont val="Calibri"/>
            <family val="2"/>
            <scheme val="minor"/>
          </rPr>
          <t>Ana R4 en turno externo (24(T2) CHA) — bloqueada H-10a; ver H-10b/c/d para TX y QX-M/QX-P adyacentes.
Congreso R1 (23-25 oct, H-18): los 8 R1 bloqueados. PEQ lo cubre íntegramente R2.</t>
        </r>
      </text>
    </comment>
    <comment ref="A39" authorId="1" shapeId="0" xr:uid="{00000000-0006-0000-0100-00001E000000}">
      <text>
        <r>
          <rPr>
            <sz val="11"/>
            <color theme="1"/>
            <rFont val="Calibri"/>
            <family val="2"/>
            <scheme val="minor"/>
          </rPr>
          <t>No disponibles el 19 oct (1):
- Almudena [R4-02]</t>
        </r>
      </text>
    </comment>
    <comment ref="C39" authorId="1" shapeId="0" xr:uid="{00000000-0006-0000-0100-00001F000000}">
      <text>
        <r>
          <rPr>
            <sz val="11"/>
            <color theme="1"/>
            <rFont val="Calibri"/>
            <family val="2"/>
            <scheme val="minor"/>
          </rPr>
          <t>No disponibles el 20 oct (1):
- Almudena [R4-02]</t>
        </r>
      </text>
    </comment>
    <comment ref="E39" authorId="1" shapeId="0" xr:uid="{00000000-0006-0000-0100-000020000000}">
      <text>
        <r>
          <rPr>
            <sz val="11"/>
            <color theme="1"/>
            <rFont val="Calibri"/>
            <family val="2"/>
            <scheme val="minor"/>
          </rPr>
          <t>No disponibles el 21 oct (3):
- Almudena [R4-02]
- Ana R4 (Gaudioso) [R4-03] (trabajo externo 24(T2) CHA)
- Rosario [R1-01]</t>
        </r>
      </text>
    </comment>
    <comment ref="G39" authorId="1" shapeId="0" xr:uid="{00000000-0006-0000-0100-000021000000}">
      <text>
        <r>
          <rPr>
            <sz val="11"/>
            <color theme="1"/>
            <rFont val="Calibri"/>
            <family val="2"/>
            <scheme val="minor"/>
          </rPr>
          <t>No disponibles el 22 oct (2):
- Candela [R3-02]
- Rosario [R1-01]</t>
        </r>
      </text>
    </comment>
    <comment ref="I39" authorId="1" shapeId="0" xr:uid="{00000000-0006-0000-0100-000022000000}">
      <text>
        <r>
          <rPr>
            <sz val="11"/>
            <color theme="1"/>
            <rFont val="Calibri"/>
            <family val="2"/>
            <scheme val="minor"/>
          </rPr>
          <t>No disponibles el 23 oct (12):
- Aitor [R1-07]
- Ana R2 [R2-07]
- Arturo [R1-06]
- Asis [R2-02]
- Candela [R3-02]
- Carlota [R4-01] (si se puede)
- Cristina [R1-02]
- David [R1-04]
- Fatima [R1-08]
- Mercedes [R1-05]
- Miriam [R1-03]
- Rosario [R1-01]
Congreso R1 (H-18): los 8 R1 bloqueados; PEQ lo cubre íntegramente R2.</t>
        </r>
      </text>
    </comment>
    <comment ref="K39" authorId="1" shapeId="0" xr:uid="{00000000-0006-0000-0100-000023000000}">
      <text>
        <r>
          <rPr>
            <sz val="11"/>
            <color theme="1"/>
            <rFont val="Calibri"/>
            <family val="2"/>
            <scheme val="minor"/>
          </rPr>
          <t>No disponibles el 24 oct (13):
- Aitor [R1-07]
- Ana R2 [R2-07]
- Arturo [R1-06]
- Asis [R2-02]
- Candela [R3-02]
- Carlota [R4-01] (si se puede)
- Cristina [R1-02]
- David [R1-04]
- Fabian [R3-03]
- Fatima [R1-08]
- Mercedes [R1-05]
- Miriam [R1-03]
- Rosario [R1-01]
Congreso R1 (H-18): los 8 R1 bloqueados; PEQ lo cubre íntegramente R2.</t>
        </r>
      </text>
    </comment>
    <comment ref="M39" authorId="1" shapeId="0" xr:uid="{00000000-0006-0000-0100-000024000000}">
      <text>
        <r>
          <rPr>
            <sz val="11"/>
            <color theme="1"/>
            <rFont val="Calibri"/>
            <family val="2"/>
            <scheme val="minor"/>
          </rPr>
          <t>No disponibles el 25 oct (14):
- Aitor [R1-07]
- Ana R2 [R2-07]
- Ana R4 (Gaudioso) [R4-03] (trabajo externo 24(T2) CHA)
- Arturo [R1-06]
- Asis [R2-02]
- Candela [R3-02]
- Carlota [R4-01] (si se puede)
- Cristina [R1-02]
- David [R1-04]
- Fabian [R3-03]
- Fatima [R1-08]
- Mercedes [R1-05]
- Miriam [R1-03]
- Rosario [R1-01]
Congreso R1 (H-18): los 8 R1 bloqueados; PEQ lo cubre íntegramente R2.</t>
        </r>
      </text>
    </comment>
    <comment ref="E41" authorId="0" shapeId="0" xr:uid="{00000000-0006-0000-0100-000025000000}">
      <text>
        <r>
          <rPr>
            <sz val="11"/>
            <color theme="1"/>
            <rFont val="Calibri"/>
            <family val="2"/>
            <scheme val="minor"/>
          </rPr>
          <t>Ana R4 en turno externo (MT SVA) — bloqueada H-10a; ver H-10b/c/d para TX y QX-M/QX-P adyacentes.</t>
        </r>
      </text>
    </comment>
    <comment ref="M41" authorId="0" shapeId="0" xr:uid="{00000000-0006-0000-0100-000026000000}">
      <text>
        <r>
          <rPr>
            <sz val="11"/>
            <color theme="1"/>
            <rFont val="Calibri"/>
            <family val="2"/>
            <scheme val="minor"/>
          </rPr>
          <t>Festivo: Todos los Santos</t>
        </r>
      </text>
    </comment>
    <comment ref="A48" authorId="1" shapeId="0" xr:uid="{00000000-0006-0000-0100-000027000000}">
      <text>
        <r>
          <rPr>
            <sz val="11"/>
            <color theme="1"/>
            <rFont val="Calibri"/>
            <family val="2"/>
            <scheme val="minor"/>
          </rPr>
          <t>No disponibles el 26 oct (1):
- Emilio [R2-05]</t>
        </r>
      </text>
    </comment>
    <comment ref="E48" authorId="1" shapeId="0" xr:uid="{00000000-0006-0000-0100-000028000000}">
      <text>
        <r>
          <rPr>
            <sz val="11"/>
            <color theme="1"/>
            <rFont val="Calibri"/>
            <family val="2"/>
            <scheme val="minor"/>
          </rPr>
          <t>No disponibles el 28 oct (1):
- Ana R4 (Gaudioso) [R4-03] (trabajo externo MT SVA)</t>
        </r>
      </text>
    </comment>
    <comment ref="G48" authorId="1" shapeId="0" xr:uid="{00000000-0006-0000-0100-000029000000}">
      <text>
        <r>
          <rPr>
            <sz val="11"/>
            <color theme="1"/>
            <rFont val="Calibri"/>
            <family val="2"/>
            <scheme val="minor"/>
          </rPr>
          <t>No disponibles el 29 oct (1):
- Sandra [R4-04]</t>
        </r>
      </text>
    </comment>
    <comment ref="I48" authorId="1" shapeId="0" xr:uid="{00000000-0006-0000-0100-00002A000000}">
      <text>
        <r>
          <rPr>
            <sz val="11"/>
            <color theme="1"/>
            <rFont val="Calibri"/>
            <family val="2"/>
            <scheme val="minor"/>
          </rPr>
          <t>No disponibles el 30 oct (2):
- Emilio [R2-05]
- Sandra [R4-04]</t>
        </r>
      </text>
    </comment>
    <comment ref="K48" authorId="1" shapeId="0" xr:uid="{00000000-0006-0000-0100-00002B000000}">
      <text>
        <r>
          <rPr>
            <sz val="11"/>
            <color theme="1"/>
            <rFont val="Calibri"/>
            <family val="2"/>
            <scheme val="minor"/>
          </rPr>
          <t>No disponibles el 31 oct (1):
- Sandra [R4-04]</t>
        </r>
      </text>
    </comment>
    <comment ref="M48" authorId="1" shapeId="0" xr:uid="{00000000-0006-0000-0100-00002C000000}">
      <text>
        <r>
          <rPr>
            <sz val="11"/>
            <color theme="1"/>
            <rFont val="Calibri"/>
            <family val="2"/>
            <scheme val="minor"/>
          </rPr>
          <t>No disponibles el 1 nov (1):
- Sandra [R4-04]</t>
        </r>
      </text>
    </comment>
    <comment ref="A50" authorId="0" shapeId="0" xr:uid="{00000000-0006-0000-0100-00002D000000}">
      <text>
        <r>
          <rPr>
            <sz val="11"/>
            <color theme="1"/>
            <rFont val="Calibri"/>
            <family val="2"/>
            <scheme val="minor"/>
          </rPr>
          <t>Festivo: Traslado festivo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Parte externo</author>
  </authors>
  <commentList>
    <comment ref="C27" authorId="0" shapeId="0" xr:uid="{00000000-0006-0000-0400-000001000000}">
      <text>
        <r>
          <rPr>
            <sz val="11"/>
            <color theme="1"/>
            <rFont val="Calibri"/>
            <family val="2"/>
            <scheme val="minor"/>
          </rPr>
          <t>Ana R4 — turno externo 24(T2) CHA</t>
        </r>
      </text>
    </comment>
    <comment ref="F27" authorId="0" shapeId="0" xr:uid="{00000000-0006-0000-0400-000002000000}">
      <text>
        <r>
          <rPr>
            <sz val="11"/>
            <color theme="1"/>
            <rFont val="Calibri"/>
            <family val="2"/>
            <scheme val="minor"/>
          </rPr>
          <t>Ana R4 — turno externo MT SVA</t>
        </r>
      </text>
    </comment>
    <comment ref="I27" authorId="0" shapeId="0" xr:uid="{00000000-0006-0000-0400-000003000000}">
      <text>
        <r>
          <rPr>
            <sz val="11"/>
            <color theme="1"/>
            <rFont val="Calibri"/>
            <family val="2"/>
            <scheme val="minor"/>
          </rPr>
          <t>Ana R4 — turno externo 24(T2) CHA</t>
        </r>
      </text>
    </comment>
    <comment ref="L27" authorId="0" shapeId="0" xr:uid="{00000000-0006-0000-0400-000004000000}">
      <text>
        <r>
          <rPr>
            <sz val="11"/>
            <color theme="1"/>
            <rFont val="Calibri"/>
            <family val="2"/>
            <scheme val="minor"/>
          </rPr>
          <t>Ana R4 — turno externo MT SVA</t>
        </r>
      </text>
    </comment>
    <comment ref="O27" authorId="0" shapeId="0" xr:uid="{00000000-0006-0000-0400-000005000000}">
      <text>
        <r>
          <rPr>
            <sz val="11"/>
            <color theme="1"/>
            <rFont val="Calibri"/>
            <family val="2"/>
            <scheme val="minor"/>
          </rPr>
          <t>Ana R4 — turno externo 24(T2) CHA</t>
        </r>
      </text>
    </comment>
    <comment ref="T27" authorId="0" shapeId="0" xr:uid="{00000000-0006-0000-0400-000006000000}">
      <text>
        <r>
          <rPr>
            <sz val="11"/>
            <color theme="1"/>
            <rFont val="Calibri"/>
            <family val="2"/>
            <scheme val="minor"/>
          </rPr>
          <t>Ana R4 — turno externo MT SVA</t>
        </r>
      </text>
    </comment>
    <comment ref="W27" authorId="0" shapeId="0" xr:uid="{00000000-0006-0000-0400-000007000000}">
      <text>
        <r>
          <rPr>
            <sz val="11"/>
            <color theme="1"/>
            <rFont val="Calibri"/>
            <family val="2"/>
            <scheme val="minor"/>
          </rPr>
          <t>Ana R4 — turno externo 24(T2) CHA</t>
        </r>
      </text>
    </comment>
    <comment ref="AA27" authorId="0" shapeId="0" xr:uid="{00000000-0006-0000-0400-000008000000}">
      <text>
        <r>
          <rPr>
            <sz val="11"/>
            <color theme="1"/>
            <rFont val="Calibri"/>
            <family val="2"/>
            <scheme val="minor"/>
          </rPr>
          <t>Ana R4 — turno externo 24(T2) CHA</t>
        </r>
      </text>
    </comment>
    <comment ref="AD27" authorId="0" shapeId="0" xr:uid="{00000000-0006-0000-0400-000009000000}">
      <text>
        <r>
          <rPr>
            <sz val="11"/>
            <color theme="1"/>
            <rFont val="Calibri"/>
            <family val="2"/>
            <scheme val="minor"/>
          </rPr>
          <t>Ana R4 — turno externo MT SVA</t>
        </r>
      </text>
    </comment>
  </commentList>
</comments>
</file>

<file path=xl/sharedStrings.xml><?xml version="1.0" encoding="utf-8"?>
<sst xmlns="http://schemas.openxmlformats.org/spreadsheetml/2006/main" count="1390" uniqueCount="441">
  <si>
    <t>Cuadrante de Guardias — Servicio de Anestesiología y Reanimación</t>
  </si>
  <si>
    <t>Octubre 2026 (1 oct – 2 nov, 33 días)</t>
  </si>
  <si>
    <t>Cómo está organizado este libro</t>
  </si>
  <si>
    <t>1. Calendario Octubre 2026 — vista mensual tipo Guardiscope. Cada día tiene 5 casillas (TX, UCQ, MAY, PEQ, PEQ). Rellena con el desplegable de cada casilla (respeta la elegibilidad de cada puesto).</t>
  </si>
  <si>
    <t>2. Resumen de guardias (estilo Guardiscope) — tabla de sanitarios con rango objetivo por puesto y recuento real, calculado en vivo desde el Calendario.</t>
  </si>
  <si>
    <t>3. Validación H-01 a H-18 — checklist de reglas duras y puntuación de reglas blandas S-01 a S-07. Lo rellena el agente revisor-optimizador tras cada pasada.</t>
  </si>
  <si>
    <t>4. Preguntas pendientes (Q) — decisiones sin cerrar en la fuente de la verdad (Q-04 a Q-16). Resuélvelas aquí; el agente las usará como supuestos confirmados.</t>
  </si>
  <si>
    <t>5. Plantilla y elegibilidad — los 25 residentes con su ID único y los puestos que pueden cubrir.</t>
  </si>
  <si>
    <t>6. Bloqueos y vacaciones — vacaciones/bloqueos declarados y el parte de guardias externas de Ana R4.</t>
  </si>
  <si>
    <t>7. Reglas (resumen) — versión condensada de las reglas duras H y blandas S para consulta rápida sin salir del Excel.</t>
  </si>
  <si>
    <t>Leyenda de prefijos de las casillas</t>
  </si>
  <si>
    <t>TX = Localizada de trasplante (solo R4) · UCQ = REA/UCQ · MAY = Quirófano residente mayor (QX-M) · PEQ = Quirófano residente pequeño (QX-P, 2 plazas/día)</t>
  </si>
  <si>
    <t>Cómo rellenar una casilla</t>
  </si>
  <si>
    <t>Haz clic en la casilla vacía → aparece un desplegable con las personas elegibles para ese puesto → elige una. Ejemplo de formato de celda: "MAY-Sandra", "PEQ-Rosario", "TX-AnaR4".</t>
  </si>
  <si>
    <t>Casillas ya rellenas en verde = asignación FORZADA por la fuente de la verdad (§8ter y §8quater: el reparto del trasplante de fin de semana y el QX-M del 9+11 de octubre son la única solución compatible con las reglas). No las muevas sin releer H-06/H-07/H-15.</t>
  </si>
  <si>
    <t>Casillas de cabecera en rojo/rosa = festivo o puente. Pasa el cursor sobre el número del día para ver notas (congreso R1, turno externo de Ana R4).</t>
  </si>
  <si>
    <t>Fuente normativa</t>
  </si>
  <si>
    <t>Este Excel es una herramienta de trabajo, no la fuente de la verdad. Las reglas completas (H-01 a H-18, S-01 a S-07) viven en fuente-verdad-guardias-anestesia.md, en el repositorio, y el agente de Claude Code 'guardias-anestesia' las aplica al ayudarte a rellenar y validar este cuadrante. Ante conflicto entre este Excel y ese documento, manda el documento.</t>
  </si>
  <si>
    <t>CUADRANTE DE GUARDIAS · Anestesiología y Reanimación · Octubre 2026 (1 oct – 2 nov)</t>
  </si>
  <si>
    <t>TX</t>
  </si>
  <si>
    <t>Trasplante (R4)</t>
  </si>
  <si>
    <t>UCQ</t>
  </si>
  <si>
    <t>REA / UCQ</t>
  </si>
  <si>
    <t>MAY</t>
  </si>
  <si>
    <t>Quirófano mayor</t>
  </si>
  <si>
    <t>PEQ</t>
  </si>
  <si>
    <t>Quirófano pequeño ×2</t>
  </si>
  <si>
    <t>verde = fijado</t>
  </si>
  <si>
    <t>LUN</t>
  </si>
  <si>
    <t>MAR</t>
  </si>
  <si>
    <t>MIÉ</t>
  </si>
  <si>
    <t>JUE</t>
  </si>
  <si>
    <t>VIE</t>
  </si>
  <si>
    <t>SÁB</t>
  </si>
  <si>
    <t>DOM</t>
  </si>
  <si>
    <t>1</t>
  </si>
  <si>
    <t>2</t>
  </si>
  <si>
    <t>3</t>
  </si>
  <si>
    <t>4</t>
  </si>
  <si>
    <t>TX-Sandra</t>
  </si>
  <si>
    <t>UCQ-Tony</t>
  </si>
  <si>
    <t>UCQ-Fabian</t>
  </si>
  <si>
    <t>UCQ-Tania</t>
  </si>
  <si>
    <t>MAY-Almudena</t>
  </si>
  <si>
    <t>MAY-PatriciaR3</t>
  </si>
  <si>
    <t>MAY-Isa</t>
  </si>
  <si>
    <t>PEQ-Cristina</t>
  </si>
  <si>
    <t>PEQ-David</t>
  </si>
  <si>
    <t>PEQ-Miriam</t>
  </si>
  <si>
    <t>PEQ-Rosario</t>
  </si>
  <si>
    <t>PEQ-Fatima</t>
  </si>
  <si>
    <t>PEQ-Arturo</t>
  </si>
  <si>
    <t>⛔ AnaR4, Emi, Eva</t>
  </si>
  <si>
    <t>⛔ Aitor, Almu, Carlota, Cris, Eva, Merce, Rosa</t>
  </si>
  <si>
    <t>⛔ Aitor, Almu, AnaR2, Carlota, Cris, Eva, Merce, Rosa</t>
  </si>
  <si>
    <t>⛔ Aitor, Almu, AnaR2, AnaR4, Carlota, Cris, Eva, Isa, Merce, Rosa</t>
  </si>
  <si>
    <t>5</t>
  </si>
  <si>
    <t>6</t>
  </si>
  <si>
    <t>7</t>
  </si>
  <si>
    <t>8</t>
  </si>
  <si>
    <t>9</t>
  </si>
  <si>
    <t>10</t>
  </si>
  <si>
    <t>11</t>
  </si>
  <si>
    <t>TX-Carlota</t>
  </si>
  <si>
    <t>TX-Isa</t>
  </si>
  <si>
    <t>TX-Almudena</t>
  </si>
  <si>
    <t>UCQ-PatriciaR2</t>
  </si>
  <si>
    <t>UCQ-AnaR2</t>
  </si>
  <si>
    <t>MAY-Sandra</t>
  </si>
  <si>
    <t>MAY-Carlota</t>
  </si>
  <si>
    <t>MAY-Candela</t>
  </si>
  <si>
    <t>PEQ-Mercedes</t>
  </si>
  <si>
    <t>PEQ-Marc</t>
  </si>
  <si>
    <t>PEQ-PatriciaR2</t>
  </si>
  <si>
    <t>PEQ-Antonio</t>
  </si>
  <si>
    <t>PEQ-Aitor</t>
  </si>
  <si>
    <t>PEQ-Tania</t>
  </si>
  <si>
    <t>PEQ-Emilio</t>
  </si>
  <si>
    <t>⛔ Eva</t>
  </si>
  <si>
    <t>⛔ AnaR4, Eva</t>
  </si>
  <si>
    <t>⛔ Asís, Cande, Eva, PatR3</t>
  </si>
  <si>
    <t>⛔ Almu, Asís, Cande, Fati, Miri, PatR3, Tony</t>
  </si>
  <si>
    <t>⛔ Almu, AnaR4, Fati, Miri, PatR3, Tania, Tony</t>
  </si>
  <si>
    <t>⛔ Almu, Carlota, Fati, Miri, PatR3, Tony</t>
  </si>
  <si>
    <t>★ 12</t>
  </si>
  <si>
    <t>13</t>
  </si>
  <si>
    <t>14</t>
  </si>
  <si>
    <t>15</t>
  </si>
  <si>
    <t>16</t>
  </si>
  <si>
    <t>17</t>
  </si>
  <si>
    <t>18</t>
  </si>
  <si>
    <t>UCQ-Eva</t>
  </si>
  <si>
    <t>UCQ-Marc</t>
  </si>
  <si>
    <t>MAY-AnaR4</t>
  </si>
  <si>
    <t>PEQ-AnaR2</t>
  </si>
  <si>
    <t>PEQ-Asis</t>
  </si>
  <si>
    <t>PEQ-Eva</t>
  </si>
  <si>
    <t>⛔ PatR3</t>
  </si>
  <si>
    <t>⛔ AnaR4</t>
  </si>
  <si>
    <t>⛔ Isa</t>
  </si>
  <si>
    <t>⛔ Almu, Anto, Isa</t>
  </si>
  <si>
    <t>⛔ Almu, AnaR4, Anto, Isa</t>
  </si>
  <si>
    <t>19</t>
  </si>
  <si>
    <t>20</t>
  </si>
  <si>
    <t>21</t>
  </si>
  <si>
    <t>22</t>
  </si>
  <si>
    <t>23</t>
  </si>
  <si>
    <t>24</t>
  </si>
  <si>
    <t>25</t>
  </si>
  <si>
    <t>TX-AnaR4</t>
  </si>
  <si>
    <t>UCQ-Asis</t>
  </si>
  <si>
    <t>⛔ Almu</t>
  </si>
  <si>
    <t>⛔ Almu, AnaR4, Rosa</t>
  </si>
  <si>
    <t>⛔ Cande, Rosa</t>
  </si>
  <si>
    <t>⛔ Aitor, AnaR2, Artu, Asís, Cande, Carlota, Cris, David, Fati, Merce, Miri, Rosa</t>
  </si>
  <si>
    <t>⛔ Aitor, AnaR2, Artu, Asís, Cande, Carlota, Cris, David, Fabi, Fati, Merce, Miri, Rosa</t>
  </si>
  <si>
    <t>⛔ Aitor, AnaR2, AnaR4, Artu, Asís, Cande, Carlota, Cris, David, Fabi, Fati, Merce, Miri, Rosa</t>
  </si>
  <si>
    <t>26</t>
  </si>
  <si>
    <t>27</t>
  </si>
  <si>
    <t>28</t>
  </si>
  <si>
    <t>29</t>
  </si>
  <si>
    <t>30</t>
  </si>
  <si>
    <t>31</t>
  </si>
  <si>
    <t>★ 1 nov</t>
  </si>
  <si>
    <t>UCQ-Antonio</t>
  </si>
  <si>
    <t>UCQ-Emilio</t>
  </si>
  <si>
    <t>⛔ Emi</t>
  </si>
  <si>
    <t>✔ sin bloqueos</t>
  </si>
  <si>
    <t>⛔ Sandra</t>
  </si>
  <si>
    <t>⛔ Emi, Sandra</t>
  </si>
  <si>
    <t>★ 2 nov</t>
  </si>
  <si>
    <t>COBERTURA POR DÍA · puestos a cubrir, asignados y pendientes (1 oct – 2 nov 2026)</t>
  </si>
  <si>
    <t>TOTALES — puestos que hay que cubrir cada día</t>
  </si>
  <si>
    <t>Turnos/Guardias</t>
  </si>
  <si>
    <t>Total</t>
  </si>
  <si>
    <t>01/10</t>
  </si>
  <si>
    <t>02/10</t>
  </si>
  <si>
    <t>03/10</t>
  </si>
  <si>
    <t>04/10</t>
  </si>
  <si>
    <t>05/10</t>
  </si>
  <si>
    <t>06/10</t>
  </si>
  <si>
    <t>07/10</t>
  </si>
  <si>
    <t>08/10</t>
  </si>
  <si>
    <t>09/10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</si>
  <si>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</si>
  <si>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</si>
  <si>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</si>
  <si>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</si>
  <si>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</si>
  <si>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</si>
  <si>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</si>
  <si>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</si>
  <si>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</si>
  <si>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</si>
  <si>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</si>
  <si>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</si>
  <si>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</si>
  <si>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</si>
  <si>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</si>
  <si>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</si>
  <si>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</si>
  <si>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</si>
  <si>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</si>
  <si>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</si>
  <si>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</si>
  <si>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</si>
  <si>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01/11</t>
  </si>
  <si>
    <t>02/11</t>
  </si>
  <si>
    <t>Tx</t>
  </si>
  <si>
    <t>ucq</t>
  </si>
  <si>
    <t>MAYORES</t>
  </si>
  <si>
    <t>qx peq</t>
  </si>
  <si>
    <t>ASIGNADOS — rellenados en el Calendario</t>
  </si>
  <si>
    <t>PENDIENTES — lo que falta por cubrir</t>
  </si>
  <si>
    <t>TOTALES es fijo (H-01: 1 Tx + 1 ucq + 1 MAY + 2 peq = 5 puestos/día × 33 días = 165). ASIGNADOS y PENDIENTES se calculan solos desde la pestaña Calendario. Columnas moradas = fin de semana, rojas = festivo.</t>
  </si>
  <si>
    <t>Rangos objetivo (editable, según fuente de la verdad)</t>
  </si>
  <si>
    <t>Recuento real (formulas -&gt; Calendario)</t>
  </si>
  <si>
    <t>Por día de la semana / festivos (recuento real)</t>
  </si>
  <si>
    <t>Sanitarios/as</t>
  </si>
  <si>
    <t>ID</t>
  </si>
  <si>
    <t>Total
(objetivo)</t>
  </si>
  <si>
    <t>MAY
(objetivo)</t>
  </si>
  <si>
    <t>Tx
(objetivo)</t>
  </si>
  <si>
    <t>ucq
(objetivo)</t>
  </si>
  <si>
    <t>peq
(objetivo)</t>
  </si>
  <si>
    <t>peq</t>
  </si>
  <si>
    <t>L</t>
  </si>
  <si>
    <t>M</t>
  </si>
  <si>
    <t>X</t>
  </si>
  <si>
    <t>J</t>
  </si>
  <si>
    <t>V</t>
  </si>
  <si>
    <t>S</t>
  </si>
  <si>
    <t>D</t>
  </si>
  <si>
    <t>F</t>
  </si>
  <si>
    <t>Rosario</t>
  </si>
  <si>
    <t>R1-01</t>
  </si>
  <si>
    <t>3-4</t>
  </si>
  <si>
    <t>Cristina</t>
  </si>
  <si>
    <t>R1-02</t>
  </si>
  <si>
    <t>Miriam</t>
  </si>
  <si>
    <t>R1-03</t>
  </si>
  <si>
    <t>4-5</t>
  </si>
  <si>
    <t>David</t>
  </si>
  <si>
    <t>R1-04</t>
  </si>
  <si>
    <t>Mercedes</t>
  </si>
  <si>
    <t>R1-05</t>
  </si>
  <si>
    <t>Arturo</t>
  </si>
  <si>
    <t>R1-06</t>
  </si>
  <si>
    <t>Aitor</t>
  </si>
  <si>
    <t>R1-07</t>
  </si>
  <si>
    <t>Fatima</t>
  </si>
  <si>
    <t>R1-08</t>
  </si>
  <si>
    <t>Tania</t>
  </si>
  <si>
    <t>R2-01</t>
  </si>
  <si>
    <t>6-</t>
  </si>
  <si>
    <t>Asis</t>
  </si>
  <si>
    <t>R2-02</t>
  </si>
  <si>
    <t>1-2</t>
  </si>
  <si>
    <t>Patricia R2</t>
  </si>
  <si>
    <t>R2-03</t>
  </si>
  <si>
    <t>Eva</t>
  </si>
  <si>
    <t>R2-04</t>
  </si>
  <si>
    <t>Emilio</t>
  </si>
  <si>
    <t>R2-05</t>
  </si>
  <si>
    <t>Antonio</t>
  </si>
  <si>
    <t>R2-06</t>
  </si>
  <si>
    <t>Ana R2</t>
  </si>
  <si>
    <t>R2-07</t>
  </si>
  <si>
    <t>Marc</t>
  </si>
  <si>
    <t>R2-08</t>
  </si>
  <si>
    <t>Patricia R3</t>
  </si>
  <si>
    <t>R3-01</t>
  </si>
  <si>
    <t>Candela</t>
  </si>
  <si>
    <t>R3-02</t>
  </si>
  <si>
    <t>Fabian</t>
  </si>
  <si>
    <t>R3-03</t>
  </si>
  <si>
    <t>Tony</t>
  </si>
  <si>
    <t>R3-04</t>
  </si>
  <si>
    <t>Carlota</t>
  </si>
  <si>
    <t>R4-01</t>
  </si>
  <si>
    <t>Almudena</t>
  </si>
  <si>
    <t>R4-02</t>
  </si>
  <si>
    <t>Ana R4 (Gaudioso)</t>
  </si>
  <si>
    <t>R4-03</t>
  </si>
  <si>
    <t>Sandra</t>
  </si>
  <si>
    <t>R4-04</t>
  </si>
  <si>
    <t>Isa</t>
  </si>
  <si>
    <t>R4-05</t>
  </si>
  <si>
    <t>TOTAL</t>
  </si>
  <si>
    <t>MAY/Tx: §8.5.1. ucq (REA): H-11 (cupo 6) y mensaje directo de Pablo (1-2 para el resto de R2). peq (QX-P) R1: mensaje directo de Pablo (3-4, Miriam 4-5). "F" = guardias en día festivo/puente (12 oct, 1 y 2 nov).</t>
  </si>
  <si>
    <t>MAPA DE BLOQUEOS · quién NO está disponible cada día (1 oct – 2 nov 2026)</t>
  </si>
  <si>
    <t>Bloqueo declarado</t>
  </si>
  <si>
    <t>"Si se puede" (blando)</t>
  </si>
  <si>
    <t>Ana R4 · trabajo externo</t>
  </si>
  <si>
    <t>Disponible</t>
  </si>
  <si>
    <t>Residente</t>
  </si>
  <si>
    <t>12</t>
  </si>
  <si>
    <t>1N</t>
  </si>
  <si>
    <t>2N</t>
  </si>
  <si>
    <t>~</t>
  </si>
  <si>
    <t>E</t>
  </si>
  <si>
    <t>TOTAL bloqueados</t>
  </si>
  <si>
    <t>Validación de reglas duras (rellena el agente revisor-optimizador tras cada pasada)</t>
  </si>
  <si>
    <t>Regla</t>
  </si>
  <si>
    <t>Descripción</t>
  </si>
  <si>
    <t>Veredicto</t>
  </si>
  <si>
    <t>Detalle si ❌ (día · persona · qué pasa · qué debería pasar)</t>
  </si>
  <si>
    <t>H-01</t>
  </si>
  <si>
    <t>Cobertura completa: cada día tiene exactamente 1 TX, 1 UCQ, 1 MAY y 2 PEQ.</t>
  </si>
  <si>
    <t>✅</t>
  </si>
  <si>
    <t>Comprobado automáticamente sobre el cuadrante generado (0 violaciones).</t>
  </si>
  <si>
    <t>H-02</t>
  </si>
  <si>
    <t>Nadie ocupa más de un puesto el mismo día.</t>
  </si>
  <si>
    <t>Pendiente</t>
  </si>
  <si>
    <t>H-03</t>
  </si>
  <si>
    <t>Saliente de guardia libra 24h (D+1 vacío).</t>
  </si>
  <si>
    <t>H-04</t>
  </si>
  <si>
    <t>Guardia en sábado (no puente) ⇒ libra domingo y lunes.</t>
  </si>
  <si>
    <t>H-05</t>
  </si>
  <si>
    <t>Pareja viernes-domingo: misma persona, mismo puesto, bloque indivisible.</t>
  </si>
  <si>
    <t>H-06</t>
  </si>
  <si>
    <t>Exclusión de puentes: quien cubre Pilar (10-12 oct) no cubre Santos (31 oct-2 nov) y viceversa.</t>
  </si>
  <si>
    <t>H-07</t>
  </si>
  <si>
    <t>Sábado de puente ⇒ se une al lunes festivo (prevalece sobre H-04) en FDS-2 y FDS-5.</t>
  </si>
  <si>
    <t>H-08</t>
  </si>
  <si>
    <t>Se respetan vacaciones y bloqueos declarados.</t>
  </si>
  <si>
    <t>H-09</t>
  </si>
  <si>
    <t>Elegibilidad por puesto (§5) respetada en todas las asignaciones.</t>
  </si>
  <si>
    <t>H-10</t>
  </si>
  <si>
    <t>Bloqueos individuales de Ana R4 (H-10a a H-10d).</t>
  </si>
  <si>
    <t>❌</t>
  </si>
  <si>
    <t>no se entiende q es'?</t>
  </si>
  <si>
    <t>H-11</t>
  </si>
  <si>
    <t>Tania, Patricia R2, Fabián, Tony: mínimo 6 guardias UCQ cada uno.</t>
  </si>
  <si>
    <t>H-12</t>
  </si>
  <si>
    <t>Esos mismos cuatro: mínimo 2 fines de semana cada uno (concretado por H-16).</t>
  </si>
  <si>
    <t>H-13</t>
  </si>
  <si>
    <t>Todo residente hace al menos 1 fin de semana.</t>
  </si>
  <si>
    <t>H-14</t>
  </si>
  <si>
    <t>No hay TX la víspera de una guardia presencial.</t>
  </si>
  <si>
    <t>H-15</t>
  </si>
  <si>
    <t>Agrupación del TX de fin de semana: una sola persona por bloque, 1:1 con los 5 R4.</t>
  </si>
  <si>
    <t>H-16</t>
  </si>
  <si>
    <t>Los cuatro de UCQ cubren un bloque V-D y un sábado suelto cada uno.</t>
  </si>
  <si>
    <t xml:space="preserve">1. en los puestos de quirofano, los pequeños si es posible evitar dos R1 juntos el mismo día. </t>
  </si>
  <si>
    <t>H-17</t>
  </si>
  <si>
    <t>Bloqueos declarados respetados (§8bis).</t>
  </si>
  <si>
    <t xml:space="preserve">2. siempre que se tenga guardia es imposible estar de trasplante el dia previo, pero si que se podría el día de saliente ( sin embargo, es preferible evitarlo. </t>
  </si>
  <si>
    <t>H-18</t>
  </si>
  <si>
    <t>Congreso R1 23-25 oct: los 8 R1 bloqueados, PEQ lo cubre R2.</t>
  </si>
  <si>
    <t>3. cuando alguien se haya bloqueado un día por vacaciones ese dia previo a las vacaciones si que puede estar de guardia de quirofano o de REA, pero no puede estar de localizada de trasplante.</t>
  </si>
  <si>
    <t xml:space="preserve">VEREDICTO GLOBAL: </t>
  </si>
  <si>
    <t>VÁLIDO — 0 violaciones</t>
  </si>
  <si>
    <t>Puntuación de reglas blandas S-01 a S-07 (0-41, ver fuente de la verdad §7 para el detalle de cada métrica)</t>
  </si>
  <si>
    <t>Qué mide</t>
  </si>
  <si>
    <t>Puntos</t>
  </si>
  <si>
    <t>Puntuación obtenida</t>
  </si>
  <si>
    <t>S-01</t>
  </si>
  <si>
    <t>5 guardias MAY por mayor</t>
  </si>
  <si>
    <t>S-02</t>
  </si>
  <si>
    <t>Reparto equitativo de fines de semana</t>
  </si>
  <si>
    <t>S-03</t>
  </si>
  <si>
    <t>2º FDS en sábado si el 1º fue bloque V-D</t>
  </si>
  <si>
    <t>S-04</t>
  </si>
  <si>
    <t>Reparto equitativo del total de guardias</t>
  </si>
  <si>
    <t>S-05</t>
  </si>
  <si>
    <t>Separación mínima 3-4 días entre guardias</t>
  </si>
  <si>
    <t>S-07</t>
  </si>
  <si>
    <t>Rotar el mayor que supervisa</t>
  </si>
  <si>
    <t>Log de excepciones (toda regla blanda relajada, con justificación)</t>
  </si>
  <si>
    <t>Fecha</t>
  </si>
  <si>
    <t>Regla relajada</t>
  </si>
  <si>
    <t>Justificación</t>
  </si>
  <si>
    <t>Decidido por</t>
  </si>
  <si>
    <t>Bloqueos y vacaciones declarados — octubre 2026 (32 = 1 nov, 33 = 2 nov)</t>
  </si>
  <si>
    <t>Bloqueos declarados</t>
  </si>
  <si>
    <t>2-4, 21-25</t>
  </si>
  <si>
    <t>2-4, 23-25</t>
  </si>
  <si>
    <t>9-11, 23-25</t>
  </si>
  <si>
    <t>23-25</t>
  </si>
  <si>
    <t>8-9, 23-25</t>
  </si>
  <si>
    <t>— (ninguno)</t>
  </si>
  <si>
    <t>1-8</t>
  </si>
  <si>
    <t>1, 26, 30</t>
  </si>
  <si>
    <t>15-18</t>
  </si>
  <si>
    <t>3-4, 23-25</t>
  </si>
  <si>
    <t>8-12</t>
  </si>
  <si>
    <t>8-9, 22-25</t>
  </si>
  <si>
    <t>24-25</t>
  </si>
  <si>
    <t>9-11</t>
  </si>
  <si>
    <t>2-4, 11, 23-25 ("si se puede" — alcance sin confirmar, Q-11)</t>
  </si>
  <si>
    <t>2-4, 9-11, 15-21 (duro)</t>
  </si>
  <si>
    <t>16-18 ("si se puede") + los 9 días de trabajo externo (ver abajo)</t>
  </si>
  <si>
    <t>29 oct - 1 nov (interpretación asumida, Q-12)</t>
  </si>
  <si>
    <t>3,4, 14-18 (duro)</t>
  </si>
  <si>
    <t>Parte de guardias externas — Ana Gaudioso García (R4-03)</t>
  </si>
  <si>
    <t>Fecha (oct)</t>
  </si>
  <si>
    <t>Turno</t>
  </si>
  <si>
    <t>Tipo</t>
  </si>
  <si>
    <t>1 oct</t>
  </si>
  <si>
    <t>24(T2)</t>
  </si>
  <si>
    <t>CHA</t>
  </si>
  <si>
    <t>4 oct</t>
  </si>
  <si>
    <t>MT</t>
  </si>
  <si>
    <t>SVA</t>
  </si>
  <si>
    <t>7 oct</t>
  </si>
  <si>
    <t>10 oct</t>
  </si>
  <si>
    <t>13 oct</t>
  </si>
  <si>
    <t>18 oct</t>
  </si>
  <si>
    <t>21 oct</t>
  </si>
  <si>
    <t>25 oct</t>
  </si>
  <si>
    <t>28 oct</t>
  </si>
  <si>
    <t>Decisiones pendientes de la fuente de la verdad — resuélvelas aquí</t>
  </si>
  <si>
    <t>Pregunta</t>
  </si>
  <si>
    <t>Supuesto aplicado en este libro / Respuesta</t>
  </si>
  <si>
    <t>Impacto</t>
  </si>
  <si>
    <t>Q-04</t>
  </si>
  <si>
    <t>¿"UCQ" y "REA" son el mismo puesto?</t>
  </si>
  <si>
    <t>Asumido que sí (usado así en este libro)</t>
  </si>
  <si>
    <t>Medio</t>
  </si>
  <si>
    <t>Q-05</t>
  </si>
  <si>
    <t>En puentes: ¿quien hace el sábado trabaja el lunes festivo (H-07) o libra (H-04)?</t>
  </si>
  <si>
    <t>Asumido H-07 (aplicado en el Calendario)</t>
  </si>
  <si>
    <t>Alto</t>
  </si>
  <si>
    <t>Q-07</t>
  </si>
  <si>
    <t>¿La TX genera libranza al día siguiente?</t>
  </si>
  <si>
    <t>SI</t>
  </si>
  <si>
    <t>Bajo</t>
  </si>
  <si>
    <t>Q-08</t>
  </si>
  <si>
    <t>¿Guardias comprometidas o cambios ya pactados?</t>
  </si>
  <si>
    <t>si, con Sandra me comprometí a ponerle el sabado 10 y 12</t>
  </si>
  <si>
    <t>Q-09</t>
  </si>
  <si>
    <t>¿Enlace con el 30 sep y el 3 nov?</t>
  </si>
  <si>
    <t>NO</t>
  </si>
  <si>
    <t>Q-10</t>
  </si>
  <si>
    <t>¿El 22 oct es realmente excepción de TX para Ana R4?</t>
  </si>
  <si>
    <t>si</t>
  </si>
  <si>
    <t>Bajo en octubre / alto para generalizar</t>
  </si>
  <si>
    <t>Q-11</t>
  </si>
  <si>
    <t>Carlota: el "(si se puede)" ¿aplica a todo el bloqueo o solo a 23-25?</t>
  </si>
  <si>
    <t>Solo al 23-25, pero carlota prefiere no trabajar los 2 puestes, asi que si no cuadrá, quitará ese bloqueo</t>
  </si>
  <si>
    <t>Q-12</t>
  </si>
  <si>
    <t>Sandra "29-1": ¿es 29 oct – 1 nov?</t>
  </si>
  <si>
    <t>Asumido que sí (aplicado en Bloqueos)</t>
  </si>
  <si>
    <t>Q-13</t>
  </si>
  <si>
    <t>Miriam "puede hacer hasta ___ guardias" — cifra cortada en el original.</t>
  </si>
  <si>
    <t>✅ RESUELTA: hasta 4-5 guardias (confirmado por Pablo, mensaje directo 2026-08-09).</t>
  </si>
  <si>
    <t>Q-14</t>
  </si>
  <si>
    <t>¿Es intencionada la asimetría de carga R1 (~3,5) vs R2 (~7,4)?</t>
  </si>
  <si>
    <t>✅ RESUELTA: sí, confirmado por Pablo (mensaje directo 2026-08-09) — R1: 3-4 guardias PEQ + 1 FDS c/u; R2 sin cupo: 1-2 REA c/u además de PEQ.</t>
  </si>
  <si>
    <t>Q-15</t>
  </si>
  <si>
    <t>El bloque TX de fin de semana, ¿empieza el viernes o el sábado?</t>
  </si>
  <si>
    <t>empieza el viernes</t>
  </si>
  <si>
    <t>Medio — cambia 5 slots</t>
  </si>
  <si>
    <t>Q-16</t>
  </si>
  <si>
    <t>David: la lista de bloqueos empieza con una coma suelta ('David: , 23-25'). ¿Falta una fecha?</t>
  </si>
  <si>
    <t>✅ RESUELTA: no falta nada, la coma es un resto de una entrada que Pablo borró. Bloqueo real de David = solo 23-25.</t>
  </si>
  <si>
    <t>Plantilla — 25 residentes de Anestesiología y Reanimación</t>
  </si>
  <si>
    <t>Nombre</t>
  </si>
  <si>
    <t>Año</t>
  </si>
  <si>
    <t>MAY (QX-M)</t>
  </si>
  <si>
    <t>UCQ (REA)</t>
  </si>
  <si>
    <t>PEQ (QX-P)</t>
  </si>
  <si>
    <t>R1</t>
  </si>
  <si>
    <t>✓</t>
  </si>
  <si>
    <t>R2</t>
  </si>
  <si>
    <t>R3</t>
  </si>
  <si>
    <t>R4</t>
  </si>
  <si>
    <t>Homónimos — usa siempre el ID, nunca el nombre suelto (§3.1)</t>
  </si>
  <si>
    <t>Patricia: R2-03 (cupo REA) vs R3-01 (mayor de quirófano). Ana: R2-07 (Ana R2) vs R4-03 (Ana Gaudioso García, trabajo externo).</t>
  </si>
  <si>
    <t>Reglas duras (H) y blandas (S) — versión condensada</t>
  </si>
  <si>
    <t>Reglas duras (no negociables)</t>
  </si>
  <si>
    <t>Reglas blandas (preferencias, por prioridad)</t>
  </si>
  <si>
    <t>5 guardias MAY por mayor  (peso 10)</t>
  </si>
  <si>
    <t>Reparto equitativo de fines de semana  (peso 10)</t>
  </si>
  <si>
    <t>2º FDS en sábado si el 1º fue bloque V-D  (peso 6)</t>
  </si>
  <si>
    <t>Reparto equitativo del total de guardias  (peso 6)</t>
  </si>
  <si>
    <t>Separación mínima 3-4 días entre guardias  (peso 5)</t>
  </si>
  <si>
    <t>S-06</t>
  </si>
  <si>
    <t>Evitar coincidencias repetidas de los mismos 2 R1 en PEQ  (peso 2)</t>
  </si>
  <si>
    <t>Rotar el mayor que supervisa  (peso 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</si>
</sst>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x14ac:knownFonts="1">
    <font>
      <sz val="11"/>
      <color theme="1"/>
      <name val="Calibri"/>
      <family val="2"/>
      <scheme val="minor"/>
    </font>
    <font>
      <b/>
      <sz val="16"/>
      <color rgb="FF1F3864"/>
      <name val="Arial"/>
      <family val="2"/>
    </font>
    <font>
      <b/>
      <sz val="12"/>
      <color rgb="FF1F3864"/>
      <name val="Arial"/>
      <family val="2"/>
    </font>
    <font>
      <b/>
      <sz val="12"/>
      <color rgb="FF000000"/>
      <name val="Arial"/>
      <family val="2"/>
    </font>
    <font>
      <sz val="11"/>
      <color rgb="FF000000"/>
      <name val="Arial"/>
      <family val="2"/>
    </font>
    <font>
      <sz val="11"/>
      <color rgb="FF375623"/>
      <name val="Arial"/>
      <family val="2"/>
    </font>
    <font>
      <sz val="11"/>
      <color rgb="FFC00000"/>
      <name val="Arial"/>
      <family val="2"/>
    </font>
    <font>
      <b/>
      <sz val="15"/>
      <color rgb="FFFFFFFF"/>
      <name val="Arial"/>
      <family val="2"/>
    </font>
    <font>
      <b/>
      <sz val="10"/>
      <color rgb="FFFFFFFF"/>
      <name val="Arial"/>
      <family val="2"/>
    </font>
    <font>
      <sz val="9"/>
      <color rgb="FF17307C"/>
      <name val="Arial"/>
      <family val="2"/>
    </font>
    <font>
      <sz val="9"/>
      <color rgb="FF064E3B"/>
      <name val="Arial"/>
      <family val="2"/>
    </font>
    <font>
      <sz val="9"/>
      <color rgb="FF7C3D08"/>
      <name val="Arial"/>
      <family val="2"/>
    </font>
    <font>
      <sz val="9"/>
      <color rgb="FF1F2937"/>
      <name val="Arial"/>
      <family val="2"/>
    </font>
    <font>
      <b/>
      <sz val="9"/>
      <color rgb="FF1E5B2A"/>
      <name val="Arial"/>
      <family val="2"/>
    </font>
    <font>
      <b/>
      <sz val="11"/>
      <color rgb="FFFFFFFF"/>
      <name val="Arial"/>
      <family val="2"/>
    </font>
    <font>
      <b/>
      <sz val="12"/>
      <color rgb="FF1A1A1A"/>
      <name val="Arial"/>
      <family val="2"/>
    </font>
    <font>
      <b/>
      <sz val="9"/>
      <color rgb="FFFFFFFF"/>
      <name val="Arial"/>
      <family val="2"/>
    </font>
    <font>
      <sz val="10"/>
      <color rgb="FF17307C"/>
      <name val="Arial"/>
      <family val="2"/>
    </font>
    <font>
      <sz val="10"/>
      <color rgb="FF064E3B"/>
      <name val="Arial"/>
      <family val="2"/>
    </font>
    <font>
      <sz val="10"/>
      <color rgb="FF7C3D08"/>
      <name val="Arial"/>
      <family val="2"/>
    </font>
    <font>
      <sz val="10"/>
      <color rgb="FF1F2937"/>
      <name val="Arial"/>
      <family val="2"/>
    </font>
    <font>
      <sz val="7"/>
      <color rgb="FFA02020"/>
      <name val="Arial"/>
      <family val="2"/>
    </font>
    <font>
      <b/>
      <sz val="12"/>
      <color rgb="FF4C2E83"/>
      <name val="Arial"/>
      <family val="2"/>
    </font>
    <font>
      <b/>
      <sz val="10"/>
      <color rgb="FF1E5B2A"/>
      <name val="Arial"/>
      <family val="2"/>
    </font>
    <font>
      <b/>
      <sz val="12"/>
      <color rgb="FFC0392B"/>
      <name val="Arial"/>
      <family val="2"/>
    </font>
    <font>
      <sz val="7"/>
      <color rgb="FF2E7D32"/>
      <name val="Arial"/>
      <family val="2"/>
    </font>
    <font>
      <b/>
      <i/>
      <sz val="10"/>
      <color rgb="FF595959"/>
      <name val="Arial"/>
      <family val="2"/>
    </font>
    <font>
      <sz val="10"/>
      <color rgb="FF000000"/>
      <name val="Arial"/>
      <family val="2"/>
    </font>
    <font>
      <sz val="9"/>
      <color rgb="FF808080"/>
      <name val="Arial"/>
      <family val="2"/>
    </font>
    <font>
      <b/>
      <sz val="10"/>
      <color rgb="FF000000"/>
      <name val="Arial"/>
      <family val="2"/>
    </font>
    <font>
      <b/>
      <sz val="10"/>
      <color rgb="FF1F3864"/>
      <name val="Arial"/>
      <family val="2"/>
    </font>
    <font>
      <i/>
      <sz val="9"/>
      <color rgb="FF808080"/>
      <name val="Arial"/>
      <family val="2"/>
    </font>
    <font>
      <b/>
      <sz val="13"/>
      <color rgb="FFFFFFFF"/>
      <name val="Arial"/>
      <family val="2"/>
    </font>
    <font>
      <sz val="9"/>
      <color rgb="FF000000"/>
      <name val="Arial"/>
      <family val="2"/>
    </font>
    <font>
      <b/>
      <sz val="11"/>
      <color rgb="FF2E7D32"/>
      <name val="Arial"/>
      <family val="2"/>
    </font>
    <font>
      <sz val="9"/>
      <color rgb="FF6B7280"/>
      <name val="Arial"/>
      <family val="2"/>
    </font>
    <font>
      <b/>
      <sz val="11"/>
      <color rgb="FF000000"/>
      <name val="Arial"/>
      <family val="2"/>
    </font>
    <font>
      <b/>
      <sz val="11"/>
      <color rgb="FF375623"/>
      <name val="Arial"/>
      <family val="2"/>
    </font>
    <font>
      <b/>
      <sz val="10"/>
      <color rgb="FFC00000"/>
      <name val="Arial"/>
      <family val="2"/>
    </font>
    <font>
      <i/>
      <sz val="9"/>
      <color rgb="FF000000"/>
      <name val="Arial"/>
      <family val="2"/>
    </font>
    <font>
      <b/>
      <sz val="14"/>
      <color rgb="FFFFFFFF"/>
      <name val="Arial"/>
      <family val="2"/>
    </font>
    <font>
      <b/>
      <sz val="11"/>
      <color rgb="FF1F3864"/>
      <name val="Arial"/>
      <family val="2"/>
    </font>
    <font>
      <b/>
      <sz val="7"/>
      <color rgb="FF1F2937"/>
      <name val="Arial"/>
      <family val="2"/>
    </font>
    <font>
      <b/>
      <sz val="7"/>
      <color rgb="FFFFFFFF"/>
      <name val="Arial"/>
      <family val="2"/>
    </font>
    <font>
      <b/>
      <sz val="10"/>
      <color rgb="FF17307C"/>
      <name val="Arial"/>
      <family val="2"/>
    </font>
    <font>
      <b/>
      <sz val="10"/>
      <color rgb="FF064E3B"/>
      <name val="Arial"/>
      <family val="2"/>
    </font>
    <font>
      <b/>
      <sz val="10"/>
      <color rgb="FF7C3D08"/>
      <name val="Arial"/>
      <family val="2"/>
    </font>
    <font>
      <b/>
      <sz val="10"/>
      <color rgb="FF1F2937"/>
      <name val="Arial"/>
      <family val="2"/>
    </font>
    <font>
      <b/>
      <sz val="9"/>
      <color rgb="FF1F4E79"/>
      <name val="Arial"/>
      <family val="2"/>
    </font>
    <font>
      <b/>
      <sz val="11"/>
      <color rgb="FF1F4E79"/>
      <name val="Arial"/>
      <family val="2"/>
    </font>
    <font>
      <sz val="9"/>
      <color rgb="FF374151"/>
      <name val="Arial"/>
      <family val="2"/>
    </font>
    <font>
      <b/>
      <sz val="8"/>
      <color rgb="FF1F2937"/>
      <name val="Arial"/>
      <family val="2"/>
    </font>
    <font>
      <sz val="7"/>
      <color rgb="FF9AA0A6"/>
      <name val="Arial"/>
      <family val="2"/>
    </font>
    <font>
      <b/>
      <sz val="8"/>
      <color rgb="FFFFFFFF"/>
      <name val="Arial"/>
      <family val="2"/>
    </font>
    <font>
      <sz val="8"/>
      <color rgb="FF808080"/>
      <name val="Arial"/>
      <family val="2"/>
    </font>
    <font>
      <b/>
      <sz val="9"/>
      <color rgb="FF1F3864"/>
      <name val="Arial"/>
      <family val="2"/>
    </font>
    <font>
      <b/>
      <sz val="11"/>
      <color theme="1"/>
      <name val="Calibri"/>
      <family val="2"/>
      <scheme val="minor"/>
    </font>
    <font>
      <b/>
      <sz val="11"/>
      <color rgb="FF000000"/>
      <name val="Calibri"/>
      <family val="2"/>
      <scheme val="minor"/>
    </font>
  </fonts>
  <fills count="31">
    <fill>
      <patternFill patternType="none"/>
    </fill>
    <fill>
      <patternFill patternType="gray125"/>
    </fill>
    <fill>
      <patternFill patternType="solid">
        <fgColor rgb="FF1F3864"/>
      </patternFill>
    </fill>
    <fill>
      <patternFill patternType="solid">
        <fgColor rgb="FF1D4ED8"/>
      </patternFill>
    </fill>
    <fill>
      <patternFill patternType="solid">
        <fgColor rgb="FFDBEAFE"/>
      </patternFill>
    </fill>
    <fill>
      <patternFill patternType="solid">
        <fgColor rgb="FF047857"/>
      </patternFill>
    </fill>
    <fill>
      <patternFill patternType="solid">
        <fgColor rgb="FFD1FAE5"/>
      </patternFill>
    </fill>
    <fill>
      <patternFill patternType="solid">
        <fgColor rgb="FFB45309"/>
      </patternFill>
    </fill>
    <fill>
      <patternFill patternType="solid">
        <fgColor rgb="FFFEF3C7"/>
      </patternFill>
    </fill>
    <fill>
      <patternFill patternType="solid">
        <fgColor rgb="FF4B5563"/>
      </patternFill>
    </fill>
    <fill>
      <patternFill patternType="solid">
        <fgColor rgb="FFF3F4F6"/>
      </patternFill>
    </fill>
    <fill>
      <patternFill patternType="solid">
        <fgColor rgb="FFC6EFCE"/>
      </patternFill>
    </fill>
    <fill>
      <patternFill patternType="solid">
        <fgColor rgb="FF44546A"/>
      </patternFill>
    </fill>
    <fill>
      <patternFill patternType="solid">
        <fgColor rgb="FF7C5CBF"/>
      </patternFill>
    </fill>
    <fill>
      <patternFill patternType="solid">
        <fgColor rgb="FFF8F9FA"/>
      </patternFill>
    </fill>
    <fill>
      <patternFill patternType="solid">
        <fgColor rgb="FFFFFFFF"/>
      </patternFill>
    </fill>
    <fill>
      <patternFill patternType="solid">
        <fgColor rgb="FFFBE9E7"/>
      </patternFill>
    </fill>
    <fill>
      <patternFill patternType="solid">
        <fgColor rgb="FFEEF2F7"/>
      </patternFill>
    </fill>
    <fill>
      <patternFill patternType="solid">
        <fgColor rgb="FFFDE2E0"/>
      </patternFill>
    </fill>
    <fill>
      <patternFill patternType="solid">
        <fgColor rgb="FFEDF7ED"/>
      </patternFill>
    </fill>
    <fill>
      <patternFill patternType="solid">
        <fgColor rgb="FFFFF2CC"/>
      </patternFill>
    </fill>
    <fill>
      <patternFill patternType="solid">
        <fgColor rgb="FFFFFDE7"/>
      </patternFill>
    </fill>
    <fill>
      <patternFill patternType="solid">
        <fgColor rgb="FFE2EFDA"/>
      </patternFill>
    </fill>
    <fill>
      <patternFill patternType="solid">
        <fgColor rgb="FFE5E9EF"/>
      </patternFill>
    </fill>
    <fill>
      <patternFill patternType="solid">
        <fgColor rgb="FFC0392B"/>
      </patternFill>
    </fill>
    <fill>
      <patternFill patternType="solid">
        <fgColor rgb="FFF7F9FC"/>
      </patternFill>
    </fill>
    <fill>
      <patternFill patternType="solid">
        <fgColor rgb="FFDDEBF7"/>
      </patternFill>
    </fill>
    <fill>
      <patternFill patternType="solid">
        <fgColor rgb="FFE06666"/>
      </patternFill>
    </fill>
    <fill>
      <patternFill patternType="solid">
        <fgColor rgb="FFF6B26B"/>
      </patternFill>
    </fill>
    <fill>
      <patternFill patternType="solid">
        <fgColor rgb="FF8E7CC3"/>
      </patternFill>
    </fill>
    <fill>
      <patternFill patternType="solid">
        <fgColor rgb="FFF4F7F4"/>
      </patternFill>
    </fill>
  </fills>
  <borders count="10">
    <border>
      <left/>
      <right/>
      <top/>
      <bottom/>
      <diagonal/>
    </border>
    <border>
      <left/>
      <right/>
      <top/>
      <bottom style="thin">
        <color rgb="FFCBD5E1"/>
      </bottom>
      <diagonal/>
    </border>
    <border>
      <left style="thin">
        <color rgb="FFFFFFFF"/>
      </left>
      <right style="thin">
        <color rgb="FFFFFFFF"/>
      </right>
      <top style="thin">
        <color rgb="FFFFFFFF"/>
      </top>
      <bottom style="thin">
        <color rgb="FFFFFFFF"/>
      </bottom>
      <diagonal/>
    </border>
    <border>
      <left style="thick">
        <color rgb="FF1D4ED8"/>
      </left>
      <right/>
      <top/>
      <bottom/>
      <diagonal/>
    </border>
    <border>
      <left style="hair">
        <color rgb="FFD6DBE1"/>
      </left>
      <right style="hair">
        <color rgb="FFD6DBE1"/>
      </right>
      <top style="hair">
        <color rgb="FFD6DBE1"/>
      </top>
      <bottom style="hair">
        <color rgb="FFD6DBE1"/>
      </bottom>
      <diagonal/>
    </border>
    <border>
      <left style="thick">
        <color rgb="FF047857"/>
      </left>
      <right/>
      <top/>
      <bottom/>
      <diagonal/>
    </border>
    <border>
      <left style="thick">
        <color rgb="FFB45309"/>
      </left>
      <right/>
      <top/>
      <bottom/>
      <diagonal/>
    </border>
    <border>
      <left style="thick">
        <color rgb="FF4B5563"/>
      </left>
      <right/>
      <top/>
      <bottom/>
      <diagonal/>
    </border>
    <border>
      <left style="thin">
        <color rgb="FF9AA0A6"/>
      </left>
      <right style="thin">
        <color rgb="FF9AA0A6"/>
      </right>
      <top style="thin">
        <color rgb="FF9AA0A6"/>
      </top>
      <bottom style="thin">
        <color rgb="FF9AA0A6"/>
      </bottom>
      <diagonal/>
    </border>
    <border>
      <left/>
      <right/>
      <top/>
      <bottom style="thin">
        <color rgb="FFE5E9EF"/>
      </bottom>
      <diagonal/>
    </border>
  </borders>
  <cellStyleXfs count="1">
    <xf numFmtId="0" fontId="0" fillId="0" borderId="0"/>
  </cellStyleXfs>
  <cellXfs count="12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8" fillId="3" borderId="0" xfId="0" applyFont="1" applyFill="1" applyAlignment="1">
      <alignment horizontal="center" vertical="center"/>
    </xf>
    <xf numFmtId="0" fontId="8" fillId="5" borderId="0" xfId="0" applyFont="1" applyFill="1" applyAlignment="1">
      <alignment horizontal="center" vertical="center"/>
    </xf>
    <xf numFmtId="0" fontId="8" fillId="7" borderId="0" xfId="0" applyFont="1" applyFill="1" applyAlignment="1">
      <alignment horizontal="center" vertical="center"/>
    </xf>
    <xf numFmtId="0" fontId="8" fillId="9" borderId="0" xfId="0" applyFont="1" applyFill="1" applyAlignment="1">
      <alignment horizontal="center" vertical="center"/>
    </xf>
    <xf numFmtId="0" fontId="0" fillId="14" borderId="0" xfId="0" applyFill="1"/>
    <xf numFmtId="0" fontId="16" fillId="3" borderId="2" xfId="0" applyFont="1" applyFill="1" applyBorder="1" applyAlignment="1">
      <alignment horizontal="center" vertical="center"/>
    </xf>
    <xf numFmtId="0" fontId="17" fillId="4" borderId="2" xfId="0" applyFont="1" applyFill="1" applyBorder="1" applyAlignment="1">
      <alignment horizontal="left" vertical="center" indent="1"/>
    </xf>
    <xf numFmtId="0" fontId="23" fillId="11" borderId="2" xfId="0" applyFont="1" applyFill="1" applyBorder="1" applyAlignment="1">
      <alignment horizontal="left" vertical="center" indent="1"/>
    </xf>
    <xf numFmtId="0" fontId="16" fillId="5" borderId="2" xfId="0" applyFont="1" applyFill="1" applyBorder="1" applyAlignment="1">
      <alignment horizontal="center" vertical="center"/>
    </xf>
    <xf numFmtId="0" fontId="18" fillId="6" borderId="2" xfId="0" applyFont="1" applyFill="1" applyBorder="1" applyAlignment="1">
      <alignment horizontal="left" vertical="center" indent="1"/>
    </xf>
    <xf numFmtId="0" fontId="16" fillId="7" borderId="2" xfId="0" applyFont="1" applyFill="1" applyBorder="1" applyAlignment="1">
      <alignment horizontal="center" vertical="center"/>
    </xf>
    <xf numFmtId="0" fontId="19" fillId="8" borderId="2" xfId="0" applyFont="1" applyFill="1" applyBorder="1" applyAlignment="1">
      <alignment horizontal="left" vertical="center" indent="1"/>
    </xf>
    <xf numFmtId="0" fontId="16" fillId="9" borderId="2" xfId="0" applyFont="1" applyFill="1" applyBorder="1" applyAlignment="1">
      <alignment horizontal="center" vertical="center"/>
    </xf>
    <xf numFmtId="0" fontId="20" fillId="10" borderId="2" xfId="0" applyFont="1" applyFill="1" applyBorder="1" applyAlignment="1">
      <alignment horizontal="left" vertical="center" indent="1"/>
    </xf>
    <xf numFmtId="0" fontId="8" fillId="2" borderId="0" xfId="0" applyFont="1" applyFill="1" applyAlignment="1">
      <alignment horizontal="left" vertical="center" indent="1"/>
    </xf>
    <xf numFmtId="0" fontId="8" fillId="2" borderId="0" xfId="0" applyFont="1" applyFill="1" applyAlignment="1">
      <alignment horizontal="center" vertical="center"/>
    </xf>
    <xf numFmtId="0" fontId="42" fillId="23" borderId="0" xfId="0" applyFont="1" applyFill="1" applyAlignment="1">
      <alignment horizontal="center" vertical="center"/>
    </xf>
    <xf numFmtId="0" fontId="43" fillId="13" borderId="0" xfId="0" applyFont="1" applyFill="1" applyAlignment="1">
      <alignment horizontal="center" vertical="center"/>
    </xf>
    <xf numFmtId="0" fontId="43" fillId="24" borderId="0" xfId="0" applyFont="1" applyFill="1" applyAlignment="1">
      <alignment horizontal="center" vertical="center"/>
    </xf>
    <xf numFmtId="0" fontId="44" fillId="4" borderId="3" xfId="0" applyFont="1" applyFill="1" applyBorder="1" applyAlignment="1">
      <alignment horizontal="left" vertical="center" indent="1"/>
    </xf>
    <xf numFmtId="0" fontId="30" fillId="25" borderId="0" xfId="0" applyFont="1" applyFill="1" applyAlignment="1">
      <alignment horizontal="center" vertical="center"/>
    </xf>
    <xf numFmtId="0" fontId="33" fillId="15" borderId="4" xfId="0" applyFont="1" applyFill="1" applyBorder="1" applyAlignment="1">
      <alignment horizontal="center" vertical="center"/>
    </xf>
    <xf numFmtId="0" fontId="33" fillId="17" borderId="4" xfId="0" applyFont="1" applyFill="1" applyBorder="1" applyAlignment="1">
      <alignment horizontal="center" vertical="center"/>
    </xf>
    <xf numFmtId="0" fontId="45" fillId="6" borderId="5" xfId="0" applyFont="1" applyFill="1" applyBorder="1" applyAlignment="1">
      <alignment horizontal="left" vertical="center" indent="1"/>
    </xf>
    <xf numFmtId="0" fontId="46" fillId="8" borderId="6" xfId="0" applyFont="1" applyFill="1" applyBorder="1" applyAlignment="1">
      <alignment horizontal="left" vertical="center" indent="1"/>
    </xf>
    <xf numFmtId="0" fontId="47" fillId="10" borderId="7" xfId="0" applyFont="1" applyFill="1" applyBorder="1" applyAlignment="1">
      <alignment horizontal="left" vertical="center" indent="1"/>
    </xf>
    <xf numFmtId="0" fontId="8" fillId="12" borderId="0" xfId="0" applyFont="1" applyFill="1" applyAlignment="1">
      <alignment horizontal="right" vertical="center" indent="1"/>
    </xf>
    <xf numFmtId="0" fontId="49" fillId="26" borderId="0" xfId="0" applyFont="1" applyFill="1" applyAlignment="1">
      <alignment horizontal="center" vertical="center"/>
    </xf>
    <xf numFmtId="0" fontId="48" fillId="26" borderId="0" xfId="0" applyFont="1" applyFill="1" applyAlignment="1">
      <alignment horizontal="center" vertical="center"/>
    </xf>
    <xf numFmtId="0" fontId="16" fillId="2" borderId="0" xfId="0" applyFont="1" applyFill="1" applyAlignment="1">
      <alignment horizontal="center" vertical="center" wrapText="1"/>
    </xf>
    <xf numFmtId="0" fontId="27" fillId="0" borderId="9" xfId="0" applyFont="1" applyBorder="1"/>
    <xf numFmtId="0" fontId="28" fillId="0" borderId="9" xfId="0" applyFont="1" applyBorder="1"/>
    <xf numFmtId="0" fontId="27" fillId="20" borderId="9" xfId="0" applyFont="1" applyFill="1" applyBorder="1" applyAlignment="1">
      <alignment horizontal="center"/>
    </xf>
    <xf numFmtId="0" fontId="27" fillId="0" borderId="9" xfId="0" applyFont="1" applyBorder="1" applyAlignment="1">
      <alignment horizontal="center"/>
    </xf>
    <xf numFmtId="0" fontId="27" fillId="21" borderId="9" xfId="0" applyFont="1" applyFill="1" applyBorder="1" applyAlignment="1">
      <alignment horizontal="center"/>
    </xf>
    <xf numFmtId="0" fontId="29" fillId="21" borderId="9" xfId="0" applyFont="1" applyFill="1" applyBorder="1" applyAlignment="1">
      <alignment horizontal="center"/>
    </xf>
    <xf numFmtId="0" fontId="27" fillId="25" borderId="9" xfId="0" applyFont="1" applyFill="1" applyBorder="1"/>
    <xf numFmtId="0" fontId="28" fillId="25" borderId="9" xfId="0" applyFont="1" applyFill="1" applyBorder="1"/>
    <xf numFmtId="0" fontId="27" fillId="25" borderId="9" xfId="0" applyFont="1" applyFill="1" applyBorder="1" applyAlignment="1">
      <alignment horizontal="center"/>
    </xf>
    <xf numFmtId="0" fontId="29" fillId="0" borderId="0" xfId="0" applyFont="1"/>
    <xf numFmtId="0" fontId="30" fillId="0" borderId="0" xfId="0" applyFont="1" applyAlignment="1">
      <alignment horizontal="center"/>
    </xf>
    <xf numFmtId="0" fontId="0" fillId="27" borderId="8" xfId="0" applyFill="1" applyBorder="1"/>
    <xf numFmtId="0" fontId="0" fillId="28" borderId="8" xfId="0" applyFill="1" applyBorder="1"/>
    <xf numFmtId="0" fontId="0" fillId="29" borderId="8" xfId="0" applyFill="1" applyBorder="1"/>
    <xf numFmtId="0" fontId="0" fillId="30" borderId="8" xfId="0" applyFill="1" applyBorder="1"/>
    <xf numFmtId="0" fontId="52" fillId="0" borderId="0" xfId="0" applyFont="1" applyAlignment="1">
      <alignment horizontal="center"/>
    </xf>
    <xf numFmtId="0" fontId="8" fillId="2" borderId="0" xfId="0" applyFont="1" applyFill="1"/>
    <xf numFmtId="0" fontId="16" fillId="2" borderId="0" xfId="0" applyFont="1" applyFill="1"/>
    <xf numFmtId="0" fontId="51" fillId="23" borderId="0" xfId="0" applyFont="1" applyFill="1" applyAlignment="1">
      <alignment horizontal="center" vertical="center"/>
    </xf>
    <xf numFmtId="0" fontId="53" fillId="13" borderId="0" xfId="0" applyFont="1" applyFill="1" applyAlignment="1">
      <alignment horizontal="center" vertical="center"/>
    </xf>
    <xf numFmtId="0" fontId="53" fillId="24" borderId="0" xfId="0" applyFont="1" applyFill="1" applyAlignment="1">
      <alignment horizontal="center" vertical="center"/>
    </xf>
    <xf numFmtId="0" fontId="27" fillId="15" borderId="0" xfId="0" applyFont="1" applyFill="1"/>
    <xf numFmtId="0" fontId="54" fillId="15" borderId="0" xfId="0" applyFont="1" applyFill="1" applyAlignment="1">
      <alignment horizontal="center"/>
    </xf>
    <xf numFmtId="0" fontId="0" fillId="30" borderId="4" xfId="0" applyFill="1" applyBorder="1" applyAlignment="1">
      <alignment horizontal="center" vertical="center"/>
    </xf>
    <xf numFmtId="0" fontId="43" fillId="27" borderId="4" xfId="0" applyFont="1" applyFill="1" applyBorder="1" applyAlignment="1">
      <alignment horizontal="center" vertical="center"/>
    </xf>
    <xf numFmtId="0" fontId="27" fillId="25" borderId="0" xfId="0" applyFont="1" applyFill="1"/>
    <xf numFmtId="0" fontId="54" fillId="25" borderId="0" xfId="0" applyFont="1" applyFill="1" applyAlignment="1">
      <alignment horizontal="center"/>
    </xf>
    <xf numFmtId="0" fontId="43" fillId="28" borderId="4" xfId="0" applyFont="1" applyFill="1" applyBorder="1" applyAlignment="1">
      <alignment horizontal="center" vertical="center"/>
    </xf>
    <xf numFmtId="0" fontId="43" fillId="29" borderId="4" xfId="0" applyFont="1" applyFill="1" applyBorder="1" applyAlignment="1">
      <alignment horizontal="center" vertical="center"/>
    </xf>
    <xf numFmtId="0" fontId="55" fillId="0" borderId="0" xfId="0" applyFont="1"/>
    <xf numFmtId="0" fontId="51" fillId="23" borderId="0" xfId="0" applyFont="1" applyFill="1" applyAlignment="1">
      <alignment horizontal="center"/>
    </xf>
    <xf numFmtId="0" fontId="51" fillId="28" borderId="0" xfId="0" applyFont="1" applyFill="1" applyAlignment="1">
      <alignment horizontal="center"/>
    </xf>
    <xf numFmtId="0" fontId="53" fillId="24" borderId="0" xfId="0" applyFont="1" applyFill="1" applyAlignment="1">
      <alignment horizontal="center"/>
    </xf>
    <xf numFmtId="0" fontId="29" fillId="0" borderId="9" xfId="0" applyFont="1" applyBorder="1"/>
    <xf numFmtId="0" fontId="33" fillId="0" borderId="9" xfId="0" applyFont="1" applyBorder="1" applyAlignment="1">
      <alignment vertical="top" wrapText="1"/>
    </xf>
    <xf numFmtId="0" fontId="34" fillId="22" borderId="9" xfId="0" applyFont="1" applyFill="1" applyBorder="1" applyAlignment="1">
      <alignment horizontal="center"/>
    </xf>
    <xf numFmtId="0" fontId="35" fillId="0" borderId="9" xfId="0" applyFont="1" applyBorder="1" applyAlignment="1">
      <alignment vertical="top" wrapText="1"/>
    </xf>
    <xf numFmtId="0" fontId="29" fillId="25" borderId="9" xfId="0" applyFont="1" applyFill="1" applyBorder="1"/>
    <xf numFmtId="0" fontId="33" fillId="25" borderId="9" xfId="0" applyFont="1" applyFill="1" applyBorder="1" applyAlignment="1">
      <alignment vertical="top" wrapText="1"/>
    </xf>
    <xf numFmtId="0" fontId="35" fillId="25" borderId="9" xfId="0" applyFont="1" applyFill="1" applyBorder="1" applyAlignment="1">
      <alignment vertical="top" wrapText="1"/>
    </xf>
    <xf numFmtId="0" fontId="34" fillId="22" borderId="0" xfId="0" applyFont="1" applyFill="1"/>
    <xf numFmtId="0" fontId="2" fillId="0" borderId="0" xfId="0" applyFont="1"/>
    <xf numFmtId="0" fontId="33" fillId="0" borderId="9" xfId="0" applyFont="1" applyBorder="1"/>
    <xf numFmtId="0" fontId="0" fillId="0" borderId="9" xfId="0" applyBorder="1" applyAlignment="1">
      <alignment horizontal="center"/>
    </xf>
    <xf numFmtId="0" fontId="0" fillId="20" borderId="9" xfId="0" applyFill="1" applyBorder="1" applyAlignment="1">
      <alignment horizontal="center"/>
    </xf>
    <xf numFmtId="0" fontId="33" fillId="25" borderId="9" xfId="0" applyFont="1" applyFill="1" applyBorder="1"/>
    <xf numFmtId="0" fontId="0" fillId="25" borderId="9" xfId="0" applyFill="1" applyBorder="1" applyAlignment="1">
      <alignment horizontal="center"/>
    </xf>
    <xf numFmtId="0" fontId="0" fillId="0" borderId="9" xfId="0" applyBorder="1" applyAlignment="1">
      <alignment vertical="top" wrapText="1"/>
    </xf>
    <xf numFmtId="0" fontId="0" fillId="20" borderId="9" xfId="0" applyFill="1" applyBorder="1" applyAlignment="1">
      <alignment vertical="top" wrapText="1"/>
    </xf>
    <xf numFmtId="0" fontId="0" fillId="25" borderId="9" xfId="0" applyFill="1" applyBorder="1" applyAlignment="1">
      <alignment vertical="top" wrapText="1"/>
    </xf>
    <xf numFmtId="0" fontId="8" fillId="2" borderId="0" xfId="0" applyFont="1" applyFill="1" applyAlignment="1">
      <alignment horizontal="center"/>
    </xf>
    <xf numFmtId="0" fontId="37" fillId="0" borderId="9" xfId="0" applyFont="1" applyBorder="1" applyAlignment="1">
      <alignment horizontal="center"/>
    </xf>
    <xf numFmtId="0" fontId="37" fillId="25" borderId="9" xfId="0" applyFont="1" applyFill="1" applyBorder="1" applyAlignment="1">
      <alignment horizontal="center"/>
    </xf>
    <xf numFmtId="0" fontId="0" fillId="0" borderId="9" xfId="0" applyBorder="1" applyAlignment="1">
      <alignment wrapText="1"/>
    </xf>
    <xf numFmtId="0" fontId="0" fillId="25" borderId="9" xfId="0" applyFill="1" applyBorder="1" applyAlignment="1">
      <alignment wrapText="1"/>
    </xf>
    <xf numFmtId="0" fontId="27" fillId="0" borderId="0" xfId="0" applyFont="1"/>
    <xf numFmtId="1" fontId="27" fillId="20" borderId="9" xfId="0" applyNumberFormat="1" applyFont="1" applyFill="1" applyBorder="1" applyAlignment="1">
      <alignment horizontal="center"/>
    </xf>
    <xf numFmtId="1" fontId="27" fillId="0" borderId="9" xfId="0" applyNumberFormat="1" applyFont="1" applyBorder="1" applyAlignment="1">
      <alignment horizontal="center"/>
    </xf>
    <xf numFmtId="1" fontId="27" fillId="25" borderId="9" xfId="0" applyNumberFormat="1" applyFont="1" applyFill="1" applyBorder="1" applyAlignment="1">
      <alignment horizontal="center"/>
    </xf>
    <xf numFmtId="1" fontId="0" fillId="0" borderId="0" xfId="0" applyNumberFormat="1"/>
    <xf numFmtId="0" fontId="56" fillId="20" borderId="9" xfId="0" applyFont="1" applyFill="1" applyBorder="1" applyAlignment="1">
      <alignment vertical="top" wrapText="1"/>
    </xf>
    <xf numFmtId="0" fontId="57" fillId="20" borderId="9" xfId="0" applyFont="1" applyFill="1" applyBorder="1" applyAlignment="1">
      <alignment vertical="top" wrapText="1"/>
    </xf>
    <xf numFmtId="0" fontId="21" fillId="16" borderId="0" xfId="0" applyFont="1" applyFill="1" applyAlignment="1">
      <alignment horizontal="left" vertical="top" wrapText="1" indent="1"/>
    </xf>
    <xf numFmtId="0" fontId="0" fillId="0" borderId="0" xfId="0"/>
    <xf numFmtId="0" fontId="15" fillId="15" borderId="1" xfId="0" applyFont="1" applyFill="1" applyBorder="1" applyAlignment="1">
      <alignment horizontal="left" vertical="center" indent="1"/>
    </xf>
    <xf numFmtId="0" fontId="7" fillId="2" borderId="0" xfId="0" applyFont="1" applyFill="1" applyAlignment="1">
      <alignment horizontal="center" vertical="center"/>
    </xf>
    <xf numFmtId="0" fontId="14" fillId="12" borderId="0" xfId="0" applyFont="1" applyFill="1" applyAlignment="1">
      <alignment horizontal="center" vertical="center"/>
    </xf>
    <xf numFmtId="0" fontId="9" fillId="4" borderId="0" xfId="0" applyFont="1" applyFill="1" applyAlignment="1">
      <alignment horizontal="left" vertical="center" indent="1"/>
    </xf>
    <xf numFmtId="0" fontId="22" fillId="17" borderId="1" xfId="0" applyFont="1" applyFill="1" applyBorder="1" applyAlignment="1">
      <alignment horizontal="left" vertical="center" indent="1"/>
    </xf>
    <xf numFmtId="0" fontId="12" fillId="10" borderId="0" xfId="0" applyFont="1" applyFill="1" applyAlignment="1">
      <alignment horizontal="left" vertical="center" indent="1"/>
    </xf>
    <xf numFmtId="0" fontId="13" fillId="11" borderId="0" xfId="0" applyFont="1" applyFill="1" applyAlignment="1">
      <alignment horizontal="center" vertical="center"/>
    </xf>
    <xf numFmtId="0" fontId="11" fillId="8" borderId="0" xfId="0" applyFont="1" applyFill="1" applyAlignment="1">
      <alignment horizontal="left" vertical="center" indent="1"/>
    </xf>
    <xf numFmtId="0" fontId="10" fillId="6" borderId="0" xfId="0" applyFont="1" applyFill="1" applyAlignment="1">
      <alignment horizontal="left" vertical="center" indent="1"/>
    </xf>
    <xf numFmtId="0" fontId="25" fillId="19" borderId="0" xfId="0" applyFont="1" applyFill="1" applyAlignment="1">
      <alignment horizontal="left" vertical="top" wrapText="1" indent="1"/>
    </xf>
    <xf numFmtId="0" fontId="24" fillId="18" borderId="1" xfId="0" applyFont="1" applyFill="1" applyBorder="1" applyAlignment="1">
      <alignment horizontal="left" vertical="center" indent="1"/>
    </xf>
    <xf numFmtId="0" fontId="14" fillId="13" borderId="0" xfId="0" applyFont="1" applyFill="1" applyAlignment="1">
      <alignment horizontal="center" vertical="center"/>
    </xf>
    <xf numFmtId="0" fontId="41" fillId="17" borderId="0" xfId="0" applyFont="1" applyFill="1" applyAlignment="1">
      <alignment horizontal="left" vertical="center" indent="1"/>
    </xf>
    <xf numFmtId="0" fontId="40" fillId="2" borderId="0" xfId="0" applyFont="1" applyFill="1" applyAlignment="1">
      <alignment horizontal="center" vertical="center"/>
    </xf>
    <xf numFmtId="0" fontId="31" fillId="0" borderId="0" xfId="0" applyFont="1"/>
    <xf numFmtId="0" fontId="26" fillId="0" borderId="0" xfId="0" applyFont="1"/>
    <xf numFmtId="0" fontId="50" fillId="0" borderId="0" xfId="0" applyFont="1" applyAlignment="1">
      <alignment horizontal="left" vertical="center" indent="1"/>
    </xf>
    <xf numFmtId="0" fontId="32" fillId="2" borderId="0" xfId="0" applyFont="1" applyFill="1" applyAlignment="1">
      <alignment horizontal="center"/>
    </xf>
    <xf numFmtId="0" fontId="36" fillId="0" borderId="0" xfId="0" applyFont="1"/>
    <xf numFmtId="0" fontId="2" fillId="0" borderId="0" xfId="0" applyFont="1"/>
    <xf numFmtId="0" fontId="32" fillId="2" borderId="0" xfId="0" applyFont="1" applyFill="1"/>
    <xf numFmtId="0" fontId="39" fillId="0" borderId="0" xfId="0" applyFont="1"/>
    <xf numFmtId="0" fontId="38"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D4F798D-1D00-4245-A8EE-90FA471E4C25}">
  <we:reference id="WA200010725" version="1.0.0.1" store="es-es" storeType="omex"/>
  <we:alternateReferences>
    <we:reference id="WA200010725" version="1.0.0.1" store="es-es" storeType="omex"/>
  </we:alternateReferences>
  <we:properties>
    <we:property name="claude.fileId" value="&quot;0b03706f-07cb-4e98-95ab-c63b29a69b91&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25"/>
  <sheetViews>
    <sheetView showGridLines="0" workbookViewId="0"/>
  </sheetViews>
  <sheetFormatPr baseColWidth="10" defaultColWidth="8.83203125" defaultRowHeight="15" x14ac:dyDescent="0.2"/>
  <cols>
    <col min="1" max="1" width="3" customWidth="1"/>
    <col min="2" max="2" width="110" customWidth="1"/>
  </cols>
  <sheetData>
    <row r="2" spans="2:2" ht="21" x14ac:dyDescent="0.2">
      <c r="B2" s="1" t="s">
        <v>0</v>
      </c>
    </row>
    <row r="3" spans="2:2" ht="17" x14ac:dyDescent="0.2">
      <c r="B3" s="2" t="s">
        <v>1</v>
      </c>
    </row>
    <row r="5" spans="2:2" ht="17" x14ac:dyDescent="0.2">
      <c r="B5" s="3" t="s">
        <v>2</v>
      </c>
    </row>
    <row r="6" spans="2:2" ht="30" x14ac:dyDescent="0.2">
      <c r="B6" s="4" t="s">
        <v>3</v>
      </c>
    </row>
    <row r="7" spans="2:2" ht="30" x14ac:dyDescent="0.2">
      <c r="B7" s="4" t="s">
        <v>4</v>
      </c>
    </row>
    <row r="8" spans="2:2" ht="30" x14ac:dyDescent="0.2">
      <c r="B8" s="4" t="s">
        <v>5</v>
      </c>
    </row>
    <row r="9" spans="2:2" ht="30" x14ac:dyDescent="0.2">
      <c r="B9" s="4" t="s">
        <v>6</v>
      </c>
    </row>
    <row r="10" spans="2:2" x14ac:dyDescent="0.2">
      <c r="B10" s="4" t="s">
        <v>7</v>
      </c>
    </row>
    <row r="11" spans="2:2" x14ac:dyDescent="0.2">
      <c r="B11" s="4" t="s">
        <v>8</v>
      </c>
    </row>
    <row r="12" spans="2:2" x14ac:dyDescent="0.2">
      <c r="B12" s="4" t="s">
        <v>9</v>
      </c>
    </row>
    <row r="14" spans="2:2" ht="17" x14ac:dyDescent="0.2">
      <c r="B14" s="3" t="s">
        <v>10</v>
      </c>
    </row>
    <row r="15" spans="2:2" ht="30" x14ac:dyDescent="0.2">
      <c r="B15" s="4" t="s">
        <v>11</v>
      </c>
    </row>
    <row r="17" spans="2:2" ht="17" x14ac:dyDescent="0.2">
      <c r="B17" s="3" t="s">
        <v>12</v>
      </c>
    </row>
    <row r="18" spans="2:2" ht="30" x14ac:dyDescent="0.2">
      <c r="B18" s="4" t="s">
        <v>13</v>
      </c>
    </row>
    <row r="20" spans="2:2" ht="45" x14ac:dyDescent="0.2">
      <c r="B20" s="5" t="s">
        <v>14</v>
      </c>
    </row>
    <row r="21" spans="2:2" ht="30" x14ac:dyDescent="0.2">
      <c r="B21" s="6" t="s">
        <v>15</v>
      </c>
    </row>
    <row r="24" spans="2:2" ht="17" x14ac:dyDescent="0.2">
      <c r="B24" s="3" t="s">
        <v>16</v>
      </c>
    </row>
    <row r="25" spans="2:2" ht="45" x14ac:dyDescent="0.2">
      <c r="B25" s="4" t="s">
        <v>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58"/>
  <sheetViews>
    <sheetView showGridLines="0" workbookViewId="0">
      <pane ySplit="4" topLeftCell="A7" activePane="bottomLeft" state="frozen"/>
      <selection pane="bottomLeft" activeCell="R10" sqref="R10"/>
    </sheetView>
  </sheetViews>
  <sheetFormatPr baseColWidth="10" defaultColWidth="8.83203125" defaultRowHeight="15" x14ac:dyDescent="0.2"/>
  <cols>
    <col min="1" max="1" width="5.5" customWidth="1"/>
    <col min="2" max="2" width="15.5" customWidth="1"/>
    <col min="3" max="3" width="5.5" customWidth="1"/>
    <col min="4" max="4" width="15.5" customWidth="1"/>
    <col min="5" max="5" width="5.5" customWidth="1"/>
    <col min="6" max="6" width="15.5" customWidth="1"/>
    <col min="7" max="7" width="5.5" customWidth="1"/>
    <col min="8" max="8" width="15.5" customWidth="1"/>
    <col min="9" max="9" width="5.5" customWidth="1"/>
    <col min="10" max="10" width="15.5" customWidth="1"/>
    <col min="11" max="11" width="5.5" customWidth="1"/>
    <col min="12" max="12" width="15.5" customWidth="1"/>
    <col min="13" max="13" width="5.5" customWidth="1"/>
    <col min="14" max="14" width="15.5" customWidth="1"/>
  </cols>
  <sheetData>
    <row r="1" spans="1:14" ht="32" customHeight="1" x14ac:dyDescent="0.2">
      <c r="A1" s="102" t="s">
        <v>18</v>
      </c>
      <c r="B1" s="100"/>
      <c r="C1" s="100"/>
      <c r="D1" s="100"/>
      <c r="E1" s="100"/>
      <c r="F1" s="100"/>
      <c r="G1" s="100"/>
      <c r="H1" s="100"/>
      <c r="I1" s="100"/>
      <c r="J1" s="100"/>
      <c r="K1" s="100"/>
      <c r="L1" s="100"/>
      <c r="M1" s="100"/>
      <c r="N1" s="100"/>
    </row>
    <row r="2" spans="1:14" ht="20" customHeight="1" x14ac:dyDescent="0.2">
      <c r="A2" s="7" t="s">
        <v>19</v>
      </c>
      <c r="B2" s="104" t="s">
        <v>20</v>
      </c>
      <c r="C2" s="100"/>
      <c r="D2" s="8" t="s">
        <v>21</v>
      </c>
      <c r="E2" s="109" t="s">
        <v>22</v>
      </c>
      <c r="F2" s="100"/>
      <c r="G2" s="9" t="s">
        <v>23</v>
      </c>
      <c r="H2" s="108" t="s">
        <v>24</v>
      </c>
      <c r="I2" s="100"/>
      <c r="J2" s="10" t="s">
        <v>25</v>
      </c>
      <c r="K2" s="106" t="s">
        <v>26</v>
      </c>
      <c r="L2" s="100"/>
      <c r="M2" s="107" t="s">
        <v>27</v>
      </c>
      <c r="N2" s="100"/>
    </row>
    <row r="4" spans="1:14" ht="22" customHeight="1" x14ac:dyDescent="0.2">
      <c r="A4" s="103" t="s">
        <v>28</v>
      </c>
      <c r="B4" s="100"/>
      <c r="C4" s="103" t="s">
        <v>29</v>
      </c>
      <c r="D4" s="100"/>
      <c r="E4" s="103" t="s">
        <v>30</v>
      </c>
      <c r="F4" s="100"/>
      <c r="G4" s="103" t="s">
        <v>31</v>
      </c>
      <c r="H4" s="100"/>
      <c r="I4" s="103" t="s">
        <v>32</v>
      </c>
      <c r="J4" s="100"/>
      <c r="K4" s="112" t="s">
        <v>33</v>
      </c>
      <c r="L4" s="100"/>
      <c r="M4" s="112" t="s">
        <v>34</v>
      </c>
      <c r="N4" s="100"/>
    </row>
    <row r="5" spans="1:14" ht="21" customHeight="1" x14ac:dyDescent="0.2">
      <c r="A5" s="11"/>
      <c r="B5" s="11"/>
      <c r="C5" s="11"/>
      <c r="D5" s="11"/>
      <c r="E5" s="11"/>
      <c r="F5" s="11"/>
      <c r="G5" s="101" t="s">
        <v>35</v>
      </c>
      <c r="H5" s="100"/>
      <c r="I5" s="101" t="s">
        <v>36</v>
      </c>
      <c r="J5" s="100"/>
      <c r="K5" s="105" t="s">
        <v>37</v>
      </c>
      <c r="L5" s="100"/>
      <c r="M5" s="105" t="s">
        <v>38</v>
      </c>
      <c r="N5" s="100"/>
    </row>
    <row r="6" spans="1:14" ht="5" customHeight="1" x14ac:dyDescent="0.2">
      <c r="A6" s="11"/>
      <c r="B6" s="11"/>
      <c r="C6" s="11"/>
      <c r="D6" s="11"/>
      <c r="E6" s="11"/>
      <c r="F6" s="11"/>
    </row>
    <row r="7" spans="1:14" ht="18" customHeight="1" x14ac:dyDescent="0.2">
      <c r="A7" s="11"/>
      <c r="B7" s="11"/>
      <c r="C7" s="11"/>
      <c r="D7" s="11"/>
      <c r="E7" s="11"/>
      <c r="F7" s="11"/>
      <c r="G7" s="12" t="s">
        <v>19</v>
      </c>
      <c r="H7" s="13" t="s">
        <v>39</v>
      </c>
      <c r="I7" s="12" t="s">
        <v>19</v>
      </c>
      <c r="J7" s="13" t="s">
        <v>39</v>
      </c>
      <c r="K7" s="12" t="s">
        <v>19</v>
      </c>
      <c r="L7" s="14" t="s">
        <v>39</v>
      </c>
      <c r="M7" s="12" t="s">
        <v>19</v>
      </c>
      <c r="N7" s="14" t="s">
        <v>39</v>
      </c>
    </row>
    <row r="8" spans="1:14" ht="18" customHeight="1" x14ac:dyDescent="0.2">
      <c r="A8" s="11"/>
      <c r="B8" s="11"/>
      <c r="C8" s="11"/>
      <c r="D8" s="11"/>
      <c r="E8" s="11"/>
      <c r="F8" s="11"/>
      <c r="G8" s="15" t="s">
        <v>21</v>
      </c>
      <c r="H8" s="16" t="s">
        <v>40</v>
      </c>
      <c r="I8" s="15" t="s">
        <v>21</v>
      </c>
      <c r="J8" s="16" t="s">
        <v>41</v>
      </c>
      <c r="K8" s="15" t="s">
        <v>21</v>
      </c>
      <c r="L8" s="16" t="s">
        <v>42</v>
      </c>
      <c r="M8" s="15" t="s">
        <v>21</v>
      </c>
      <c r="N8" s="16" t="s">
        <v>41</v>
      </c>
    </row>
    <row r="9" spans="1:14" ht="18" customHeight="1" x14ac:dyDescent="0.2">
      <c r="A9" s="11"/>
      <c r="B9" s="11"/>
      <c r="C9" s="11"/>
      <c r="D9" s="11"/>
      <c r="E9" s="11"/>
      <c r="F9" s="11"/>
      <c r="G9" s="17" t="s">
        <v>23</v>
      </c>
      <c r="H9" s="18" t="s">
        <v>43</v>
      </c>
      <c r="I9" s="17" t="s">
        <v>23</v>
      </c>
      <c r="J9" s="18" t="s">
        <v>44</v>
      </c>
      <c r="K9" s="17" t="s">
        <v>23</v>
      </c>
      <c r="L9" s="18" t="s">
        <v>45</v>
      </c>
      <c r="M9" s="17" t="s">
        <v>23</v>
      </c>
      <c r="N9" s="18" t="s">
        <v>44</v>
      </c>
    </row>
    <row r="10" spans="1:14" ht="18" customHeight="1" x14ac:dyDescent="0.2">
      <c r="A10" s="11"/>
      <c r="B10" s="11"/>
      <c r="C10" s="11"/>
      <c r="D10" s="11"/>
      <c r="E10" s="11"/>
      <c r="F10" s="11"/>
      <c r="G10" s="19" t="s">
        <v>25</v>
      </c>
      <c r="H10" s="20" t="s">
        <v>46</v>
      </c>
      <c r="I10" s="19" t="s">
        <v>25</v>
      </c>
      <c r="J10" s="20" t="s">
        <v>47</v>
      </c>
      <c r="K10" s="19" t="s">
        <v>25</v>
      </c>
      <c r="L10" s="20" t="s">
        <v>48</v>
      </c>
      <c r="M10" s="19" t="s">
        <v>25</v>
      </c>
      <c r="N10" s="20" t="s">
        <v>47</v>
      </c>
    </row>
    <row r="11" spans="1:14" ht="18" customHeight="1" x14ac:dyDescent="0.2">
      <c r="A11" s="11"/>
      <c r="B11" s="11"/>
      <c r="C11" s="11"/>
      <c r="D11" s="11"/>
      <c r="E11" s="11"/>
      <c r="F11" s="11"/>
      <c r="G11" s="19" t="s">
        <v>25</v>
      </c>
      <c r="H11" s="20" t="s">
        <v>49</v>
      </c>
      <c r="I11" s="19" t="s">
        <v>25</v>
      </c>
      <c r="J11" s="20" t="s">
        <v>50</v>
      </c>
      <c r="K11" s="19" t="s">
        <v>25</v>
      </c>
      <c r="L11" s="20" t="s">
        <v>51</v>
      </c>
      <c r="M11" s="19" t="s">
        <v>25</v>
      </c>
      <c r="N11" s="20" t="s">
        <v>50</v>
      </c>
    </row>
    <row r="12" spans="1:14" ht="30" customHeight="1" x14ac:dyDescent="0.2">
      <c r="A12" s="11"/>
      <c r="B12" s="11"/>
      <c r="C12" s="11"/>
      <c r="D12" s="11"/>
      <c r="E12" s="11"/>
      <c r="F12" s="11"/>
      <c r="G12" s="99" t="s">
        <v>52</v>
      </c>
      <c r="H12" s="100"/>
      <c r="I12" s="99" t="s">
        <v>53</v>
      </c>
      <c r="J12" s="100"/>
      <c r="K12" s="99" t="s">
        <v>54</v>
      </c>
      <c r="L12" s="100"/>
      <c r="M12" s="99" t="s">
        <v>55</v>
      </c>
      <c r="N12" s="100"/>
    </row>
    <row r="13" spans="1:14" ht="5" customHeight="1" x14ac:dyDescent="0.2"/>
    <row r="14" spans="1:14" ht="21" customHeight="1" x14ac:dyDescent="0.2">
      <c r="A14" s="101" t="s">
        <v>56</v>
      </c>
      <c r="B14" s="100"/>
      <c r="C14" s="101" t="s">
        <v>57</v>
      </c>
      <c r="D14" s="100"/>
      <c r="E14" s="101" t="s">
        <v>58</v>
      </c>
      <c r="F14" s="100"/>
      <c r="G14" s="101" t="s">
        <v>59</v>
      </c>
      <c r="H14" s="100"/>
      <c r="I14" s="101" t="s">
        <v>60</v>
      </c>
      <c r="J14" s="100"/>
      <c r="K14" s="105" t="s">
        <v>61</v>
      </c>
      <c r="L14" s="100"/>
      <c r="M14" s="105" t="s">
        <v>62</v>
      </c>
      <c r="N14" s="100"/>
    </row>
    <row r="15" spans="1:14" ht="5" customHeight="1" x14ac:dyDescent="0.2"/>
    <row r="16" spans="1:14" ht="18" customHeight="1" x14ac:dyDescent="0.2">
      <c r="A16" s="12" t="s">
        <v>19</v>
      </c>
      <c r="B16" s="13" t="s">
        <v>63</v>
      </c>
      <c r="C16" s="12" t="s">
        <v>19</v>
      </c>
      <c r="D16" s="13" t="s">
        <v>64</v>
      </c>
      <c r="E16" s="12" t="s">
        <v>19</v>
      </c>
      <c r="F16" s="13" t="s">
        <v>64</v>
      </c>
      <c r="G16" s="12" t="s">
        <v>19</v>
      </c>
      <c r="H16" s="13" t="s">
        <v>65</v>
      </c>
      <c r="I16" s="12" t="s">
        <v>19</v>
      </c>
      <c r="J16" s="13" t="s">
        <v>64</v>
      </c>
      <c r="K16" s="12" t="s">
        <v>19</v>
      </c>
      <c r="L16" s="14" t="s">
        <v>64</v>
      </c>
      <c r="M16" s="12" t="s">
        <v>19</v>
      </c>
      <c r="N16" s="14" t="s">
        <v>64</v>
      </c>
    </row>
    <row r="17" spans="1:14" ht="18" customHeight="1" x14ac:dyDescent="0.2">
      <c r="A17" s="15" t="s">
        <v>21</v>
      </c>
      <c r="B17" s="16" t="s">
        <v>66</v>
      </c>
      <c r="C17" s="15" t="s">
        <v>21</v>
      </c>
      <c r="D17" s="16" t="s">
        <v>41</v>
      </c>
      <c r="E17" s="15" t="s">
        <v>21</v>
      </c>
      <c r="F17" s="16" t="s">
        <v>67</v>
      </c>
      <c r="G17" s="15" t="s">
        <v>21</v>
      </c>
      <c r="H17" s="16" t="s">
        <v>41</v>
      </c>
      <c r="I17" s="15" t="s">
        <v>21</v>
      </c>
      <c r="J17" s="16" t="s">
        <v>66</v>
      </c>
      <c r="K17" s="15" t="s">
        <v>21</v>
      </c>
      <c r="L17" s="16" t="s">
        <v>41</v>
      </c>
      <c r="M17" s="15" t="s">
        <v>21</v>
      </c>
      <c r="N17" s="16" t="s">
        <v>66</v>
      </c>
    </row>
    <row r="18" spans="1:14" ht="18" customHeight="1" x14ac:dyDescent="0.2">
      <c r="A18" s="17" t="s">
        <v>23</v>
      </c>
      <c r="B18" s="18" t="s">
        <v>43</v>
      </c>
      <c r="C18" s="17" t="s">
        <v>23</v>
      </c>
      <c r="D18" s="18" t="s">
        <v>68</v>
      </c>
      <c r="E18" s="17" t="s">
        <v>23</v>
      </c>
      <c r="F18" s="18" t="s">
        <v>44</v>
      </c>
      <c r="G18" s="17" t="s">
        <v>23</v>
      </c>
      <c r="H18" s="18" t="s">
        <v>69</v>
      </c>
      <c r="I18" s="17" t="s">
        <v>23</v>
      </c>
      <c r="J18" s="14" t="s">
        <v>68</v>
      </c>
      <c r="K18" s="17" t="s">
        <v>23</v>
      </c>
      <c r="L18" s="18" t="s">
        <v>70</v>
      </c>
      <c r="M18" s="17" t="s">
        <v>23</v>
      </c>
      <c r="N18" s="14" t="s">
        <v>68</v>
      </c>
    </row>
    <row r="19" spans="1:14" ht="18" customHeight="1" x14ac:dyDescent="0.2">
      <c r="A19" s="19" t="s">
        <v>25</v>
      </c>
      <c r="B19" s="20" t="s">
        <v>71</v>
      </c>
      <c r="C19" s="19" t="s">
        <v>25</v>
      </c>
      <c r="D19" s="20" t="s">
        <v>72</v>
      </c>
      <c r="E19" s="19" t="s">
        <v>25</v>
      </c>
      <c r="F19" s="20" t="s">
        <v>73</v>
      </c>
      <c r="G19" s="19" t="s">
        <v>25</v>
      </c>
      <c r="H19" s="20" t="s">
        <v>74</v>
      </c>
      <c r="I19" s="19" t="s">
        <v>25</v>
      </c>
      <c r="J19" s="20" t="s">
        <v>75</v>
      </c>
      <c r="K19" s="19" t="s">
        <v>25</v>
      </c>
      <c r="L19" s="20" t="s">
        <v>49</v>
      </c>
      <c r="M19" s="19" t="s">
        <v>25</v>
      </c>
      <c r="N19" s="20" t="s">
        <v>75</v>
      </c>
    </row>
    <row r="20" spans="1:14" ht="18" customHeight="1" x14ac:dyDescent="0.2">
      <c r="A20" s="19" t="s">
        <v>25</v>
      </c>
      <c r="B20" s="20" t="s">
        <v>46</v>
      </c>
      <c r="C20" s="19" t="s">
        <v>25</v>
      </c>
      <c r="D20" s="20" t="s">
        <v>76</v>
      </c>
      <c r="E20" s="19" t="s">
        <v>25</v>
      </c>
      <c r="F20" s="20" t="s">
        <v>77</v>
      </c>
      <c r="G20" s="19" t="s">
        <v>25</v>
      </c>
      <c r="H20" s="20" t="s">
        <v>76</v>
      </c>
      <c r="I20" s="19" t="s">
        <v>25</v>
      </c>
      <c r="J20" s="20" t="s">
        <v>71</v>
      </c>
      <c r="K20" s="19" t="s">
        <v>25</v>
      </c>
      <c r="L20" s="20" t="s">
        <v>46</v>
      </c>
      <c r="M20" s="19" t="s">
        <v>25</v>
      </c>
      <c r="N20" s="20" t="s">
        <v>71</v>
      </c>
    </row>
    <row r="21" spans="1:14" ht="30" customHeight="1" x14ac:dyDescent="0.2">
      <c r="A21" s="99" t="s">
        <v>78</v>
      </c>
      <c r="B21" s="100"/>
      <c r="C21" s="99" t="s">
        <v>78</v>
      </c>
      <c r="D21" s="100"/>
      <c r="E21" s="99" t="s">
        <v>79</v>
      </c>
      <c r="F21" s="100"/>
      <c r="G21" s="99" t="s">
        <v>80</v>
      </c>
      <c r="H21" s="100"/>
      <c r="I21" s="99" t="s">
        <v>81</v>
      </c>
      <c r="J21" s="100"/>
      <c r="K21" s="99" t="s">
        <v>82</v>
      </c>
      <c r="L21" s="100"/>
      <c r="M21" s="99" t="s">
        <v>83</v>
      </c>
      <c r="N21" s="100"/>
    </row>
    <row r="22" spans="1:14" ht="5" customHeight="1" x14ac:dyDescent="0.2"/>
    <row r="23" spans="1:14" ht="21" customHeight="1" x14ac:dyDescent="0.2">
      <c r="A23" s="111" t="s">
        <v>84</v>
      </c>
      <c r="B23" s="100"/>
      <c r="C23" s="101" t="s">
        <v>85</v>
      </c>
      <c r="D23" s="100"/>
      <c r="E23" s="101" t="s">
        <v>86</v>
      </c>
      <c r="F23" s="100"/>
      <c r="G23" s="101" t="s">
        <v>87</v>
      </c>
      <c r="H23" s="100"/>
      <c r="I23" s="101" t="s">
        <v>88</v>
      </c>
      <c r="J23" s="100"/>
      <c r="K23" s="105" t="s">
        <v>89</v>
      </c>
      <c r="L23" s="100"/>
      <c r="M23" s="105" t="s">
        <v>90</v>
      </c>
      <c r="N23" s="100"/>
    </row>
    <row r="24" spans="1:14" ht="5" customHeight="1" x14ac:dyDescent="0.2"/>
    <row r="25" spans="1:14" ht="18" customHeight="1" x14ac:dyDescent="0.2">
      <c r="A25" s="12" t="s">
        <v>19</v>
      </c>
      <c r="B25" s="14" t="s">
        <v>64</v>
      </c>
      <c r="C25" s="12" t="s">
        <v>19</v>
      </c>
      <c r="D25" s="13" t="s">
        <v>64</v>
      </c>
      <c r="E25" s="12" t="s">
        <v>19</v>
      </c>
      <c r="F25" s="13" t="s">
        <v>39</v>
      </c>
      <c r="G25" s="12" t="s">
        <v>19</v>
      </c>
      <c r="H25" s="13" t="s">
        <v>63</v>
      </c>
      <c r="I25" s="12" t="s">
        <v>19</v>
      </c>
      <c r="J25" s="13" t="s">
        <v>63</v>
      </c>
      <c r="K25" s="12" t="s">
        <v>19</v>
      </c>
      <c r="L25" s="14" t="s">
        <v>63</v>
      </c>
      <c r="M25" s="12" t="s">
        <v>19</v>
      </c>
      <c r="N25" s="14" t="s">
        <v>63</v>
      </c>
    </row>
    <row r="26" spans="1:14" ht="18" customHeight="1" x14ac:dyDescent="0.2">
      <c r="A26" s="15" t="s">
        <v>21</v>
      </c>
      <c r="B26" s="16" t="s">
        <v>41</v>
      </c>
      <c r="C26" s="15" t="s">
        <v>21</v>
      </c>
      <c r="D26" s="16" t="s">
        <v>91</v>
      </c>
      <c r="E26" s="15" t="s">
        <v>21</v>
      </c>
      <c r="F26" s="16" t="s">
        <v>92</v>
      </c>
      <c r="G26" s="15" t="s">
        <v>21</v>
      </c>
      <c r="H26" s="16" t="s">
        <v>66</v>
      </c>
      <c r="I26" s="15" t="s">
        <v>21</v>
      </c>
      <c r="J26" s="16" t="s">
        <v>42</v>
      </c>
      <c r="K26" s="15" t="s">
        <v>21</v>
      </c>
      <c r="L26" s="16" t="s">
        <v>66</v>
      </c>
      <c r="M26" s="15" t="s">
        <v>21</v>
      </c>
      <c r="N26" s="16" t="s">
        <v>42</v>
      </c>
    </row>
    <row r="27" spans="1:14" ht="18" customHeight="1" x14ac:dyDescent="0.2">
      <c r="A27" s="17" t="s">
        <v>23</v>
      </c>
      <c r="B27" s="18" t="s">
        <v>70</v>
      </c>
      <c r="C27" s="17" t="s">
        <v>23</v>
      </c>
      <c r="D27" s="18" t="s">
        <v>69</v>
      </c>
      <c r="E27" s="17" t="s">
        <v>23</v>
      </c>
      <c r="F27" s="18" t="s">
        <v>43</v>
      </c>
      <c r="G27" s="17" t="s">
        <v>23</v>
      </c>
      <c r="H27" s="18" t="s">
        <v>93</v>
      </c>
      <c r="I27" s="17" t="s">
        <v>23</v>
      </c>
      <c r="J27" s="18" t="s">
        <v>70</v>
      </c>
      <c r="K27" s="17" t="s">
        <v>23</v>
      </c>
      <c r="L27" s="18" t="s">
        <v>44</v>
      </c>
      <c r="M27" s="17" t="s">
        <v>23</v>
      </c>
      <c r="N27" s="18" t="s">
        <v>70</v>
      </c>
    </row>
    <row r="28" spans="1:14" ht="18" customHeight="1" x14ac:dyDescent="0.2">
      <c r="A28" s="19" t="s">
        <v>25</v>
      </c>
      <c r="B28" s="20" t="s">
        <v>49</v>
      </c>
      <c r="C28" s="19" t="s">
        <v>25</v>
      </c>
      <c r="D28" s="20" t="s">
        <v>74</v>
      </c>
      <c r="E28" s="19" t="s">
        <v>25</v>
      </c>
      <c r="F28" s="20" t="s">
        <v>76</v>
      </c>
      <c r="G28" s="19" t="s">
        <v>25</v>
      </c>
      <c r="H28" s="20" t="s">
        <v>94</v>
      </c>
      <c r="I28" s="19" t="s">
        <v>25</v>
      </c>
      <c r="J28" s="20" t="s">
        <v>77</v>
      </c>
      <c r="K28" s="19" t="s">
        <v>25</v>
      </c>
      <c r="L28" s="20" t="s">
        <v>48</v>
      </c>
      <c r="M28" s="19" t="s">
        <v>25</v>
      </c>
      <c r="N28" s="20" t="s">
        <v>77</v>
      </c>
    </row>
    <row r="29" spans="1:14" ht="18" customHeight="1" x14ac:dyDescent="0.2">
      <c r="A29" s="19" t="s">
        <v>25</v>
      </c>
      <c r="B29" s="20" t="s">
        <v>46</v>
      </c>
      <c r="C29" s="19" t="s">
        <v>25</v>
      </c>
      <c r="D29" s="20" t="s">
        <v>73</v>
      </c>
      <c r="E29" s="19" t="s">
        <v>25</v>
      </c>
      <c r="F29" s="20" t="s">
        <v>95</v>
      </c>
      <c r="G29" s="19" t="s">
        <v>25</v>
      </c>
      <c r="H29" s="20" t="s">
        <v>96</v>
      </c>
      <c r="I29" s="19" t="s">
        <v>25</v>
      </c>
      <c r="J29" s="20" t="s">
        <v>72</v>
      </c>
      <c r="K29" s="19" t="s">
        <v>25</v>
      </c>
      <c r="L29" s="20" t="s">
        <v>50</v>
      </c>
      <c r="M29" s="19" t="s">
        <v>25</v>
      </c>
      <c r="N29" s="20" t="s">
        <v>72</v>
      </c>
    </row>
    <row r="30" spans="1:14" ht="30" customHeight="1" x14ac:dyDescent="0.2">
      <c r="A30" s="99" t="s">
        <v>97</v>
      </c>
      <c r="B30" s="100"/>
      <c r="C30" s="99" t="s">
        <v>98</v>
      </c>
      <c r="D30" s="100"/>
      <c r="E30" s="99" t="s">
        <v>99</v>
      </c>
      <c r="F30" s="100"/>
      <c r="G30" s="99" t="s">
        <v>100</v>
      </c>
      <c r="H30" s="100"/>
      <c r="I30" s="99" t="s">
        <v>101</v>
      </c>
      <c r="J30" s="100"/>
      <c r="K30" s="99" t="s">
        <v>101</v>
      </c>
      <c r="L30" s="100"/>
      <c r="M30" s="99" t="s">
        <v>101</v>
      </c>
      <c r="N30" s="100"/>
    </row>
    <row r="31" spans="1:14" ht="5" customHeight="1" x14ac:dyDescent="0.2"/>
    <row r="32" spans="1:14" ht="21" customHeight="1" x14ac:dyDescent="0.2">
      <c r="A32" s="101" t="s">
        <v>102</v>
      </c>
      <c r="B32" s="100"/>
      <c r="C32" s="101" t="s">
        <v>103</v>
      </c>
      <c r="D32" s="100"/>
      <c r="E32" s="101" t="s">
        <v>104</v>
      </c>
      <c r="F32" s="100"/>
      <c r="G32" s="101" t="s">
        <v>105</v>
      </c>
      <c r="H32" s="100"/>
      <c r="I32" s="101" t="s">
        <v>106</v>
      </c>
      <c r="J32" s="100"/>
      <c r="K32" s="105" t="s">
        <v>107</v>
      </c>
      <c r="L32" s="100"/>
      <c r="M32" s="105" t="s">
        <v>108</v>
      </c>
      <c r="N32" s="100"/>
    </row>
    <row r="33" spans="1:14" ht="5" customHeight="1" x14ac:dyDescent="0.2"/>
    <row r="34" spans="1:14" ht="18" customHeight="1" x14ac:dyDescent="0.2">
      <c r="A34" s="12" t="s">
        <v>19</v>
      </c>
      <c r="B34" s="13" t="s">
        <v>109</v>
      </c>
      <c r="C34" s="12" t="s">
        <v>19</v>
      </c>
      <c r="D34" s="13" t="s">
        <v>63</v>
      </c>
      <c r="E34" s="12" t="s">
        <v>19</v>
      </c>
      <c r="F34" s="13" t="s">
        <v>39</v>
      </c>
      <c r="G34" s="12" t="s">
        <v>19</v>
      </c>
      <c r="H34" s="13" t="s">
        <v>65</v>
      </c>
      <c r="I34" s="12" t="s">
        <v>19</v>
      </c>
      <c r="J34" s="13" t="s">
        <v>65</v>
      </c>
      <c r="K34" s="12" t="s">
        <v>19</v>
      </c>
      <c r="L34" s="14" t="s">
        <v>65</v>
      </c>
      <c r="M34" s="12" t="s">
        <v>19</v>
      </c>
      <c r="N34" s="14" t="s">
        <v>65</v>
      </c>
    </row>
    <row r="35" spans="1:14" ht="18" customHeight="1" x14ac:dyDescent="0.2">
      <c r="A35" s="15" t="s">
        <v>21</v>
      </c>
      <c r="B35" s="16" t="s">
        <v>40</v>
      </c>
      <c r="C35" s="15" t="s">
        <v>21</v>
      </c>
      <c r="D35" s="16" t="s">
        <v>67</v>
      </c>
      <c r="E35" s="15" t="s">
        <v>21</v>
      </c>
      <c r="F35" s="16" t="s">
        <v>110</v>
      </c>
      <c r="G35" s="15" t="s">
        <v>21</v>
      </c>
      <c r="H35" s="16" t="s">
        <v>42</v>
      </c>
      <c r="I35" s="15" t="s">
        <v>21</v>
      </c>
      <c r="J35" s="16" t="s">
        <v>40</v>
      </c>
      <c r="K35" s="15" t="s">
        <v>21</v>
      </c>
      <c r="L35" s="16" t="s">
        <v>66</v>
      </c>
      <c r="M35" s="15" t="s">
        <v>21</v>
      </c>
      <c r="N35" s="16" t="s">
        <v>40</v>
      </c>
    </row>
    <row r="36" spans="1:14" ht="18" customHeight="1" x14ac:dyDescent="0.2">
      <c r="A36" s="17" t="s">
        <v>23</v>
      </c>
      <c r="B36" s="18" t="s">
        <v>45</v>
      </c>
      <c r="C36" s="17" t="s">
        <v>23</v>
      </c>
      <c r="D36" s="18" t="s">
        <v>44</v>
      </c>
      <c r="E36" s="17" t="s">
        <v>23</v>
      </c>
      <c r="F36" s="18" t="s">
        <v>45</v>
      </c>
      <c r="G36" s="17" t="s">
        <v>23</v>
      </c>
      <c r="H36" s="18" t="s">
        <v>69</v>
      </c>
      <c r="I36" s="17" t="s">
        <v>23</v>
      </c>
      <c r="J36" s="18" t="s">
        <v>68</v>
      </c>
      <c r="K36" s="17" t="s">
        <v>23</v>
      </c>
      <c r="L36" s="18" t="s">
        <v>45</v>
      </c>
      <c r="M36" s="17" t="s">
        <v>23</v>
      </c>
      <c r="N36" s="18" t="s">
        <v>68</v>
      </c>
    </row>
    <row r="37" spans="1:14" ht="18" customHeight="1" x14ac:dyDescent="0.2">
      <c r="A37" s="19" t="s">
        <v>25</v>
      </c>
      <c r="B37" s="20" t="s">
        <v>75</v>
      </c>
      <c r="C37" s="19" t="s">
        <v>25</v>
      </c>
      <c r="D37" s="20" t="s">
        <v>51</v>
      </c>
      <c r="E37" s="19" t="s">
        <v>25</v>
      </c>
      <c r="F37" s="20" t="s">
        <v>47</v>
      </c>
      <c r="G37" s="19" t="s">
        <v>25</v>
      </c>
      <c r="H37" s="20" t="s">
        <v>73</v>
      </c>
      <c r="I37" s="19" t="s">
        <v>25</v>
      </c>
      <c r="J37" s="20" t="s">
        <v>72</v>
      </c>
      <c r="K37" s="19" t="s">
        <v>25</v>
      </c>
      <c r="L37" s="20" t="s">
        <v>77</v>
      </c>
      <c r="M37" s="19" t="s">
        <v>25</v>
      </c>
      <c r="N37" s="20" t="s">
        <v>72</v>
      </c>
    </row>
    <row r="38" spans="1:14" ht="18" customHeight="1" x14ac:dyDescent="0.2">
      <c r="A38" s="19" t="s">
        <v>25</v>
      </c>
      <c r="B38" s="20" t="s">
        <v>47</v>
      </c>
      <c r="C38" s="19" t="s">
        <v>25</v>
      </c>
      <c r="D38" s="20" t="s">
        <v>71</v>
      </c>
      <c r="E38" s="19" t="s">
        <v>25</v>
      </c>
      <c r="F38" s="20" t="s">
        <v>50</v>
      </c>
      <c r="G38" s="19" t="s">
        <v>25</v>
      </c>
      <c r="H38" s="20" t="s">
        <v>77</v>
      </c>
      <c r="I38" s="19" t="s">
        <v>25</v>
      </c>
      <c r="J38" s="20" t="s">
        <v>96</v>
      </c>
      <c r="K38" s="19" t="s">
        <v>25</v>
      </c>
      <c r="L38" s="20" t="s">
        <v>74</v>
      </c>
      <c r="M38" s="19" t="s">
        <v>25</v>
      </c>
      <c r="N38" s="20" t="s">
        <v>96</v>
      </c>
    </row>
    <row r="39" spans="1:14" ht="30" customHeight="1" x14ac:dyDescent="0.2">
      <c r="A39" s="99" t="s">
        <v>111</v>
      </c>
      <c r="B39" s="100"/>
      <c r="C39" s="99" t="s">
        <v>111</v>
      </c>
      <c r="D39" s="100"/>
      <c r="E39" s="99" t="s">
        <v>112</v>
      </c>
      <c r="F39" s="100"/>
      <c r="G39" s="99" t="s">
        <v>113</v>
      </c>
      <c r="H39" s="100"/>
      <c r="I39" s="99" t="s">
        <v>114</v>
      </c>
      <c r="J39" s="100"/>
      <c r="K39" s="99" t="s">
        <v>115</v>
      </c>
      <c r="L39" s="100"/>
      <c r="M39" s="99" t="s">
        <v>116</v>
      </c>
      <c r="N39" s="100"/>
    </row>
    <row r="40" spans="1:14" ht="5" customHeight="1" x14ac:dyDescent="0.2"/>
    <row r="41" spans="1:14" ht="21" customHeight="1" x14ac:dyDescent="0.2">
      <c r="A41" s="101" t="s">
        <v>117</v>
      </c>
      <c r="B41" s="100"/>
      <c r="C41" s="101" t="s">
        <v>118</v>
      </c>
      <c r="D41" s="100"/>
      <c r="E41" s="101" t="s">
        <v>119</v>
      </c>
      <c r="F41" s="100"/>
      <c r="G41" s="101" t="s">
        <v>120</v>
      </c>
      <c r="H41" s="100"/>
      <c r="I41" s="101" t="s">
        <v>121</v>
      </c>
      <c r="J41" s="100"/>
      <c r="K41" s="105" t="s">
        <v>122</v>
      </c>
      <c r="L41" s="100"/>
      <c r="M41" s="111" t="s">
        <v>123</v>
      </c>
      <c r="N41" s="100"/>
    </row>
    <row r="42" spans="1:14" ht="5" customHeight="1" x14ac:dyDescent="0.2"/>
    <row r="43" spans="1:14" ht="18" customHeight="1" x14ac:dyDescent="0.2">
      <c r="A43" s="12" t="s">
        <v>19</v>
      </c>
      <c r="B43" s="13" t="s">
        <v>65</v>
      </c>
      <c r="C43" s="12" t="s">
        <v>19</v>
      </c>
      <c r="D43" s="13" t="s">
        <v>65</v>
      </c>
      <c r="E43" s="12" t="s">
        <v>19</v>
      </c>
      <c r="F43" s="13" t="s">
        <v>63</v>
      </c>
      <c r="G43" s="12" t="s">
        <v>19</v>
      </c>
      <c r="H43" s="13" t="s">
        <v>109</v>
      </c>
      <c r="I43" s="12" t="s">
        <v>19</v>
      </c>
      <c r="J43" s="13" t="s">
        <v>109</v>
      </c>
      <c r="K43" s="12" t="s">
        <v>19</v>
      </c>
      <c r="L43" s="14" t="s">
        <v>109</v>
      </c>
      <c r="M43" s="12" t="s">
        <v>19</v>
      </c>
      <c r="N43" s="14" t="s">
        <v>109</v>
      </c>
    </row>
    <row r="44" spans="1:14" ht="18" customHeight="1" x14ac:dyDescent="0.2">
      <c r="A44" s="15" t="s">
        <v>21</v>
      </c>
      <c r="B44" s="16" t="s">
        <v>42</v>
      </c>
      <c r="C44" s="15" t="s">
        <v>21</v>
      </c>
      <c r="D44" s="16" t="s">
        <v>124</v>
      </c>
      <c r="E44" s="15" t="s">
        <v>21</v>
      </c>
      <c r="F44" s="16" t="s">
        <v>125</v>
      </c>
      <c r="G44" s="15" t="s">
        <v>21</v>
      </c>
      <c r="H44" s="16" t="s">
        <v>110</v>
      </c>
      <c r="I44" s="15" t="s">
        <v>21</v>
      </c>
      <c r="J44" s="16" t="s">
        <v>42</v>
      </c>
      <c r="K44" s="15" t="s">
        <v>21</v>
      </c>
      <c r="L44" s="16" t="s">
        <v>40</v>
      </c>
      <c r="M44" s="15" t="s">
        <v>21</v>
      </c>
      <c r="N44" s="16" t="s">
        <v>42</v>
      </c>
    </row>
    <row r="45" spans="1:14" ht="18" customHeight="1" x14ac:dyDescent="0.2">
      <c r="A45" s="17" t="s">
        <v>23</v>
      </c>
      <c r="B45" s="18" t="s">
        <v>70</v>
      </c>
      <c r="C45" s="17" t="s">
        <v>23</v>
      </c>
      <c r="D45" s="18" t="s">
        <v>44</v>
      </c>
      <c r="E45" s="17" t="s">
        <v>23</v>
      </c>
      <c r="F45" s="18" t="s">
        <v>70</v>
      </c>
      <c r="G45" s="17" t="s">
        <v>23</v>
      </c>
      <c r="H45" s="18" t="s">
        <v>45</v>
      </c>
      <c r="I45" s="17" t="s">
        <v>23</v>
      </c>
      <c r="J45" s="18" t="s">
        <v>43</v>
      </c>
      <c r="K45" s="17" t="s">
        <v>23</v>
      </c>
      <c r="L45" s="18" t="s">
        <v>69</v>
      </c>
      <c r="M45" s="17" t="s">
        <v>23</v>
      </c>
      <c r="N45" s="18" t="s">
        <v>43</v>
      </c>
    </row>
    <row r="46" spans="1:14" ht="18" customHeight="1" x14ac:dyDescent="0.2">
      <c r="A46" s="19" t="s">
        <v>25</v>
      </c>
      <c r="B46" s="20" t="s">
        <v>49</v>
      </c>
      <c r="C46" s="19" t="s">
        <v>25</v>
      </c>
      <c r="D46" s="20" t="s">
        <v>95</v>
      </c>
      <c r="E46" s="19" t="s">
        <v>25</v>
      </c>
      <c r="F46" s="20" t="s">
        <v>76</v>
      </c>
      <c r="G46" s="19" t="s">
        <v>25</v>
      </c>
      <c r="H46" s="20" t="s">
        <v>74</v>
      </c>
      <c r="I46" s="19" t="s">
        <v>25</v>
      </c>
      <c r="J46" s="20" t="s">
        <v>94</v>
      </c>
      <c r="K46" s="19" t="s">
        <v>25</v>
      </c>
      <c r="L46" s="20" t="s">
        <v>51</v>
      </c>
      <c r="M46" s="19" t="s">
        <v>25</v>
      </c>
      <c r="N46" s="20" t="s">
        <v>94</v>
      </c>
    </row>
    <row r="47" spans="1:14" ht="18" customHeight="1" x14ac:dyDescent="0.2">
      <c r="A47" s="19" t="s">
        <v>25</v>
      </c>
      <c r="B47" s="20" t="s">
        <v>75</v>
      </c>
      <c r="C47" s="19" t="s">
        <v>25</v>
      </c>
      <c r="D47" s="20" t="s">
        <v>94</v>
      </c>
      <c r="E47" s="19" t="s">
        <v>25</v>
      </c>
      <c r="F47" s="20" t="s">
        <v>73</v>
      </c>
      <c r="G47" s="19" t="s">
        <v>25</v>
      </c>
      <c r="H47" s="20" t="s">
        <v>96</v>
      </c>
      <c r="I47" s="19" t="s">
        <v>25</v>
      </c>
      <c r="J47" s="20" t="s">
        <v>48</v>
      </c>
      <c r="K47" s="19" t="s">
        <v>25</v>
      </c>
      <c r="L47" s="20" t="s">
        <v>95</v>
      </c>
      <c r="M47" s="19" t="s">
        <v>25</v>
      </c>
      <c r="N47" s="20" t="s">
        <v>48</v>
      </c>
    </row>
    <row r="48" spans="1:14" ht="30" customHeight="1" x14ac:dyDescent="0.2">
      <c r="A48" s="99" t="s">
        <v>126</v>
      </c>
      <c r="B48" s="100"/>
      <c r="C48" s="110" t="s">
        <v>127</v>
      </c>
      <c r="D48" s="100"/>
      <c r="E48" s="99" t="s">
        <v>98</v>
      </c>
      <c r="F48" s="100"/>
      <c r="G48" s="99" t="s">
        <v>128</v>
      </c>
      <c r="H48" s="100"/>
      <c r="I48" s="99" t="s">
        <v>129</v>
      </c>
      <c r="J48" s="100"/>
      <c r="K48" s="99" t="s">
        <v>128</v>
      </c>
      <c r="L48" s="100"/>
      <c r="M48" s="99" t="s">
        <v>128</v>
      </c>
      <c r="N48" s="100"/>
    </row>
    <row r="49" spans="1:14" ht="5" customHeight="1" x14ac:dyDescent="0.2"/>
    <row r="50" spans="1:14" ht="21" customHeight="1" x14ac:dyDescent="0.2">
      <c r="A50" s="111" t="s">
        <v>130</v>
      </c>
      <c r="B50" s="100"/>
      <c r="C50" s="11"/>
      <c r="D50" s="11"/>
      <c r="E50" s="11"/>
      <c r="F50" s="11"/>
      <c r="G50" s="11"/>
      <c r="H50" s="11"/>
      <c r="I50" s="11"/>
      <c r="J50" s="11"/>
      <c r="K50" s="11"/>
      <c r="L50" s="11"/>
      <c r="M50" s="11"/>
      <c r="N50" s="11"/>
    </row>
    <row r="51" spans="1:14" ht="5" customHeight="1" x14ac:dyDescent="0.2">
      <c r="C51" s="11"/>
      <c r="D51" s="11"/>
      <c r="E51" s="11"/>
      <c r="F51" s="11"/>
      <c r="G51" s="11"/>
      <c r="H51" s="11"/>
      <c r="I51" s="11"/>
      <c r="J51" s="11"/>
      <c r="K51" s="11"/>
      <c r="L51" s="11"/>
      <c r="M51" s="11"/>
      <c r="N51" s="11"/>
    </row>
    <row r="52" spans="1:14" ht="18" customHeight="1" x14ac:dyDescent="0.2">
      <c r="A52" s="12" t="s">
        <v>19</v>
      </c>
      <c r="B52" s="14" t="s">
        <v>109</v>
      </c>
      <c r="C52" s="11"/>
      <c r="D52" s="11"/>
      <c r="E52" s="11"/>
      <c r="F52" s="11"/>
      <c r="G52" s="11"/>
      <c r="H52" s="11"/>
      <c r="I52" s="11"/>
      <c r="J52" s="11"/>
      <c r="K52" s="11"/>
      <c r="L52" s="11"/>
      <c r="M52" s="11"/>
      <c r="N52" s="11"/>
    </row>
    <row r="53" spans="1:14" ht="18" customHeight="1" x14ac:dyDescent="0.2">
      <c r="A53" s="15" t="s">
        <v>21</v>
      </c>
      <c r="B53" s="16" t="s">
        <v>40</v>
      </c>
      <c r="C53" s="11"/>
      <c r="D53" s="11"/>
      <c r="E53" s="11"/>
      <c r="F53" s="11"/>
      <c r="G53" s="11"/>
      <c r="H53" s="11"/>
      <c r="I53" s="11"/>
      <c r="J53" s="11"/>
      <c r="K53" s="11"/>
      <c r="L53" s="11"/>
      <c r="M53" s="11"/>
      <c r="N53" s="11"/>
    </row>
    <row r="54" spans="1:14" ht="18" customHeight="1" x14ac:dyDescent="0.2">
      <c r="A54" s="17" t="s">
        <v>23</v>
      </c>
      <c r="B54" s="18" t="s">
        <v>69</v>
      </c>
      <c r="C54" s="11"/>
      <c r="D54" s="11"/>
      <c r="E54" s="11"/>
      <c r="F54" s="11"/>
      <c r="G54" s="11"/>
      <c r="H54" s="11"/>
      <c r="I54" s="11"/>
      <c r="J54" s="11"/>
      <c r="K54" s="11"/>
      <c r="L54" s="11"/>
      <c r="M54" s="11"/>
      <c r="N54" s="11"/>
    </row>
    <row r="55" spans="1:14" ht="18" customHeight="1" x14ac:dyDescent="0.2">
      <c r="A55" s="19" t="s">
        <v>25</v>
      </c>
      <c r="B55" s="20" t="s">
        <v>51</v>
      </c>
      <c r="C55" s="11"/>
      <c r="D55" s="11"/>
      <c r="E55" s="11"/>
      <c r="F55" s="11"/>
      <c r="G55" s="11"/>
      <c r="H55" s="11"/>
      <c r="I55" s="11"/>
      <c r="J55" s="11"/>
      <c r="K55" s="11"/>
      <c r="L55" s="11"/>
      <c r="M55" s="11"/>
      <c r="N55" s="11"/>
    </row>
    <row r="56" spans="1:14" ht="18" customHeight="1" x14ac:dyDescent="0.2">
      <c r="A56" s="19" t="s">
        <v>25</v>
      </c>
      <c r="B56" s="20" t="s">
        <v>95</v>
      </c>
      <c r="C56" s="11"/>
      <c r="D56" s="11"/>
      <c r="E56" s="11"/>
      <c r="F56" s="11"/>
      <c r="G56" s="11"/>
      <c r="H56" s="11"/>
      <c r="I56" s="11"/>
      <c r="J56" s="11"/>
      <c r="K56" s="11"/>
      <c r="L56" s="11"/>
      <c r="M56" s="11"/>
      <c r="N56" s="11"/>
    </row>
    <row r="57" spans="1:14" ht="30" customHeight="1" x14ac:dyDescent="0.2">
      <c r="A57" s="110" t="s">
        <v>127</v>
      </c>
      <c r="B57" s="100"/>
      <c r="C57" s="11"/>
      <c r="D57" s="11"/>
      <c r="E57" s="11"/>
      <c r="F57" s="11"/>
      <c r="G57" s="11"/>
      <c r="H57" s="11"/>
      <c r="I57" s="11"/>
      <c r="J57" s="11"/>
      <c r="K57" s="11"/>
      <c r="L57" s="11"/>
      <c r="M57" s="11"/>
      <c r="N57" s="11"/>
    </row>
    <row r="58" spans="1:14" ht="5" customHeight="1" x14ac:dyDescent="0.2"/>
  </sheetData>
  <mergeCells count="79">
    <mergeCell ref="K48:L48"/>
    <mergeCell ref="G4:H4"/>
    <mergeCell ref="I4:J4"/>
    <mergeCell ref="M32:N32"/>
    <mergeCell ref="M14:N14"/>
    <mergeCell ref="K4:L4"/>
    <mergeCell ref="M4:N4"/>
    <mergeCell ref="M48:N48"/>
    <mergeCell ref="G39:H39"/>
    <mergeCell ref="K23:L23"/>
    <mergeCell ref="M23:N23"/>
    <mergeCell ref="M30:N30"/>
    <mergeCell ref="M41:N41"/>
    <mergeCell ref="M39:N39"/>
    <mergeCell ref="K41:L41"/>
    <mergeCell ref="K39:L39"/>
    <mergeCell ref="A57:B57"/>
    <mergeCell ref="A32:B32"/>
    <mergeCell ref="A14:B14"/>
    <mergeCell ref="I23:J23"/>
    <mergeCell ref="A23:B23"/>
    <mergeCell ref="C48:D48"/>
    <mergeCell ref="C23:D23"/>
    <mergeCell ref="C32:D32"/>
    <mergeCell ref="E32:F32"/>
    <mergeCell ref="G32:H32"/>
    <mergeCell ref="E41:F41"/>
    <mergeCell ref="G41:H41"/>
    <mergeCell ref="A50:B50"/>
    <mergeCell ref="E30:F30"/>
    <mergeCell ref="G30:H30"/>
    <mergeCell ref="G14:H14"/>
    <mergeCell ref="K14:L14"/>
    <mergeCell ref="E21:F21"/>
    <mergeCell ref="M2:N2"/>
    <mergeCell ref="I21:J21"/>
    <mergeCell ref="H2:I2"/>
    <mergeCell ref="M12:N12"/>
    <mergeCell ref="I12:J12"/>
    <mergeCell ref="K12:L12"/>
    <mergeCell ref="E2:F2"/>
    <mergeCell ref="G5:H5"/>
    <mergeCell ref="K5:L5"/>
    <mergeCell ref="M5:N5"/>
    <mergeCell ref="A1:N1"/>
    <mergeCell ref="K21:L21"/>
    <mergeCell ref="E4:F4"/>
    <mergeCell ref="B2:C2"/>
    <mergeCell ref="I32:J32"/>
    <mergeCell ref="K32:L32"/>
    <mergeCell ref="M21:N21"/>
    <mergeCell ref="K2:L2"/>
    <mergeCell ref="K30:L30"/>
    <mergeCell ref="C4:D4"/>
    <mergeCell ref="I5:J5"/>
    <mergeCell ref="I14:J14"/>
    <mergeCell ref="A21:B21"/>
    <mergeCell ref="C21:D21"/>
    <mergeCell ref="A4:B4"/>
    <mergeCell ref="G12:H12"/>
    <mergeCell ref="C14:D14"/>
    <mergeCell ref="E14:F14"/>
    <mergeCell ref="E48:F48"/>
    <mergeCell ref="G48:H48"/>
    <mergeCell ref="G21:H21"/>
    <mergeCell ref="E23:F23"/>
    <mergeCell ref="G23:H23"/>
    <mergeCell ref="E39:F39"/>
    <mergeCell ref="C41:D41"/>
    <mergeCell ref="C39:D39"/>
    <mergeCell ref="A39:B39"/>
    <mergeCell ref="I30:J30"/>
    <mergeCell ref="A48:B48"/>
    <mergeCell ref="A30:B30"/>
    <mergeCell ref="I41:J41"/>
    <mergeCell ref="I48:J48"/>
    <mergeCell ref="A41:B41"/>
    <mergeCell ref="I39:J39"/>
    <mergeCell ref="C30:D30"/>
  </mergeCells>
  <pageMargins left="0.75" right="0.75" top="1" bottom="1" header="0.5" footer="0.5"/>
  <legacyDrawing r:id="rId1"/>
  <extLst>
    <ext xmlns:x14="http://schemas.microsoft.com/office/spreadsheetml/2009/9/main" uri="{CCE6A557-97BC-4b89-ADB6-D9C93CAAB3DF}">
      <x14:dataValidations xmlns:xm="http://schemas.microsoft.com/office/excel/2006/main" count="4">
        <x14:dataValidation type="list" allowBlank="1" errorTitle="Valor no válido" error="Elige un valor de la lista (respeta la elegibilidad del puesto)." xr:uid="{00000000-0002-0000-0100-000000000000}">
          <x14:formula1>
            <xm:f>ListaValida!$A$2:$A$8</xm:f>
          </x14:formula1>
          <xm:sqref>B18 B27 B36 B45 B54 D18 D27 D36 D45 F18 F27 F36 F45 H9 H18 H27 H36 H45 J9 J18 J27 J36 J45 L9 L18 L27 L36 L45 N9 N18 N27 N36 N45</xm:sqref>
        </x14:dataValidation>
        <x14:dataValidation type="list" allowBlank="1" errorTitle="Valor no válido" error="Elige un valor de la lista (respeta la elegibilidad del puesto)." xr:uid="{00000000-0002-0000-0100-000001000000}">
          <x14:formula1>
            <xm:f>ListaValida!$B$2:$B$11</xm:f>
          </x14:formula1>
          <xm:sqref>B17 B26 B35 B44 B53 D17 D26 D35 D44 F17 F26 F35 F44 H8 H17 H26 H35 H44 J8 J17 J26 J35 J44 L8 L17 L26 L35 L44 N8 N17 N26 N35 N44</xm:sqref>
        </x14:dataValidation>
        <x14:dataValidation type="list" allowBlank="1" errorTitle="Valor no válido" error="Elige un valor de la lista (respeta la elegibilidad del puesto)." xr:uid="{00000000-0002-0000-0100-000002000000}">
          <x14:formula1>
            <xm:f>ListaValida!$C$2:$C$17</xm:f>
          </x14:formula1>
          <xm:sqref>B19 B20 B28 B29 B37 B38 B46 B47 B55 B56 D19 D20 D28 D29 D37 D38 D46 D47 F19 F20 F28 F29 F37 F38 F46 F47 H10 H11 H19 H20 H28 H29 H37 H38 H46 H47 J10 J11 J19 J20 J28 J29 J37 J38 J46 J47 L10 L11 L19 L20 L28 L29 L37 L38 L46 L47 N10 N11 N19 N20 N28 N29 N37 N38 N46 N47</xm:sqref>
        </x14:dataValidation>
        <x14:dataValidation type="list" allowBlank="1" errorTitle="Valor no válido" error="Elige un valor de la lista (respeta la elegibilidad del puesto)." xr:uid="{00000000-0002-0000-0100-000003000000}">
          <x14:formula1>
            <xm:f>ListaValida!$D$2:$D$6</xm:f>
          </x14:formula1>
          <xm:sqref>B16 B25 B34 B43 B52 D16 D25 D34 D43 F16 F25 F34 F43 H7 H16 H25 H34 H43 J7 J16 J25 J34 J43 L7 L16 L25 L34 L43 N7 N16 N25 N34 N43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7"/>
  <sheetViews>
    <sheetView showGridLines="0" workbookViewId="0">
      <pane xSplit="2" ySplit="3" topLeftCell="C4" activePane="bottomRight" state="frozen"/>
      <selection pane="topRight"/>
      <selection pane="bottomLeft"/>
      <selection pane="bottomRight" sqref="A1:AI1"/>
    </sheetView>
  </sheetViews>
  <sheetFormatPr baseColWidth="10" defaultColWidth="8.83203125" defaultRowHeight="15" x14ac:dyDescent="0.2"/>
  <cols>
    <col min="1" max="1" width="20" customWidth="1"/>
    <col min="2" max="2" width="9" customWidth="1"/>
    <col min="3" max="35" width="5.33203125" customWidth="1"/>
  </cols>
  <sheetData>
    <row r="1" spans="1:35" ht="28" customHeight="1" x14ac:dyDescent="0.2">
      <c r="A1" s="114" t="s">
        <v>131</v>
      </c>
      <c r="B1" s="100"/>
      <c r="C1" s="100"/>
      <c r="D1" s="100"/>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row>
    <row r="3" spans="1:35" ht="20" customHeight="1" x14ac:dyDescent="0.2">
      <c r="A3" s="113" t="s">
        <v>132</v>
      </c>
      <c r="B3" s="100"/>
      <c r="C3" s="100"/>
      <c r="D3" s="100"/>
      <c r="E3" s="100"/>
      <c r="F3" s="100"/>
      <c r="G3" s="100"/>
      <c r="H3" s="100"/>
      <c r="I3" s="100"/>
      <c r="J3" s="100"/>
      <c r="K3" s="100"/>
      <c r="L3" s="100"/>
      <c r="M3" s="100"/>
      <c r="N3" s="100"/>
      <c r="O3" s="100"/>
      <c r="P3" s="100"/>
      <c r="Q3" s="100"/>
      <c r="R3" s="100"/>
      <c r="S3" s="100"/>
      <c r="T3" s="100"/>
      <c r="U3" s="100"/>
      <c r="V3" s="100"/>
      <c r="W3" s="100"/>
      <c r="X3" s="100"/>
      <c r="Y3" s="100"/>
      <c r="Z3" s="100"/>
      <c r="AA3" s="100"/>
      <c r="AB3" s="100"/>
      <c r="AC3" s="100"/>
      <c r="AD3" s="100"/>
      <c r="AE3" s="100"/>
      <c r="AF3" s="100"/>
      <c r="AG3" s="100"/>
      <c r="AH3" s="100"/>
      <c r="AI3" s="100"/>
    </row>
    <row r="4" spans="1:35" ht="18" customHeight="1" x14ac:dyDescent="0.2">
      <c r="A4" s="21" t="s">
        <v>133</v>
      </c>
      <c r="B4" s="22" t="s">
        <v>134</v>
      </c>
      <c r="C4" s="23" t="s">
        <v>135</v>
      </c>
      <c r="D4" s="23" t="s">
        <v>136</v>
      </c>
      <c r="E4" s="24" t="s">
        <v>137</v>
      </c>
      <c r="F4" s="24" t="s">
        <v>138</v>
      </c>
      <c r="G4" s="23" t="s">
        <v>139</v>
      </c>
      <c r="H4" s="23" t="s">
        <v>140</v>
      </c>
      <c r="I4" s="23" t="s">
        <v>141</v>
      </c>
      <c r="J4" s="23" t="s">
        <v>142</v>
      </c>
      <c r="K4" s="23" t="s">
        <v>143</v>
      </c>
      <c r="L4" s="24" t="s">
        <v>144</v>
      </c>
      <c r="M4" s="24" t="s">
        <v>145</v>
      </c>
      <c r="N4" s="25" t="s">
        <v>146</v>
      </c>
      <c r="O4" s="23" t="s">
        <v>147</v>
      </c>
      <c r="P4" s="23" t="s">
        <v>148</v>
      </c>
      <c r="Q4" s="23" t="s">
        <v>149</v>
      </c>
      <c r="R4" s="23" t="s">
        <v>150</v>
      </c>
      <c r="S4" s="24" t="s">
        <v>151</v>
      </c>
      <c r="T4" s="24" t="s">
        <v>152</v>
      </c>
      <c r="U4" s="23" t="s">
        <v>153</v>
      </c>
      <c r="V4" s="23" t="s">
        <v>154</v>
      </c>
      <c r="W4" s="23" t="s">
        <v>155</v>
      </c>
      <c r="X4" s="23" t="s">
        <v>156</v>
      </c>
      <c r="Y4" s="23" t="s">
        <v>157</v>
      </c>
      <c r="Z4" s="24" t="s">
        <v>158</v>
      </c>
      <c r="AA4" s="24" t="s">
        <v>159</v>
      </c>
      <c r="AB4" s="23" t="s">
        <v>160</v>
      </c>
      <c r="AC4" s="23" t="s">
        <v>161</v>
      </c>
      <c r="AD4" s="23" t="s">
        <v>162</v>
      </c>
      <c r="AE4" s="23" t="s">
        <v>163</v>
      </c>
      <c r="AF4" s="23" t="s">
        <v>164</v>
      </c>
      <c r="AG4" s="24" t="s">
        <v>165</v>
      </c>
      <c r="AH4" s="25" t="s">
        <v>166</v>
      </c>
      <c r="AI4" s="25" t="s">
        <v>167</v>
      </c>
    </row>
    <row r="5" spans="1:35" ht="17" customHeight="1" x14ac:dyDescent="0.2">
      <c r="A5" s="26" t="s">
        <v>168</v>
      </c>
      <c r="B5" s="27">
        <f>SUM(C5:AI5)</f>
        <v>33</v>
      </c>
      <c r="C5" s="28">
        <v>1</v>
      </c>
      <c r="D5" s="28">
        <v>1</v>
      </c>
      <c r="E5" s="29">
        <v>1</v>
      </c>
      <c r="F5" s="29">
        <v>1</v>
      </c>
      <c r="G5" s="28">
        <v>1</v>
      </c>
      <c r="H5" s="28">
        <v>1</v>
      </c>
      <c r="I5" s="28">
        <v>1</v>
      </c>
      <c r="J5" s="28">
        <v>1</v>
      </c>
      <c r="K5" s="28">
        <v>1</v>
      </c>
      <c r="L5" s="29">
        <v>1</v>
      </c>
      <c r="M5" s="29">
        <v>1</v>
      </c>
      <c r="N5" s="28">
        <v>1</v>
      </c>
      <c r="O5" s="28">
        <v>1</v>
      </c>
      <c r="P5" s="28">
        <v>1</v>
      </c>
      <c r="Q5" s="28">
        <v>1</v>
      </c>
      <c r="R5" s="28">
        <v>1</v>
      </c>
      <c r="S5" s="29">
        <v>1</v>
      </c>
      <c r="T5" s="29">
        <v>1</v>
      </c>
      <c r="U5" s="28">
        <v>1</v>
      </c>
      <c r="V5" s="28">
        <v>1</v>
      </c>
      <c r="W5" s="28">
        <v>1</v>
      </c>
      <c r="X5" s="28">
        <v>1</v>
      </c>
      <c r="Y5" s="28">
        <v>1</v>
      </c>
      <c r="Z5" s="29">
        <v>1</v>
      </c>
      <c r="AA5" s="29">
        <v>1</v>
      </c>
      <c r="AB5" s="28">
        <v>1</v>
      </c>
      <c r="AC5" s="28">
        <v>1</v>
      </c>
      <c r="AD5" s="28">
        <v>1</v>
      </c>
      <c r="AE5" s="28">
        <v>1</v>
      </c>
      <c r="AF5" s="28">
        <v>1</v>
      </c>
      <c r="AG5" s="29">
        <v>1</v>
      </c>
      <c r="AH5" s="29">
        <v>1</v>
      </c>
      <c r="AI5" s="28">
        <v>1</v>
      </c>
    </row>
    <row r="6" spans="1:35" ht="17" customHeight="1" x14ac:dyDescent="0.2">
      <c r="A6" s="30" t="s">
        <v>169</v>
      </c>
      <c r="B6" s="27">
        <f>SUM(C6:AI6)</f>
        <v>33</v>
      </c>
      <c r="C6" s="28">
        <v>1</v>
      </c>
      <c r="D6" s="28">
        <v>1</v>
      </c>
      <c r="E6" s="29">
        <v>1</v>
      </c>
      <c r="F6" s="29">
        <v>1</v>
      </c>
      <c r="G6" s="28">
        <v>1</v>
      </c>
      <c r="H6" s="28">
        <v>1</v>
      </c>
      <c r="I6" s="28">
        <v>1</v>
      </c>
      <c r="J6" s="28">
        <v>1</v>
      </c>
      <c r="K6" s="28">
        <v>1</v>
      </c>
      <c r="L6" s="29">
        <v>1</v>
      </c>
      <c r="M6" s="29">
        <v>1</v>
      </c>
      <c r="N6" s="28">
        <v>1</v>
      </c>
      <c r="O6" s="28">
        <v>1</v>
      </c>
      <c r="P6" s="28">
        <v>1</v>
      </c>
      <c r="Q6" s="28">
        <v>1</v>
      </c>
      <c r="R6" s="28">
        <v>1</v>
      </c>
      <c r="S6" s="29">
        <v>1</v>
      </c>
      <c r="T6" s="29">
        <v>1</v>
      </c>
      <c r="U6" s="28">
        <v>1</v>
      </c>
      <c r="V6" s="28">
        <v>1</v>
      </c>
      <c r="W6" s="28">
        <v>1</v>
      </c>
      <c r="X6" s="28">
        <v>1</v>
      </c>
      <c r="Y6" s="28">
        <v>1</v>
      </c>
      <c r="Z6" s="29">
        <v>1</v>
      </c>
      <c r="AA6" s="29">
        <v>1</v>
      </c>
      <c r="AB6" s="28">
        <v>1</v>
      </c>
      <c r="AC6" s="28">
        <v>1</v>
      </c>
      <c r="AD6" s="28">
        <v>1</v>
      </c>
      <c r="AE6" s="28">
        <v>1</v>
      </c>
      <c r="AF6" s="28">
        <v>1</v>
      </c>
      <c r="AG6" s="29">
        <v>1</v>
      </c>
      <c r="AH6" s="29">
        <v>1</v>
      </c>
      <c r="AI6" s="28">
        <v>1</v>
      </c>
    </row>
    <row r="7" spans="1:35" ht="17" customHeight="1" x14ac:dyDescent="0.2">
      <c r="A7" s="31" t="s">
        <v>170</v>
      </c>
      <c r="B7" s="27">
        <f>SUM(C7:AI7)</f>
        <v>33</v>
      </c>
      <c r="C7" s="28">
        <v>1</v>
      </c>
      <c r="D7" s="28">
        <v>1</v>
      </c>
      <c r="E7" s="29">
        <v>1</v>
      </c>
      <c r="F7" s="29">
        <v>1</v>
      </c>
      <c r="G7" s="28">
        <v>1</v>
      </c>
      <c r="H7" s="28">
        <v>1</v>
      </c>
      <c r="I7" s="28">
        <v>1</v>
      </c>
      <c r="J7" s="28">
        <v>1</v>
      </c>
      <c r="K7" s="28">
        <v>1</v>
      </c>
      <c r="L7" s="29">
        <v>1</v>
      </c>
      <c r="M7" s="29">
        <v>1</v>
      </c>
      <c r="N7" s="28">
        <v>1</v>
      </c>
      <c r="O7" s="28">
        <v>1</v>
      </c>
      <c r="P7" s="28">
        <v>1</v>
      </c>
      <c r="Q7" s="28">
        <v>1</v>
      </c>
      <c r="R7" s="28">
        <v>1</v>
      </c>
      <c r="S7" s="29">
        <v>1</v>
      </c>
      <c r="T7" s="29">
        <v>1</v>
      </c>
      <c r="U7" s="28">
        <v>1</v>
      </c>
      <c r="V7" s="28">
        <v>1</v>
      </c>
      <c r="W7" s="28">
        <v>1</v>
      </c>
      <c r="X7" s="28">
        <v>1</v>
      </c>
      <c r="Y7" s="28">
        <v>1</v>
      </c>
      <c r="Z7" s="29">
        <v>1</v>
      </c>
      <c r="AA7" s="29">
        <v>1</v>
      </c>
      <c r="AB7" s="28">
        <v>1</v>
      </c>
      <c r="AC7" s="28">
        <v>1</v>
      </c>
      <c r="AD7" s="28">
        <v>1</v>
      </c>
      <c r="AE7" s="28">
        <v>1</v>
      </c>
      <c r="AF7" s="28">
        <v>1</v>
      </c>
      <c r="AG7" s="29">
        <v>1</v>
      </c>
      <c r="AH7" s="29">
        <v>1</v>
      </c>
      <c r="AI7" s="28">
        <v>1</v>
      </c>
    </row>
    <row r="8" spans="1:35" ht="17" customHeight="1" x14ac:dyDescent="0.2">
      <c r="A8" s="32" t="s">
        <v>171</v>
      </c>
      <c r="B8" s="27">
        <f>SUM(C8:AI8)</f>
        <v>66</v>
      </c>
      <c r="C8" s="28">
        <v>2</v>
      </c>
      <c r="D8" s="28">
        <v>2</v>
      </c>
      <c r="E8" s="29">
        <v>2</v>
      </c>
      <c r="F8" s="29">
        <v>2</v>
      </c>
      <c r="G8" s="28">
        <v>2</v>
      </c>
      <c r="H8" s="28">
        <v>2</v>
      </c>
      <c r="I8" s="28">
        <v>2</v>
      </c>
      <c r="J8" s="28">
        <v>2</v>
      </c>
      <c r="K8" s="28">
        <v>2</v>
      </c>
      <c r="L8" s="29">
        <v>2</v>
      </c>
      <c r="M8" s="29">
        <v>2</v>
      </c>
      <c r="N8" s="28">
        <v>2</v>
      </c>
      <c r="O8" s="28">
        <v>2</v>
      </c>
      <c r="P8" s="28">
        <v>2</v>
      </c>
      <c r="Q8" s="28">
        <v>2</v>
      </c>
      <c r="R8" s="28">
        <v>2</v>
      </c>
      <c r="S8" s="29">
        <v>2</v>
      </c>
      <c r="T8" s="29">
        <v>2</v>
      </c>
      <c r="U8" s="28">
        <v>2</v>
      </c>
      <c r="V8" s="28">
        <v>2</v>
      </c>
      <c r="W8" s="28">
        <v>2</v>
      </c>
      <c r="X8" s="28">
        <v>2</v>
      </c>
      <c r="Y8" s="28">
        <v>2</v>
      </c>
      <c r="Z8" s="29">
        <v>2</v>
      </c>
      <c r="AA8" s="29">
        <v>2</v>
      </c>
      <c r="AB8" s="28">
        <v>2</v>
      </c>
      <c r="AC8" s="28">
        <v>2</v>
      </c>
      <c r="AD8" s="28">
        <v>2</v>
      </c>
      <c r="AE8" s="28">
        <v>2</v>
      </c>
      <c r="AF8" s="28">
        <v>2</v>
      </c>
      <c r="AG8" s="29">
        <v>2</v>
      </c>
      <c r="AH8" s="29">
        <v>2</v>
      </c>
      <c r="AI8" s="28">
        <v>2</v>
      </c>
    </row>
    <row r="9" spans="1:35" ht="19" customHeight="1" x14ac:dyDescent="0.2">
      <c r="A9" s="33" t="s">
        <v>134</v>
      </c>
      <c r="B9" s="34">
        <f>SUM(C9:AI9)</f>
        <v>165</v>
      </c>
      <c r="C9" s="35">
        <f t="shared" ref="C9:AI9" si="0">SUM(C5:C8)</f>
        <v>5</v>
      </c>
      <c r="D9" s="35">
        <f t="shared" si="0"/>
        <v>5</v>
      </c>
      <c r="E9" s="35">
        <f t="shared" si="0"/>
        <v>5</v>
      </c>
      <c r="F9" s="35">
        <f t="shared" si="0"/>
        <v>5</v>
      </c>
      <c r="G9" s="35">
        <f t="shared" si="0"/>
        <v>5</v>
      </c>
      <c r="H9" s="35">
        <f t="shared" si="0"/>
        <v>5</v>
      </c>
      <c r="I9" s="35">
        <f t="shared" si="0"/>
        <v>5</v>
      </c>
      <c r="J9" s="35">
        <f t="shared" si="0"/>
        <v>5</v>
      </c>
      <c r="K9" s="35">
        <f t="shared" si="0"/>
        <v>5</v>
      </c>
      <c r="L9" s="35">
        <f t="shared" si="0"/>
        <v>5</v>
      </c>
      <c r="M9" s="35">
        <f t="shared" si="0"/>
        <v>5</v>
      </c>
      <c r="N9" s="35">
        <f t="shared" si="0"/>
        <v>5</v>
      </c>
      <c r="O9" s="35">
        <f t="shared" si="0"/>
        <v>5</v>
      </c>
      <c r="P9" s="35">
        <f t="shared" si="0"/>
        <v>5</v>
      </c>
      <c r="Q9" s="35">
        <f t="shared" si="0"/>
        <v>5</v>
      </c>
      <c r="R9" s="35">
        <f t="shared" si="0"/>
        <v>5</v>
      </c>
      <c r="S9" s="35">
        <f t="shared" si="0"/>
        <v>5</v>
      </c>
      <c r="T9" s="35">
        <f t="shared" si="0"/>
        <v>5</v>
      </c>
      <c r="U9" s="35">
        <f t="shared" si="0"/>
        <v>5</v>
      </c>
      <c r="V9" s="35">
        <f t="shared" si="0"/>
        <v>5</v>
      </c>
      <c r="W9" s="35">
        <f t="shared" si="0"/>
        <v>5</v>
      </c>
      <c r="X9" s="35">
        <f t="shared" si="0"/>
        <v>5</v>
      </c>
      <c r="Y9" s="35">
        <f t="shared" si="0"/>
        <v>5</v>
      </c>
      <c r="Z9" s="35">
        <f t="shared" si="0"/>
        <v>5</v>
      </c>
      <c r="AA9" s="35">
        <f t="shared" si="0"/>
        <v>5</v>
      </c>
      <c r="AB9" s="35">
        <f t="shared" si="0"/>
        <v>5</v>
      </c>
      <c r="AC9" s="35">
        <f t="shared" si="0"/>
        <v>5</v>
      </c>
      <c r="AD9" s="35">
        <f t="shared" si="0"/>
        <v>5</v>
      </c>
      <c r="AE9" s="35">
        <f t="shared" si="0"/>
        <v>5</v>
      </c>
      <c r="AF9" s="35">
        <f t="shared" si="0"/>
        <v>5</v>
      </c>
      <c r="AG9" s="35">
        <f t="shared" si="0"/>
        <v>5</v>
      </c>
      <c r="AH9" s="35">
        <f t="shared" si="0"/>
        <v>5</v>
      </c>
      <c r="AI9" s="35">
        <f t="shared" si="0"/>
        <v>5</v>
      </c>
    </row>
    <row r="11" spans="1:35" ht="20" customHeight="1" x14ac:dyDescent="0.2">
      <c r="A11" s="113" t="s">
        <v>172</v>
      </c>
      <c r="B11" s="100"/>
      <c r="C11" s="100"/>
      <c r="D11" s="100"/>
      <c r="E11" s="100"/>
      <c r="F11" s="100"/>
      <c r="G11" s="100"/>
      <c r="H11" s="100"/>
      <c r="I11" s="100"/>
      <c r="J11" s="100"/>
      <c r="K11" s="100"/>
      <c r="L11" s="100"/>
      <c r="M11" s="100"/>
      <c r="N11" s="100"/>
      <c r="O11" s="100"/>
      <c r="P11" s="100"/>
      <c r="Q11" s="100"/>
      <c r="R11" s="100"/>
      <c r="S11" s="100"/>
      <c r="T11" s="100"/>
      <c r="U11" s="100"/>
      <c r="V11" s="100"/>
      <c r="W11" s="100"/>
      <c r="X11" s="100"/>
      <c r="Y11" s="100"/>
      <c r="Z11" s="100"/>
      <c r="AA11" s="100"/>
      <c r="AB11" s="100"/>
      <c r="AC11" s="100"/>
      <c r="AD11" s="100"/>
      <c r="AE11" s="100"/>
      <c r="AF11" s="100"/>
      <c r="AG11" s="100"/>
      <c r="AH11" s="100"/>
      <c r="AI11" s="100"/>
    </row>
    <row r="12" spans="1:35" ht="18" customHeight="1" x14ac:dyDescent="0.2">
      <c r="A12" s="21" t="s">
        <v>133</v>
      </c>
      <c r="B12" s="22" t="s">
        <v>134</v>
      </c>
      <c r="C12" s="23" t="s">
        <v>135</v>
      </c>
      <c r="D12" s="23" t="s">
        <v>136</v>
      </c>
      <c r="E12" s="24" t="s">
        <v>137</v>
      </c>
      <c r="F12" s="24" t="s">
        <v>138</v>
      </c>
      <c r="G12" s="23" t="s">
        <v>139</v>
      </c>
      <c r="H12" s="23" t="s">
        <v>140</v>
      </c>
      <c r="I12" s="23" t="s">
        <v>141</v>
      </c>
      <c r="J12" s="23" t="s">
        <v>142</v>
      </c>
      <c r="K12" s="23" t="s">
        <v>143</v>
      </c>
      <c r="L12" s="24" t="s">
        <v>144</v>
      </c>
      <c r="M12" s="24" t="s">
        <v>145</v>
      </c>
      <c r="N12" s="25" t="s">
        <v>146</v>
      </c>
      <c r="O12" s="23" t="s">
        <v>147</v>
      </c>
      <c r="P12" s="23" t="s">
        <v>148</v>
      </c>
      <c r="Q12" s="23" t="s">
        <v>149</v>
      </c>
      <c r="R12" s="23" t="s">
        <v>150</v>
      </c>
      <c r="S12" s="24" t="s">
        <v>151</v>
      </c>
      <c r="T12" s="24" t="s">
        <v>152</v>
      </c>
      <c r="U12" s="23" t="s">
        <v>153</v>
      </c>
      <c r="V12" s="23" t="s">
        <v>154</v>
      </c>
      <c r="W12" s="23" t="s">
        <v>155</v>
      </c>
      <c r="X12" s="23" t="s">
        <v>156</v>
      </c>
      <c r="Y12" s="23" t="s">
        <v>157</v>
      </c>
      <c r="Z12" s="24" t="s">
        <v>158</v>
      </c>
      <c r="AA12" s="24" t="s">
        <v>159</v>
      </c>
      <c r="AB12" s="23" t="s">
        <v>160</v>
      </c>
      <c r="AC12" s="23" t="s">
        <v>161</v>
      </c>
      <c r="AD12" s="23" t="s">
        <v>162</v>
      </c>
      <c r="AE12" s="23" t="s">
        <v>163</v>
      </c>
      <c r="AF12" s="23" t="s">
        <v>164</v>
      </c>
      <c r="AG12" s="24" t="s">
        <v>165</v>
      </c>
      <c r="AH12" s="25" t="s">
        <v>166</v>
      </c>
      <c r="AI12" s="25" t="s">
        <v>167</v>
      </c>
    </row>
    <row r="13" spans="1:35" ht="17" customHeight="1" x14ac:dyDescent="0.2">
      <c r="A13" s="26" t="s">
        <v>168</v>
      </c>
      <c r="B13" s="27">
        <f>SUM(C13:AI13)</f>
        <v>33</v>
      </c>
      <c r="C13" s="28">
        <f>IF('Calendario Octubre 2026'!$H$7&lt;&gt;"",1,0)</f>
        <v>1</v>
      </c>
      <c r="D13" s="28">
        <f>IF('Calendario Octubre 2026'!$J$7&lt;&gt;"",1,0)</f>
        <v>1</v>
      </c>
      <c r="E13" s="29">
        <f>IF('Calendario Octubre 2026'!$L$7&lt;&gt;"",1,0)</f>
        <v>1</v>
      </c>
      <c r="F13" s="29">
        <f>IF('Calendario Octubre 2026'!$N$7&lt;&gt;"",1,0)</f>
        <v>1</v>
      </c>
      <c r="G13" s="28">
        <f>IF('Calendario Octubre 2026'!$B$16&lt;&gt;"",1,0)</f>
        <v>1</v>
      </c>
      <c r="H13" s="28">
        <f>IF('Calendario Octubre 2026'!$D$16&lt;&gt;"",1,0)</f>
        <v>1</v>
      </c>
      <c r="I13" s="28">
        <f>IF('Calendario Octubre 2026'!$F$16&lt;&gt;"",1,0)</f>
        <v>1</v>
      </c>
      <c r="J13" s="28">
        <f>IF('Calendario Octubre 2026'!$H$16&lt;&gt;"",1,0)</f>
        <v>1</v>
      </c>
      <c r="K13" s="28">
        <f>IF('Calendario Octubre 2026'!$J$16&lt;&gt;"",1,0)</f>
        <v>1</v>
      </c>
      <c r="L13" s="29">
        <f>IF('Calendario Octubre 2026'!$L$16&lt;&gt;"",1,0)</f>
        <v>1</v>
      </c>
      <c r="M13" s="29">
        <f>IF('Calendario Octubre 2026'!$N$16&lt;&gt;"",1,0)</f>
        <v>1</v>
      </c>
      <c r="N13" s="28">
        <f>IF('Calendario Octubre 2026'!$B$25&lt;&gt;"",1,0)</f>
        <v>1</v>
      </c>
      <c r="O13" s="28">
        <f>IF('Calendario Octubre 2026'!$D$25&lt;&gt;"",1,0)</f>
        <v>1</v>
      </c>
      <c r="P13" s="28">
        <f>IF('Calendario Octubre 2026'!$F$25&lt;&gt;"",1,0)</f>
        <v>1</v>
      </c>
      <c r="Q13" s="28">
        <f>IF('Calendario Octubre 2026'!$H$25&lt;&gt;"",1,0)</f>
        <v>1</v>
      </c>
      <c r="R13" s="28">
        <f>IF('Calendario Octubre 2026'!$J$25&lt;&gt;"",1,0)</f>
        <v>1</v>
      </c>
      <c r="S13" s="29">
        <f>IF('Calendario Octubre 2026'!$L$25&lt;&gt;"",1,0)</f>
        <v>1</v>
      </c>
      <c r="T13" s="29">
        <f>IF('Calendario Octubre 2026'!$N$25&lt;&gt;"",1,0)</f>
        <v>1</v>
      </c>
      <c r="U13" s="28">
        <f>IF('Calendario Octubre 2026'!$B$34&lt;&gt;"",1,0)</f>
        <v>1</v>
      </c>
      <c r="V13" s="28">
        <f>IF('Calendario Octubre 2026'!$D$34&lt;&gt;"",1,0)</f>
        <v>1</v>
      </c>
      <c r="W13" s="28">
        <f>IF('Calendario Octubre 2026'!$F$34&lt;&gt;"",1,0)</f>
        <v>1</v>
      </c>
      <c r="X13" s="28">
        <f>IF('Calendario Octubre 2026'!$H$34&lt;&gt;"",1,0)</f>
        <v>1</v>
      </c>
      <c r="Y13" s="28">
        <f>IF('Calendario Octubre 2026'!$J$34&lt;&gt;"",1,0)</f>
        <v>1</v>
      </c>
      <c r="Z13" s="29">
        <f>IF('Calendario Octubre 2026'!$L$34&lt;&gt;"",1,0)</f>
        <v>1</v>
      </c>
      <c r="AA13" s="29">
        <f>IF('Calendario Octubre 2026'!$N$34&lt;&gt;"",1,0)</f>
        <v>1</v>
      </c>
      <c r="AB13" s="28">
        <f>IF('Calendario Octubre 2026'!$B$43&lt;&gt;"",1,0)</f>
        <v>1</v>
      </c>
      <c r="AC13" s="28">
        <f>IF('Calendario Octubre 2026'!$D$43&lt;&gt;"",1,0)</f>
        <v>1</v>
      </c>
      <c r="AD13" s="28">
        <f>IF('Calendario Octubre 2026'!$F$43&lt;&gt;"",1,0)</f>
        <v>1</v>
      </c>
      <c r="AE13" s="28">
        <f>IF('Calendario Octubre 2026'!$H$43&lt;&gt;"",1,0)</f>
        <v>1</v>
      </c>
      <c r="AF13" s="28">
        <f>IF('Calendario Octubre 2026'!$J$43&lt;&gt;"",1,0)</f>
        <v>1</v>
      </c>
      <c r="AG13" s="29">
        <f>IF('Calendario Octubre 2026'!$L$43&lt;&gt;"",1,0)</f>
        <v>1</v>
      </c>
      <c r="AH13" s="29">
        <f>IF('Calendario Octubre 2026'!$N$43&lt;&gt;"",1,0)</f>
        <v>1</v>
      </c>
      <c r="AI13" s="28">
        <f>IF('Calendario Octubre 2026'!$B$52&lt;&gt;"",1,0)</f>
        <v>1</v>
      </c>
    </row>
    <row r="14" spans="1:35" ht="17" customHeight="1" x14ac:dyDescent="0.2">
      <c r="A14" s="30" t="s">
        <v>169</v>
      </c>
      <c r="B14" s="27">
        <f>SUM(C14:AI14)</f>
        <v>33</v>
      </c>
      <c r="C14" s="28">
        <f>IF('Calendario Octubre 2026'!$H$8&lt;&gt;"",1,0)</f>
        <v>1</v>
      </c>
      <c r="D14" s="28">
        <f>IF('Calendario Octubre 2026'!$J$8&lt;&gt;"",1,0)</f>
        <v>1</v>
      </c>
      <c r="E14" s="29">
        <f>IF('Calendario Octubre 2026'!$L$8&lt;&gt;"",1,0)</f>
        <v>1</v>
      </c>
      <c r="F14" s="29">
        <f>IF('Calendario Octubre 2026'!$N$8&lt;&gt;"",1,0)</f>
        <v>1</v>
      </c>
      <c r="G14" s="28">
        <f>IF('Calendario Octubre 2026'!$B$17&lt;&gt;"",1,0)</f>
        <v>1</v>
      </c>
      <c r="H14" s="28">
        <f>IF('Calendario Octubre 2026'!$D$17&lt;&gt;"",1,0)</f>
        <v>1</v>
      </c>
      <c r="I14" s="28">
        <f>IF('Calendario Octubre 2026'!$F$17&lt;&gt;"",1,0)</f>
        <v>1</v>
      </c>
      <c r="J14" s="28">
        <f>IF('Calendario Octubre 2026'!$H$17&lt;&gt;"",1,0)</f>
        <v>1</v>
      </c>
      <c r="K14" s="28">
        <f>IF('Calendario Octubre 2026'!$J$17&lt;&gt;"",1,0)</f>
        <v>1</v>
      </c>
      <c r="L14" s="29">
        <f>IF('Calendario Octubre 2026'!$L$17&lt;&gt;"",1,0)</f>
        <v>1</v>
      </c>
      <c r="M14" s="29">
        <f>IF('Calendario Octubre 2026'!$N$17&lt;&gt;"",1,0)</f>
        <v>1</v>
      </c>
      <c r="N14" s="28">
        <f>IF('Calendario Octubre 2026'!$B$26&lt;&gt;"",1,0)</f>
        <v>1</v>
      </c>
      <c r="O14" s="28">
        <f>IF('Calendario Octubre 2026'!$D$26&lt;&gt;"",1,0)</f>
        <v>1</v>
      </c>
      <c r="P14" s="28">
        <f>IF('Calendario Octubre 2026'!$F$26&lt;&gt;"",1,0)</f>
        <v>1</v>
      </c>
      <c r="Q14" s="28">
        <f>IF('Calendario Octubre 2026'!$H$26&lt;&gt;"",1,0)</f>
        <v>1</v>
      </c>
      <c r="R14" s="28">
        <f>IF('Calendario Octubre 2026'!$J$26&lt;&gt;"",1,0)</f>
        <v>1</v>
      </c>
      <c r="S14" s="29">
        <f>IF('Calendario Octubre 2026'!$L$26&lt;&gt;"",1,0)</f>
        <v>1</v>
      </c>
      <c r="T14" s="29">
        <f>IF('Calendario Octubre 2026'!$N$26&lt;&gt;"",1,0)</f>
        <v>1</v>
      </c>
      <c r="U14" s="28">
        <f>IF('Calendario Octubre 2026'!$B$35&lt;&gt;"",1,0)</f>
        <v>1</v>
      </c>
      <c r="V14" s="28">
        <f>IF('Calendario Octubre 2026'!$D$35&lt;&gt;"",1,0)</f>
        <v>1</v>
      </c>
      <c r="W14" s="28">
        <f>IF('Calendario Octubre 2026'!$F$35&lt;&gt;"",1,0)</f>
        <v>1</v>
      </c>
      <c r="X14" s="28">
        <f>IF('Calendario Octubre 2026'!$H$35&lt;&gt;"",1,0)</f>
        <v>1</v>
      </c>
      <c r="Y14" s="28">
        <f>IF('Calendario Octubre 2026'!$J$35&lt;&gt;"",1,0)</f>
        <v>1</v>
      </c>
      <c r="Z14" s="29">
        <f>IF('Calendario Octubre 2026'!$L$35&lt;&gt;"",1,0)</f>
        <v>1</v>
      </c>
      <c r="AA14" s="29">
        <f>IF('Calendario Octubre 2026'!$N$35&lt;&gt;"",1,0)</f>
        <v>1</v>
      </c>
      <c r="AB14" s="28">
        <f>IF('Calendario Octubre 2026'!$B$44&lt;&gt;"",1,0)</f>
        <v>1</v>
      </c>
      <c r="AC14" s="28">
        <f>IF('Calendario Octubre 2026'!$D$44&lt;&gt;"",1,0)</f>
        <v>1</v>
      </c>
      <c r="AD14" s="28">
        <f>IF('Calendario Octubre 2026'!$F$44&lt;&gt;"",1,0)</f>
        <v>1</v>
      </c>
      <c r="AE14" s="28">
        <f>IF('Calendario Octubre 2026'!$H$44&lt;&gt;"",1,0)</f>
        <v>1</v>
      </c>
      <c r="AF14" s="28">
        <f>IF('Calendario Octubre 2026'!$J$44&lt;&gt;"",1,0)</f>
        <v>1</v>
      </c>
      <c r="AG14" s="29">
        <f>IF('Calendario Octubre 2026'!$L$44&lt;&gt;"",1,0)</f>
        <v>1</v>
      </c>
      <c r="AH14" s="29">
        <f>IF('Calendario Octubre 2026'!$N$44&lt;&gt;"",1,0)</f>
        <v>1</v>
      </c>
      <c r="AI14" s="28">
        <f>IF('Calendario Octubre 2026'!$B$53&lt;&gt;"",1,0)</f>
        <v>1</v>
      </c>
    </row>
    <row r="15" spans="1:35" ht="17" customHeight="1" x14ac:dyDescent="0.2">
      <c r="A15" s="31" t="s">
        <v>170</v>
      </c>
      <c r="B15" s="27">
        <f>SUM(C15:AI15)</f>
        <v>33</v>
      </c>
      <c r="C15" s="28">
        <f>IF('Calendario Octubre 2026'!$H$9&lt;&gt;"",1,0)</f>
        <v>1</v>
      </c>
      <c r="D15" s="28">
        <f>IF('Calendario Octubre 2026'!$J$9&lt;&gt;"",1,0)</f>
        <v>1</v>
      </c>
      <c r="E15" s="29">
        <f>IF('Calendario Octubre 2026'!$L$9&lt;&gt;"",1,0)</f>
        <v>1</v>
      </c>
      <c r="F15" s="29">
        <f>IF('Calendario Octubre 2026'!$N$9&lt;&gt;"",1,0)</f>
        <v>1</v>
      </c>
      <c r="G15" s="28">
        <f>IF('Calendario Octubre 2026'!$B$18&lt;&gt;"",1,0)</f>
        <v>1</v>
      </c>
      <c r="H15" s="28">
        <f>IF('Calendario Octubre 2026'!$D$18&lt;&gt;"",1,0)</f>
        <v>1</v>
      </c>
      <c r="I15" s="28">
        <f>IF('Calendario Octubre 2026'!$F$18&lt;&gt;"",1,0)</f>
        <v>1</v>
      </c>
      <c r="J15" s="28">
        <f>IF('Calendario Octubre 2026'!$H$18&lt;&gt;"",1,0)</f>
        <v>1</v>
      </c>
      <c r="K15" s="28">
        <f>IF('Calendario Octubre 2026'!$J$18&lt;&gt;"",1,0)</f>
        <v>1</v>
      </c>
      <c r="L15" s="29">
        <f>IF('Calendario Octubre 2026'!$L$18&lt;&gt;"",1,0)</f>
        <v>1</v>
      </c>
      <c r="M15" s="29">
        <f>IF('Calendario Octubre 2026'!$N$18&lt;&gt;"",1,0)</f>
        <v>1</v>
      </c>
      <c r="N15" s="28">
        <f>IF('Calendario Octubre 2026'!$B$27&lt;&gt;"",1,0)</f>
        <v>1</v>
      </c>
      <c r="O15" s="28">
        <f>IF('Calendario Octubre 2026'!$D$27&lt;&gt;"",1,0)</f>
        <v>1</v>
      </c>
      <c r="P15" s="28">
        <f>IF('Calendario Octubre 2026'!$F$27&lt;&gt;"",1,0)</f>
        <v>1</v>
      </c>
      <c r="Q15" s="28">
        <f>IF('Calendario Octubre 2026'!$H$27&lt;&gt;"",1,0)</f>
        <v>1</v>
      </c>
      <c r="R15" s="28">
        <f>IF('Calendario Octubre 2026'!$J$27&lt;&gt;"",1,0)</f>
        <v>1</v>
      </c>
      <c r="S15" s="29">
        <f>IF('Calendario Octubre 2026'!$L$27&lt;&gt;"",1,0)</f>
        <v>1</v>
      </c>
      <c r="T15" s="29">
        <f>IF('Calendario Octubre 2026'!$N$27&lt;&gt;"",1,0)</f>
        <v>1</v>
      </c>
      <c r="U15" s="28">
        <f>IF('Calendario Octubre 2026'!$B$36&lt;&gt;"",1,0)</f>
        <v>1</v>
      </c>
      <c r="V15" s="28">
        <f>IF('Calendario Octubre 2026'!$D$36&lt;&gt;"",1,0)</f>
        <v>1</v>
      </c>
      <c r="W15" s="28">
        <f>IF('Calendario Octubre 2026'!$F$36&lt;&gt;"",1,0)</f>
        <v>1</v>
      </c>
      <c r="X15" s="28">
        <f>IF('Calendario Octubre 2026'!$H$36&lt;&gt;"",1,0)</f>
        <v>1</v>
      </c>
      <c r="Y15" s="28">
        <f>IF('Calendario Octubre 2026'!$J$36&lt;&gt;"",1,0)</f>
        <v>1</v>
      </c>
      <c r="Z15" s="29">
        <f>IF('Calendario Octubre 2026'!$L$36&lt;&gt;"",1,0)</f>
        <v>1</v>
      </c>
      <c r="AA15" s="29">
        <f>IF('Calendario Octubre 2026'!$N$36&lt;&gt;"",1,0)</f>
        <v>1</v>
      </c>
      <c r="AB15" s="28">
        <f>IF('Calendario Octubre 2026'!$B$45&lt;&gt;"",1,0)</f>
        <v>1</v>
      </c>
      <c r="AC15" s="28">
        <f>IF('Calendario Octubre 2026'!$D$45&lt;&gt;"",1,0)</f>
        <v>1</v>
      </c>
      <c r="AD15" s="28">
        <f>IF('Calendario Octubre 2026'!$F$45&lt;&gt;"",1,0)</f>
        <v>1</v>
      </c>
      <c r="AE15" s="28">
        <f>IF('Calendario Octubre 2026'!$H$45&lt;&gt;"",1,0)</f>
        <v>1</v>
      </c>
      <c r="AF15" s="28">
        <f>IF('Calendario Octubre 2026'!$J$45&lt;&gt;"",1,0)</f>
        <v>1</v>
      </c>
      <c r="AG15" s="29">
        <f>IF('Calendario Octubre 2026'!$L$45&lt;&gt;"",1,0)</f>
        <v>1</v>
      </c>
      <c r="AH15" s="29">
        <f>IF('Calendario Octubre 2026'!$N$45&lt;&gt;"",1,0)</f>
        <v>1</v>
      </c>
      <c r="AI15" s="28">
        <f>IF('Calendario Octubre 2026'!$B$54&lt;&gt;"",1,0)</f>
        <v>1</v>
      </c>
    </row>
    <row r="16" spans="1:35" ht="17" customHeight="1" x14ac:dyDescent="0.2">
      <c r="A16" s="32" t="s">
        <v>171</v>
      </c>
      <c r="B16" s="27">
        <f>SUM(C16:AI16)</f>
        <v>66</v>
      </c>
      <c r="C16" s="28">
        <f>IF('Calendario Octubre 2026'!$H$10&lt;&gt;"",1,0)+IF('Calendario Octubre 2026'!$H$11&lt;&gt;"",1,0)</f>
        <v>2</v>
      </c>
      <c r="D16" s="28">
        <f>IF('Calendario Octubre 2026'!$J$10&lt;&gt;"",1,0)+IF('Calendario Octubre 2026'!$J$11&lt;&gt;"",1,0)</f>
        <v>2</v>
      </c>
      <c r="E16" s="29">
        <f>IF('Calendario Octubre 2026'!$L$10&lt;&gt;"",1,0)+IF('Calendario Octubre 2026'!$L$11&lt;&gt;"",1,0)</f>
        <v>2</v>
      </c>
      <c r="F16" s="29">
        <f>IF('Calendario Octubre 2026'!$N$10&lt;&gt;"",1,0)+IF('Calendario Octubre 2026'!$N$11&lt;&gt;"",1,0)</f>
        <v>2</v>
      </c>
      <c r="G16" s="28">
        <f>IF('Calendario Octubre 2026'!$B$19&lt;&gt;"",1,0)+IF('Calendario Octubre 2026'!$B$20&lt;&gt;"",1,0)</f>
        <v>2</v>
      </c>
      <c r="H16" s="28">
        <f>IF('Calendario Octubre 2026'!$D$19&lt;&gt;"",1,0)+IF('Calendario Octubre 2026'!$D$20&lt;&gt;"",1,0)</f>
        <v>2</v>
      </c>
      <c r="I16" s="28">
        <f>IF('Calendario Octubre 2026'!$F$19&lt;&gt;"",1,0)+IF('Calendario Octubre 2026'!$F$20&lt;&gt;"",1,0)</f>
        <v>2</v>
      </c>
      <c r="J16" s="28">
        <f>IF('Calendario Octubre 2026'!$H$19&lt;&gt;"",1,0)+IF('Calendario Octubre 2026'!$H$20&lt;&gt;"",1,0)</f>
        <v>2</v>
      </c>
      <c r="K16" s="28">
        <f>IF('Calendario Octubre 2026'!$J$19&lt;&gt;"",1,0)+IF('Calendario Octubre 2026'!$J$20&lt;&gt;"",1,0)</f>
        <v>2</v>
      </c>
      <c r="L16" s="29">
        <f>IF('Calendario Octubre 2026'!$L$19&lt;&gt;"",1,0)+IF('Calendario Octubre 2026'!$L$20&lt;&gt;"",1,0)</f>
        <v>2</v>
      </c>
      <c r="M16" s="29">
        <f>IF('Calendario Octubre 2026'!$N$19&lt;&gt;"",1,0)+IF('Calendario Octubre 2026'!$N$20&lt;&gt;"",1,0)</f>
        <v>2</v>
      </c>
      <c r="N16" s="28">
        <f>IF('Calendario Octubre 2026'!$B$28&lt;&gt;"",1,0)+IF('Calendario Octubre 2026'!$B$29&lt;&gt;"",1,0)</f>
        <v>2</v>
      </c>
      <c r="O16" s="28">
        <f>IF('Calendario Octubre 2026'!$D$28&lt;&gt;"",1,0)+IF('Calendario Octubre 2026'!$D$29&lt;&gt;"",1,0)</f>
        <v>2</v>
      </c>
      <c r="P16" s="28">
        <f>IF('Calendario Octubre 2026'!$F$28&lt;&gt;"",1,0)+IF('Calendario Octubre 2026'!$F$29&lt;&gt;"",1,0)</f>
        <v>2</v>
      </c>
      <c r="Q16" s="28">
        <f>IF('Calendario Octubre 2026'!$H$28&lt;&gt;"",1,0)+IF('Calendario Octubre 2026'!$H$29&lt;&gt;"",1,0)</f>
        <v>2</v>
      </c>
      <c r="R16" s="28">
        <f>IF('Calendario Octubre 2026'!$J$28&lt;&gt;"",1,0)+IF('Calendario Octubre 2026'!$J$29&lt;&gt;"",1,0)</f>
        <v>2</v>
      </c>
      <c r="S16" s="29">
        <f>IF('Calendario Octubre 2026'!$L$28&lt;&gt;"",1,0)+IF('Calendario Octubre 2026'!$L$29&lt;&gt;"",1,0)</f>
        <v>2</v>
      </c>
      <c r="T16" s="29">
        <f>IF('Calendario Octubre 2026'!$N$28&lt;&gt;"",1,0)+IF('Calendario Octubre 2026'!$N$29&lt;&gt;"",1,0)</f>
        <v>2</v>
      </c>
      <c r="U16" s="28">
        <f>IF('Calendario Octubre 2026'!$B$37&lt;&gt;"",1,0)+IF('Calendario Octubre 2026'!$B$38&lt;&gt;"",1,0)</f>
        <v>2</v>
      </c>
      <c r="V16" s="28">
        <f>IF('Calendario Octubre 2026'!$D$37&lt;&gt;"",1,0)+IF('Calendario Octubre 2026'!$D$38&lt;&gt;"",1,0)</f>
        <v>2</v>
      </c>
      <c r="W16" s="28">
        <f>IF('Calendario Octubre 2026'!$F$37&lt;&gt;"",1,0)+IF('Calendario Octubre 2026'!$F$38&lt;&gt;"",1,0)</f>
        <v>2</v>
      </c>
      <c r="X16" s="28">
        <f>IF('Calendario Octubre 2026'!$H$37&lt;&gt;"",1,0)+IF('Calendario Octubre 2026'!$H$38&lt;&gt;"",1,0)</f>
        <v>2</v>
      </c>
      <c r="Y16" s="28">
        <f>IF('Calendario Octubre 2026'!$J$37&lt;&gt;"",1,0)+IF('Calendario Octubre 2026'!$J$38&lt;&gt;"",1,0)</f>
        <v>2</v>
      </c>
      <c r="Z16" s="29">
        <f>IF('Calendario Octubre 2026'!$L$37&lt;&gt;"",1,0)+IF('Calendario Octubre 2026'!$L$38&lt;&gt;"",1,0)</f>
        <v>2</v>
      </c>
      <c r="AA16" s="29">
        <f>IF('Calendario Octubre 2026'!$N$37&lt;&gt;"",1,0)+IF('Calendario Octubre 2026'!$N$38&lt;&gt;"",1,0)</f>
        <v>2</v>
      </c>
      <c r="AB16" s="28">
        <f>IF('Calendario Octubre 2026'!$B$46&lt;&gt;"",1,0)+IF('Calendario Octubre 2026'!$B$47&lt;&gt;"",1,0)</f>
        <v>2</v>
      </c>
      <c r="AC16" s="28">
        <f>IF('Calendario Octubre 2026'!$D$46&lt;&gt;"",1,0)+IF('Calendario Octubre 2026'!$D$47&lt;&gt;"",1,0)</f>
        <v>2</v>
      </c>
      <c r="AD16" s="28">
        <f>IF('Calendario Octubre 2026'!$F$46&lt;&gt;"",1,0)+IF('Calendario Octubre 2026'!$F$47&lt;&gt;"",1,0)</f>
        <v>2</v>
      </c>
      <c r="AE16" s="28">
        <f>IF('Calendario Octubre 2026'!$H$46&lt;&gt;"",1,0)+IF('Calendario Octubre 2026'!$H$47&lt;&gt;"",1,0)</f>
        <v>2</v>
      </c>
      <c r="AF16" s="28">
        <f>IF('Calendario Octubre 2026'!$J$46&lt;&gt;"",1,0)+IF('Calendario Octubre 2026'!$J$47&lt;&gt;"",1,0)</f>
        <v>2</v>
      </c>
      <c r="AG16" s="29">
        <f>IF('Calendario Octubre 2026'!$L$46&lt;&gt;"",1,0)+IF('Calendario Octubre 2026'!$L$47&lt;&gt;"",1,0)</f>
        <v>2</v>
      </c>
      <c r="AH16" s="29">
        <f>IF('Calendario Octubre 2026'!$N$46&lt;&gt;"",1,0)+IF('Calendario Octubre 2026'!$N$47&lt;&gt;"",1,0)</f>
        <v>2</v>
      </c>
      <c r="AI16" s="28">
        <f>IF('Calendario Octubre 2026'!$B$55&lt;&gt;"",1,0)+IF('Calendario Octubre 2026'!$B$56&lt;&gt;"",1,0)</f>
        <v>2</v>
      </c>
    </row>
    <row r="17" spans="1:35" ht="19" customHeight="1" x14ac:dyDescent="0.2">
      <c r="A17" s="33" t="s">
        <v>134</v>
      </c>
      <c r="B17" s="34">
        <f>SUM(C17:AI17)</f>
        <v>165</v>
      </c>
      <c r="C17" s="35">
        <f t="shared" ref="C17:AI17" si="1">SUM(C13:C16)</f>
        <v>5</v>
      </c>
      <c r="D17" s="35">
        <f t="shared" si="1"/>
        <v>5</v>
      </c>
      <c r="E17" s="35">
        <f t="shared" si="1"/>
        <v>5</v>
      </c>
      <c r="F17" s="35">
        <f t="shared" si="1"/>
        <v>5</v>
      </c>
      <c r="G17" s="35">
        <f t="shared" si="1"/>
        <v>5</v>
      </c>
      <c r="H17" s="35">
        <f t="shared" si="1"/>
        <v>5</v>
      </c>
      <c r="I17" s="35">
        <f t="shared" si="1"/>
        <v>5</v>
      </c>
      <c r="J17" s="35">
        <f t="shared" si="1"/>
        <v>5</v>
      </c>
      <c r="K17" s="35">
        <f t="shared" si="1"/>
        <v>5</v>
      </c>
      <c r="L17" s="35">
        <f t="shared" si="1"/>
        <v>5</v>
      </c>
      <c r="M17" s="35">
        <f t="shared" si="1"/>
        <v>5</v>
      </c>
      <c r="N17" s="35">
        <f t="shared" si="1"/>
        <v>5</v>
      </c>
      <c r="O17" s="35">
        <f t="shared" si="1"/>
        <v>5</v>
      </c>
      <c r="P17" s="35">
        <f t="shared" si="1"/>
        <v>5</v>
      </c>
      <c r="Q17" s="35">
        <f t="shared" si="1"/>
        <v>5</v>
      </c>
      <c r="R17" s="35">
        <f t="shared" si="1"/>
        <v>5</v>
      </c>
      <c r="S17" s="35">
        <f t="shared" si="1"/>
        <v>5</v>
      </c>
      <c r="T17" s="35">
        <f t="shared" si="1"/>
        <v>5</v>
      </c>
      <c r="U17" s="35">
        <f t="shared" si="1"/>
        <v>5</v>
      </c>
      <c r="V17" s="35">
        <f t="shared" si="1"/>
        <v>5</v>
      </c>
      <c r="W17" s="35">
        <f t="shared" si="1"/>
        <v>5</v>
      </c>
      <c r="X17" s="35">
        <f t="shared" si="1"/>
        <v>5</v>
      </c>
      <c r="Y17" s="35">
        <f t="shared" si="1"/>
        <v>5</v>
      </c>
      <c r="Z17" s="35">
        <f t="shared" si="1"/>
        <v>5</v>
      </c>
      <c r="AA17" s="35">
        <f t="shared" si="1"/>
        <v>5</v>
      </c>
      <c r="AB17" s="35">
        <f t="shared" si="1"/>
        <v>5</v>
      </c>
      <c r="AC17" s="35">
        <f t="shared" si="1"/>
        <v>5</v>
      </c>
      <c r="AD17" s="35">
        <f t="shared" si="1"/>
        <v>5</v>
      </c>
      <c r="AE17" s="35">
        <f t="shared" si="1"/>
        <v>5</v>
      </c>
      <c r="AF17" s="35">
        <f t="shared" si="1"/>
        <v>5</v>
      </c>
      <c r="AG17" s="35">
        <f t="shared" si="1"/>
        <v>5</v>
      </c>
      <c r="AH17" s="35">
        <f t="shared" si="1"/>
        <v>5</v>
      </c>
      <c r="AI17" s="35">
        <f t="shared" si="1"/>
        <v>5</v>
      </c>
    </row>
    <row r="19" spans="1:35" ht="20" customHeight="1" x14ac:dyDescent="0.2">
      <c r="A19" s="113" t="s">
        <v>173</v>
      </c>
      <c r="B19" s="100"/>
      <c r="C19" s="100"/>
      <c r="D19" s="100"/>
      <c r="E19" s="100"/>
      <c r="F19" s="100"/>
      <c r="G19" s="100"/>
      <c r="H19" s="100"/>
      <c r="I19" s="100"/>
      <c r="J19" s="100"/>
      <c r="K19" s="100"/>
      <c r="L19" s="100"/>
      <c r="M19" s="100"/>
      <c r="N19" s="100"/>
      <c r="O19" s="100"/>
      <c r="P19" s="100"/>
      <c r="Q19" s="100"/>
      <c r="R19" s="100"/>
      <c r="S19" s="100"/>
      <c r="T19" s="100"/>
      <c r="U19" s="100"/>
      <c r="V19" s="100"/>
      <c r="W19" s="100"/>
      <c r="X19" s="100"/>
      <c r="Y19" s="100"/>
      <c r="Z19" s="100"/>
      <c r="AA19" s="100"/>
      <c r="AB19" s="100"/>
      <c r="AC19" s="100"/>
      <c r="AD19" s="100"/>
      <c r="AE19" s="100"/>
      <c r="AF19" s="100"/>
      <c r="AG19" s="100"/>
      <c r="AH19" s="100"/>
      <c r="AI19" s="100"/>
    </row>
    <row r="20" spans="1:35" ht="18" customHeight="1" x14ac:dyDescent="0.2">
      <c r="A20" s="21" t="s">
        <v>133</v>
      </c>
      <c r="B20" s="22" t="s">
        <v>134</v>
      </c>
      <c r="C20" s="23" t="s">
        <v>135</v>
      </c>
      <c r="D20" s="23" t="s">
        <v>136</v>
      </c>
      <c r="E20" s="24" t="s">
        <v>137</v>
      </c>
      <c r="F20" s="24" t="s">
        <v>138</v>
      </c>
      <c r="G20" s="23" t="s">
        <v>139</v>
      </c>
      <c r="H20" s="23" t="s">
        <v>140</v>
      </c>
      <c r="I20" s="23" t="s">
        <v>141</v>
      </c>
      <c r="J20" s="23" t="s">
        <v>142</v>
      </c>
      <c r="K20" s="23" t="s">
        <v>143</v>
      </c>
      <c r="L20" s="24" t="s">
        <v>144</v>
      </c>
      <c r="M20" s="24" t="s">
        <v>145</v>
      </c>
      <c r="N20" s="25" t="s">
        <v>146</v>
      </c>
      <c r="O20" s="23" t="s">
        <v>147</v>
      </c>
      <c r="P20" s="23" t="s">
        <v>148</v>
      </c>
      <c r="Q20" s="23" t="s">
        <v>149</v>
      </c>
      <c r="R20" s="23" t="s">
        <v>150</v>
      </c>
      <c r="S20" s="24" t="s">
        <v>151</v>
      </c>
      <c r="T20" s="24" t="s">
        <v>152</v>
      </c>
      <c r="U20" s="23" t="s">
        <v>153</v>
      </c>
      <c r="V20" s="23" t="s">
        <v>154</v>
      </c>
      <c r="W20" s="23" t="s">
        <v>155</v>
      </c>
      <c r="X20" s="23" t="s">
        <v>156</v>
      </c>
      <c r="Y20" s="23" t="s">
        <v>157</v>
      </c>
      <c r="Z20" s="24" t="s">
        <v>158</v>
      </c>
      <c r="AA20" s="24" t="s">
        <v>159</v>
      </c>
      <c r="AB20" s="23" t="s">
        <v>160</v>
      </c>
      <c r="AC20" s="23" t="s">
        <v>161</v>
      </c>
      <c r="AD20" s="23" t="s">
        <v>162</v>
      </c>
      <c r="AE20" s="23" t="s">
        <v>163</v>
      </c>
      <c r="AF20" s="23" t="s">
        <v>164</v>
      </c>
      <c r="AG20" s="24" t="s">
        <v>165</v>
      </c>
      <c r="AH20" s="25" t="s">
        <v>166</v>
      </c>
      <c r="AI20" s="25" t="s">
        <v>167</v>
      </c>
    </row>
    <row r="21" spans="1:35" ht="17" customHeight="1" x14ac:dyDescent="0.2">
      <c r="A21" s="26" t="s">
        <v>168</v>
      </c>
      <c r="B21" s="27">
        <f>SUM(C21:AI21)</f>
        <v>0</v>
      </c>
      <c r="C21" s="28">
        <f t="shared" ref="C21:AI21" si="2">C5-C13</f>
        <v>0</v>
      </c>
      <c r="D21" s="28">
        <f t="shared" si="2"/>
        <v>0</v>
      </c>
      <c r="E21" s="29">
        <f t="shared" si="2"/>
        <v>0</v>
      </c>
      <c r="F21" s="29">
        <f t="shared" si="2"/>
        <v>0</v>
      </c>
      <c r="G21" s="28">
        <f t="shared" si="2"/>
        <v>0</v>
      </c>
      <c r="H21" s="28">
        <f t="shared" si="2"/>
        <v>0</v>
      </c>
      <c r="I21" s="28">
        <f t="shared" si="2"/>
        <v>0</v>
      </c>
      <c r="J21" s="28">
        <f t="shared" si="2"/>
        <v>0</v>
      </c>
      <c r="K21" s="28">
        <f t="shared" si="2"/>
        <v>0</v>
      </c>
      <c r="L21" s="29">
        <f t="shared" si="2"/>
        <v>0</v>
      </c>
      <c r="M21" s="29">
        <f t="shared" si="2"/>
        <v>0</v>
      </c>
      <c r="N21" s="28">
        <f t="shared" si="2"/>
        <v>0</v>
      </c>
      <c r="O21" s="28">
        <f t="shared" si="2"/>
        <v>0</v>
      </c>
      <c r="P21" s="28">
        <f t="shared" si="2"/>
        <v>0</v>
      </c>
      <c r="Q21" s="28">
        <f t="shared" si="2"/>
        <v>0</v>
      </c>
      <c r="R21" s="28">
        <f t="shared" si="2"/>
        <v>0</v>
      </c>
      <c r="S21" s="29">
        <f t="shared" si="2"/>
        <v>0</v>
      </c>
      <c r="T21" s="29">
        <f t="shared" si="2"/>
        <v>0</v>
      </c>
      <c r="U21" s="28">
        <f t="shared" si="2"/>
        <v>0</v>
      </c>
      <c r="V21" s="28">
        <f t="shared" si="2"/>
        <v>0</v>
      </c>
      <c r="W21" s="28">
        <f t="shared" si="2"/>
        <v>0</v>
      </c>
      <c r="X21" s="28">
        <f t="shared" si="2"/>
        <v>0</v>
      </c>
      <c r="Y21" s="28">
        <f t="shared" si="2"/>
        <v>0</v>
      </c>
      <c r="Z21" s="29">
        <f t="shared" si="2"/>
        <v>0</v>
      </c>
      <c r="AA21" s="29">
        <f t="shared" si="2"/>
        <v>0</v>
      </c>
      <c r="AB21" s="28">
        <f t="shared" si="2"/>
        <v>0</v>
      </c>
      <c r="AC21" s="28">
        <f t="shared" si="2"/>
        <v>0</v>
      </c>
      <c r="AD21" s="28">
        <f t="shared" si="2"/>
        <v>0</v>
      </c>
      <c r="AE21" s="28">
        <f t="shared" si="2"/>
        <v>0</v>
      </c>
      <c r="AF21" s="28">
        <f t="shared" si="2"/>
        <v>0</v>
      </c>
      <c r="AG21" s="29">
        <f t="shared" si="2"/>
        <v>0</v>
      </c>
      <c r="AH21" s="29">
        <f t="shared" si="2"/>
        <v>0</v>
      </c>
      <c r="AI21" s="28">
        <f t="shared" si="2"/>
        <v>0</v>
      </c>
    </row>
    <row r="22" spans="1:35" ht="17" customHeight="1" x14ac:dyDescent="0.2">
      <c r="A22" s="30" t="s">
        <v>169</v>
      </c>
      <c r="B22" s="27">
        <f>SUM(C22:AI22)</f>
        <v>0</v>
      </c>
      <c r="C22" s="28">
        <f t="shared" ref="C22:AI22" si="3">C6-C14</f>
        <v>0</v>
      </c>
      <c r="D22" s="28">
        <f t="shared" si="3"/>
        <v>0</v>
      </c>
      <c r="E22" s="29">
        <f t="shared" si="3"/>
        <v>0</v>
      </c>
      <c r="F22" s="29">
        <f t="shared" si="3"/>
        <v>0</v>
      </c>
      <c r="G22" s="28">
        <f t="shared" si="3"/>
        <v>0</v>
      </c>
      <c r="H22" s="28">
        <f t="shared" si="3"/>
        <v>0</v>
      </c>
      <c r="I22" s="28">
        <f t="shared" si="3"/>
        <v>0</v>
      </c>
      <c r="J22" s="28">
        <f t="shared" si="3"/>
        <v>0</v>
      </c>
      <c r="K22" s="28">
        <f t="shared" si="3"/>
        <v>0</v>
      </c>
      <c r="L22" s="29">
        <f t="shared" si="3"/>
        <v>0</v>
      </c>
      <c r="M22" s="29">
        <f t="shared" si="3"/>
        <v>0</v>
      </c>
      <c r="N22" s="28">
        <f t="shared" si="3"/>
        <v>0</v>
      </c>
      <c r="O22" s="28">
        <f t="shared" si="3"/>
        <v>0</v>
      </c>
      <c r="P22" s="28">
        <f t="shared" si="3"/>
        <v>0</v>
      </c>
      <c r="Q22" s="28">
        <f t="shared" si="3"/>
        <v>0</v>
      </c>
      <c r="R22" s="28">
        <f t="shared" si="3"/>
        <v>0</v>
      </c>
      <c r="S22" s="29">
        <f t="shared" si="3"/>
        <v>0</v>
      </c>
      <c r="T22" s="29">
        <f t="shared" si="3"/>
        <v>0</v>
      </c>
      <c r="U22" s="28">
        <f t="shared" si="3"/>
        <v>0</v>
      </c>
      <c r="V22" s="28">
        <f t="shared" si="3"/>
        <v>0</v>
      </c>
      <c r="W22" s="28">
        <f t="shared" si="3"/>
        <v>0</v>
      </c>
      <c r="X22" s="28">
        <f t="shared" si="3"/>
        <v>0</v>
      </c>
      <c r="Y22" s="28">
        <f t="shared" si="3"/>
        <v>0</v>
      </c>
      <c r="Z22" s="29">
        <f t="shared" si="3"/>
        <v>0</v>
      </c>
      <c r="AA22" s="29">
        <f t="shared" si="3"/>
        <v>0</v>
      </c>
      <c r="AB22" s="28">
        <f t="shared" si="3"/>
        <v>0</v>
      </c>
      <c r="AC22" s="28">
        <f t="shared" si="3"/>
        <v>0</v>
      </c>
      <c r="AD22" s="28">
        <f t="shared" si="3"/>
        <v>0</v>
      </c>
      <c r="AE22" s="28">
        <f t="shared" si="3"/>
        <v>0</v>
      </c>
      <c r="AF22" s="28">
        <f t="shared" si="3"/>
        <v>0</v>
      </c>
      <c r="AG22" s="29">
        <f t="shared" si="3"/>
        <v>0</v>
      </c>
      <c r="AH22" s="29">
        <f t="shared" si="3"/>
        <v>0</v>
      </c>
      <c r="AI22" s="28">
        <f t="shared" si="3"/>
        <v>0</v>
      </c>
    </row>
    <row r="23" spans="1:35" ht="17" customHeight="1" x14ac:dyDescent="0.2">
      <c r="A23" s="31" t="s">
        <v>170</v>
      </c>
      <c r="B23" s="27">
        <f>SUM(C23:AI23)</f>
        <v>0</v>
      </c>
      <c r="C23" s="28">
        <f t="shared" ref="C23:AI23" si="4">C7-C15</f>
        <v>0</v>
      </c>
      <c r="D23" s="28">
        <f t="shared" si="4"/>
        <v>0</v>
      </c>
      <c r="E23" s="29">
        <f t="shared" si="4"/>
        <v>0</v>
      </c>
      <c r="F23" s="29">
        <f t="shared" si="4"/>
        <v>0</v>
      </c>
      <c r="G23" s="28">
        <f t="shared" si="4"/>
        <v>0</v>
      </c>
      <c r="H23" s="28">
        <f t="shared" si="4"/>
        <v>0</v>
      </c>
      <c r="I23" s="28">
        <f t="shared" si="4"/>
        <v>0</v>
      </c>
      <c r="J23" s="28">
        <f t="shared" si="4"/>
        <v>0</v>
      </c>
      <c r="K23" s="28">
        <f t="shared" si="4"/>
        <v>0</v>
      </c>
      <c r="L23" s="29">
        <f t="shared" si="4"/>
        <v>0</v>
      </c>
      <c r="M23" s="29">
        <f t="shared" si="4"/>
        <v>0</v>
      </c>
      <c r="N23" s="28">
        <f t="shared" si="4"/>
        <v>0</v>
      </c>
      <c r="O23" s="28">
        <f t="shared" si="4"/>
        <v>0</v>
      </c>
      <c r="P23" s="28">
        <f t="shared" si="4"/>
        <v>0</v>
      </c>
      <c r="Q23" s="28">
        <f t="shared" si="4"/>
        <v>0</v>
      </c>
      <c r="R23" s="28">
        <f t="shared" si="4"/>
        <v>0</v>
      </c>
      <c r="S23" s="29">
        <f t="shared" si="4"/>
        <v>0</v>
      </c>
      <c r="T23" s="29">
        <f t="shared" si="4"/>
        <v>0</v>
      </c>
      <c r="U23" s="28">
        <f t="shared" si="4"/>
        <v>0</v>
      </c>
      <c r="V23" s="28">
        <f t="shared" si="4"/>
        <v>0</v>
      </c>
      <c r="W23" s="28">
        <f t="shared" si="4"/>
        <v>0</v>
      </c>
      <c r="X23" s="28">
        <f t="shared" si="4"/>
        <v>0</v>
      </c>
      <c r="Y23" s="28">
        <f t="shared" si="4"/>
        <v>0</v>
      </c>
      <c r="Z23" s="29">
        <f t="shared" si="4"/>
        <v>0</v>
      </c>
      <c r="AA23" s="29">
        <f t="shared" si="4"/>
        <v>0</v>
      </c>
      <c r="AB23" s="28">
        <f t="shared" si="4"/>
        <v>0</v>
      </c>
      <c r="AC23" s="28">
        <f t="shared" si="4"/>
        <v>0</v>
      </c>
      <c r="AD23" s="28">
        <f t="shared" si="4"/>
        <v>0</v>
      </c>
      <c r="AE23" s="28">
        <f t="shared" si="4"/>
        <v>0</v>
      </c>
      <c r="AF23" s="28">
        <f t="shared" si="4"/>
        <v>0</v>
      </c>
      <c r="AG23" s="29">
        <f t="shared" si="4"/>
        <v>0</v>
      </c>
      <c r="AH23" s="29">
        <f t="shared" si="4"/>
        <v>0</v>
      </c>
      <c r="AI23" s="28">
        <f t="shared" si="4"/>
        <v>0</v>
      </c>
    </row>
    <row r="24" spans="1:35" ht="17" customHeight="1" x14ac:dyDescent="0.2">
      <c r="A24" s="32" t="s">
        <v>171</v>
      </c>
      <c r="B24" s="27">
        <f>SUM(C24:AI24)</f>
        <v>0</v>
      </c>
      <c r="C24" s="28">
        <f t="shared" ref="C24:AI24" si="5">C8-C16</f>
        <v>0</v>
      </c>
      <c r="D24" s="28">
        <f t="shared" si="5"/>
        <v>0</v>
      </c>
      <c r="E24" s="29">
        <f t="shared" si="5"/>
        <v>0</v>
      </c>
      <c r="F24" s="29">
        <f t="shared" si="5"/>
        <v>0</v>
      </c>
      <c r="G24" s="28">
        <f t="shared" si="5"/>
        <v>0</v>
      </c>
      <c r="H24" s="28">
        <f t="shared" si="5"/>
        <v>0</v>
      </c>
      <c r="I24" s="28">
        <f t="shared" si="5"/>
        <v>0</v>
      </c>
      <c r="J24" s="28">
        <f t="shared" si="5"/>
        <v>0</v>
      </c>
      <c r="K24" s="28">
        <f t="shared" si="5"/>
        <v>0</v>
      </c>
      <c r="L24" s="29">
        <f t="shared" si="5"/>
        <v>0</v>
      </c>
      <c r="M24" s="29">
        <f t="shared" si="5"/>
        <v>0</v>
      </c>
      <c r="N24" s="28">
        <f t="shared" si="5"/>
        <v>0</v>
      </c>
      <c r="O24" s="28">
        <f t="shared" si="5"/>
        <v>0</v>
      </c>
      <c r="P24" s="28">
        <f t="shared" si="5"/>
        <v>0</v>
      </c>
      <c r="Q24" s="28">
        <f t="shared" si="5"/>
        <v>0</v>
      </c>
      <c r="R24" s="28">
        <f t="shared" si="5"/>
        <v>0</v>
      </c>
      <c r="S24" s="29">
        <f t="shared" si="5"/>
        <v>0</v>
      </c>
      <c r="T24" s="29">
        <f t="shared" si="5"/>
        <v>0</v>
      </c>
      <c r="U24" s="28">
        <f t="shared" si="5"/>
        <v>0</v>
      </c>
      <c r="V24" s="28">
        <f t="shared" si="5"/>
        <v>0</v>
      </c>
      <c r="W24" s="28">
        <f t="shared" si="5"/>
        <v>0</v>
      </c>
      <c r="X24" s="28">
        <f t="shared" si="5"/>
        <v>0</v>
      </c>
      <c r="Y24" s="28">
        <f t="shared" si="5"/>
        <v>0</v>
      </c>
      <c r="Z24" s="29">
        <f t="shared" si="5"/>
        <v>0</v>
      </c>
      <c r="AA24" s="29">
        <f t="shared" si="5"/>
        <v>0</v>
      </c>
      <c r="AB24" s="28">
        <f t="shared" si="5"/>
        <v>0</v>
      </c>
      <c r="AC24" s="28">
        <f t="shared" si="5"/>
        <v>0</v>
      </c>
      <c r="AD24" s="28">
        <f t="shared" si="5"/>
        <v>0</v>
      </c>
      <c r="AE24" s="28">
        <f t="shared" si="5"/>
        <v>0</v>
      </c>
      <c r="AF24" s="28">
        <f t="shared" si="5"/>
        <v>0</v>
      </c>
      <c r="AG24" s="29">
        <f t="shared" si="5"/>
        <v>0</v>
      </c>
      <c r="AH24" s="29">
        <f t="shared" si="5"/>
        <v>0</v>
      </c>
      <c r="AI24" s="28">
        <f t="shared" si="5"/>
        <v>0</v>
      </c>
    </row>
    <row r="25" spans="1:35" ht="19" customHeight="1" x14ac:dyDescent="0.2">
      <c r="A25" s="33" t="s">
        <v>134</v>
      </c>
      <c r="B25" s="34">
        <f>SUM(C25:AI25)</f>
        <v>0</v>
      </c>
      <c r="C25" s="35">
        <f t="shared" ref="C25:AI25" si="6">SUM(C21:C24)</f>
        <v>0</v>
      </c>
      <c r="D25" s="35">
        <f t="shared" si="6"/>
        <v>0</v>
      </c>
      <c r="E25" s="35">
        <f t="shared" si="6"/>
        <v>0</v>
      </c>
      <c r="F25" s="35">
        <f t="shared" si="6"/>
        <v>0</v>
      </c>
      <c r="G25" s="35">
        <f t="shared" si="6"/>
        <v>0</v>
      </c>
      <c r="H25" s="35">
        <f t="shared" si="6"/>
        <v>0</v>
      </c>
      <c r="I25" s="35">
        <f t="shared" si="6"/>
        <v>0</v>
      </c>
      <c r="J25" s="35">
        <f t="shared" si="6"/>
        <v>0</v>
      </c>
      <c r="K25" s="35">
        <f t="shared" si="6"/>
        <v>0</v>
      </c>
      <c r="L25" s="35">
        <f t="shared" si="6"/>
        <v>0</v>
      </c>
      <c r="M25" s="35">
        <f t="shared" si="6"/>
        <v>0</v>
      </c>
      <c r="N25" s="35">
        <f t="shared" si="6"/>
        <v>0</v>
      </c>
      <c r="O25" s="35">
        <f t="shared" si="6"/>
        <v>0</v>
      </c>
      <c r="P25" s="35">
        <f t="shared" si="6"/>
        <v>0</v>
      </c>
      <c r="Q25" s="35">
        <f t="shared" si="6"/>
        <v>0</v>
      </c>
      <c r="R25" s="35">
        <f t="shared" si="6"/>
        <v>0</v>
      </c>
      <c r="S25" s="35">
        <f t="shared" si="6"/>
        <v>0</v>
      </c>
      <c r="T25" s="35">
        <f t="shared" si="6"/>
        <v>0</v>
      </c>
      <c r="U25" s="35">
        <f t="shared" si="6"/>
        <v>0</v>
      </c>
      <c r="V25" s="35">
        <f t="shared" si="6"/>
        <v>0</v>
      </c>
      <c r="W25" s="35">
        <f t="shared" si="6"/>
        <v>0</v>
      </c>
      <c r="X25" s="35">
        <f t="shared" si="6"/>
        <v>0</v>
      </c>
      <c r="Y25" s="35">
        <f t="shared" si="6"/>
        <v>0</v>
      </c>
      <c r="Z25" s="35">
        <f t="shared" si="6"/>
        <v>0</v>
      </c>
      <c r="AA25" s="35">
        <f t="shared" si="6"/>
        <v>0</v>
      </c>
      <c r="AB25" s="35">
        <f t="shared" si="6"/>
        <v>0</v>
      </c>
      <c r="AC25" s="35">
        <f t="shared" si="6"/>
        <v>0</v>
      </c>
      <c r="AD25" s="35">
        <f t="shared" si="6"/>
        <v>0</v>
      </c>
      <c r="AE25" s="35">
        <f t="shared" si="6"/>
        <v>0</v>
      </c>
      <c r="AF25" s="35">
        <f t="shared" si="6"/>
        <v>0</v>
      </c>
      <c r="AG25" s="35">
        <f t="shared" si="6"/>
        <v>0</v>
      </c>
      <c r="AH25" s="35">
        <f t="shared" si="6"/>
        <v>0</v>
      </c>
      <c r="AI25" s="35">
        <f t="shared" si="6"/>
        <v>0</v>
      </c>
    </row>
    <row r="27" spans="1:35" x14ac:dyDescent="0.2">
      <c r="A27" s="115" t="s">
        <v>174</v>
      </c>
      <c r="B27" s="100"/>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100"/>
      <c r="AD27" s="100"/>
      <c r="AE27" s="100"/>
      <c r="AF27" s="100"/>
      <c r="AG27" s="100"/>
      <c r="AH27" s="100"/>
      <c r="AI27" s="100"/>
    </row>
  </sheetData>
  <mergeCells count="5">
    <mergeCell ref="A19:AI19"/>
    <mergeCell ref="A11:AI11"/>
    <mergeCell ref="A1:AI1"/>
    <mergeCell ref="A27:AI27"/>
    <mergeCell ref="A3:AI3"/>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0"/>
  <sheetViews>
    <sheetView showGridLines="0" workbookViewId="0">
      <pane xSplit="2" ySplit="2" topLeftCell="C3" activePane="bottomRight" state="frozen"/>
      <selection pane="topRight"/>
      <selection pane="bottomLeft"/>
      <selection pane="bottomRight" activeCell="E27" sqref="E27"/>
    </sheetView>
  </sheetViews>
  <sheetFormatPr baseColWidth="10" defaultColWidth="8.83203125" defaultRowHeight="15" x14ac:dyDescent="0.2"/>
  <cols>
    <col min="1" max="1" width="20" customWidth="1"/>
    <col min="2" max="2" width="8" customWidth="1"/>
    <col min="3" max="7" width="11" customWidth="1"/>
    <col min="8" max="11" width="7" customWidth="1"/>
    <col min="12" max="12" width="8" customWidth="1"/>
    <col min="13" max="20" width="6" customWidth="1"/>
  </cols>
  <sheetData>
    <row r="1" spans="1:20" x14ac:dyDescent="0.2">
      <c r="A1" s="116" t="s">
        <v>175</v>
      </c>
      <c r="B1" s="100"/>
      <c r="C1" s="100"/>
      <c r="D1" s="100"/>
      <c r="E1" s="100"/>
      <c r="F1" s="100"/>
      <c r="G1" s="100"/>
      <c r="H1" s="116" t="s">
        <v>176</v>
      </c>
      <c r="I1" s="100"/>
      <c r="J1" s="100"/>
      <c r="K1" s="100"/>
      <c r="L1" s="100"/>
      <c r="M1" s="116" t="s">
        <v>177</v>
      </c>
      <c r="N1" s="100"/>
      <c r="O1" s="100"/>
      <c r="P1" s="100"/>
      <c r="Q1" s="100"/>
      <c r="R1" s="100"/>
      <c r="S1" s="100"/>
      <c r="T1" s="100"/>
    </row>
    <row r="2" spans="1:20" ht="30" customHeight="1" x14ac:dyDescent="0.2">
      <c r="A2" s="36" t="s">
        <v>178</v>
      </c>
      <c r="B2" s="36" t="s">
        <v>179</v>
      </c>
      <c r="C2" s="36" t="s">
        <v>180</v>
      </c>
      <c r="D2" s="36" t="s">
        <v>181</v>
      </c>
      <c r="E2" s="36" t="s">
        <v>182</v>
      </c>
      <c r="F2" s="36" t="s">
        <v>183</v>
      </c>
      <c r="G2" s="36" t="s">
        <v>184</v>
      </c>
      <c r="H2" s="36" t="s">
        <v>23</v>
      </c>
      <c r="I2" s="36" t="s">
        <v>168</v>
      </c>
      <c r="J2" s="36" t="s">
        <v>169</v>
      </c>
      <c r="K2" s="36" t="s">
        <v>185</v>
      </c>
      <c r="L2" s="36" t="s">
        <v>134</v>
      </c>
      <c r="M2" s="36" t="s">
        <v>186</v>
      </c>
      <c r="N2" s="36" t="s">
        <v>187</v>
      </c>
      <c r="O2" s="36" t="s">
        <v>188</v>
      </c>
      <c r="P2" s="36" t="s">
        <v>189</v>
      </c>
      <c r="Q2" s="36" t="s">
        <v>190</v>
      </c>
      <c r="R2" s="36" t="s">
        <v>191</v>
      </c>
      <c r="S2" s="36" t="s">
        <v>192</v>
      </c>
      <c r="T2" s="36" t="s">
        <v>193</v>
      </c>
    </row>
    <row r="3" spans="1:20" x14ac:dyDescent="0.2">
      <c r="A3" s="37" t="s">
        <v>194</v>
      </c>
      <c r="B3" s="38" t="s">
        <v>195</v>
      </c>
      <c r="C3" s="93"/>
      <c r="D3" s="93"/>
      <c r="E3" s="93"/>
      <c r="F3" s="93"/>
      <c r="G3" s="40" t="s">
        <v>196</v>
      </c>
      <c r="H3" s="41">
        <f>COUNTIF('Calendario Octubre 2026'!$A$5:$N$58,"MAY-Rosario")</f>
        <v>0</v>
      </c>
      <c r="I3" s="41">
        <f>COUNTIF('Calendario Octubre 2026'!$A$5:$N$58,"TX-Rosario")</f>
        <v>0</v>
      </c>
      <c r="J3" s="41">
        <f>COUNTIF('Calendario Octubre 2026'!$A$5:$N$58,"UCQ-Rosario")</f>
        <v>0</v>
      </c>
      <c r="K3" s="41">
        <f>COUNTIF('Calendario Octubre 2026'!$A$5:$N$58,"PEQ-Rosario")</f>
        <v>4</v>
      </c>
      <c r="L3" s="42">
        <f t="shared" ref="L3:L27" si="0">SUM(H3:K3)</f>
        <v>4</v>
      </c>
      <c r="M3" s="40">
        <f>COUNTIF('Calendario Octubre 2026'!$B$5:$B$58,"*-Rosario")</f>
        <v>2</v>
      </c>
      <c r="N3" s="40">
        <f>COUNTIF('Calendario Octubre 2026'!$D$5:$D$58,"*-Rosario")</f>
        <v>0</v>
      </c>
      <c r="O3" s="40">
        <f>COUNTIF('Calendario Octubre 2026'!$F$5:$F$58,"*-Rosario")</f>
        <v>0</v>
      </c>
      <c r="P3" s="40">
        <f>COUNTIF('Calendario Octubre 2026'!$H$5:$H$58,"*-Rosario")</f>
        <v>1</v>
      </c>
      <c r="Q3" s="40">
        <f>COUNTIF('Calendario Octubre 2026'!$J$5:$J$58,"*-Rosario")</f>
        <v>0</v>
      </c>
      <c r="R3" s="40">
        <f>COUNTIF('Calendario Octubre 2026'!$L$5:$L$58,"*-Rosario")</f>
        <v>1</v>
      </c>
      <c r="S3" s="40">
        <f>COUNTIF('Calendario Octubre 2026'!$N$5:$N$58,"*-Rosario")</f>
        <v>0</v>
      </c>
      <c r="T3" s="40">
        <f>COUNTIF('Calendario Octubre 2026'!$B$25:$B$29,"*-Rosario")+COUNTIF('Calendario Octubre 2026'!$N$43:$N$47,"*-Rosario")+COUNTIF('Calendario Octubre 2026'!$B$52:$B$56,"*-Rosario")</f>
        <v>1</v>
      </c>
    </row>
    <row r="4" spans="1:20" x14ac:dyDescent="0.2">
      <c r="A4" s="43" t="s">
        <v>197</v>
      </c>
      <c r="B4" s="44" t="s">
        <v>198</v>
      </c>
      <c r="C4" s="93"/>
      <c r="D4" s="93"/>
      <c r="E4" s="93"/>
      <c r="F4" s="93"/>
      <c r="G4" s="45" t="s">
        <v>196</v>
      </c>
      <c r="H4" s="41">
        <f>COUNTIF('Calendario Octubre 2026'!$A$5:$N$58,"MAY-Cristina")</f>
        <v>0</v>
      </c>
      <c r="I4" s="41">
        <f>COUNTIF('Calendario Octubre 2026'!$A$5:$N$58,"TX-Cristina")</f>
        <v>0</v>
      </c>
      <c r="J4" s="41">
        <f>COUNTIF('Calendario Octubre 2026'!$A$5:$N$58,"UCQ-Cristina")</f>
        <v>0</v>
      </c>
      <c r="K4" s="41">
        <f>COUNTIF('Calendario Octubre 2026'!$A$5:$N$58,"PEQ-Cristina")</f>
        <v>4</v>
      </c>
      <c r="L4" s="42">
        <f t="shared" si="0"/>
        <v>4</v>
      </c>
      <c r="M4" s="40">
        <f>COUNTIF('Calendario Octubre 2026'!$B$5:$B$58,"*-Cristina")</f>
        <v>2</v>
      </c>
      <c r="N4" s="40">
        <f>COUNTIF('Calendario Octubre 2026'!$D$5:$D$58,"*-Cristina")</f>
        <v>0</v>
      </c>
      <c r="O4" s="40">
        <f>COUNTIF('Calendario Octubre 2026'!$F$5:$F$58,"*-Cristina")</f>
        <v>0</v>
      </c>
      <c r="P4" s="40">
        <f>COUNTIF('Calendario Octubre 2026'!$H$5:$H$58,"*-Cristina")</f>
        <v>1</v>
      </c>
      <c r="Q4" s="40">
        <f>COUNTIF('Calendario Octubre 2026'!$J$5:$J$58,"*-Cristina")</f>
        <v>0</v>
      </c>
      <c r="R4" s="40">
        <f>COUNTIF('Calendario Octubre 2026'!$L$5:$L$58,"*-Cristina")</f>
        <v>1</v>
      </c>
      <c r="S4" s="40">
        <f>COUNTIF('Calendario Octubre 2026'!$N$5:$N$58,"*-Cristina")</f>
        <v>0</v>
      </c>
      <c r="T4" s="40">
        <f>COUNTIF('Calendario Octubre 2026'!$B$25:$B$29,"*-Cristina")+COUNTIF('Calendario Octubre 2026'!$N$43:$N$47,"*-Cristina")+COUNTIF('Calendario Octubre 2026'!$B$52:$B$56,"*-Cristina")</f>
        <v>1</v>
      </c>
    </row>
    <row r="5" spans="1:20" x14ac:dyDescent="0.2">
      <c r="A5" s="37" t="s">
        <v>199</v>
      </c>
      <c r="B5" s="38" t="s">
        <v>200</v>
      </c>
      <c r="C5" s="93"/>
      <c r="D5" s="93"/>
      <c r="E5" s="93"/>
      <c r="F5" s="93"/>
      <c r="G5" s="40" t="s">
        <v>201</v>
      </c>
      <c r="H5" s="41">
        <f>COUNTIF('Calendario Octubre 2026'!$A$5:$N$58,"MAY-Miriam")</f>
        <v>0</v>
      </c>
      <c r="I5" s="41">
        <f>COUNTIF('Calendario Octubre 2026'!$A$5:$N$58,"TX-Miriam")</f>
        <v>0</v>
      </c>
      <c r="J5" s="41">
        <f>COUNTIF('Calendario Octubre 2026'!$A$5:$N$58,"UCQ-Miriam")</f>
        <v>0</v>
      </c>
      <c r="K5" s="41">
        <f>COUNTIF('Calendario Octubre 2026'!$A$5:$N$58,"PEQ-Miriam")</f>
        <v>4</v>
      </c>
      <c r="L5" s="42">
        <f t="shared" si="0"/>
        <v>4</v>
      </c>
      <c r="M5" s="40">
        <f>COUNTIF('Calendario Octubre 2026'!$B$5:$B$58,"*-Miriam")</f>
        <v>0</v>
      </c>
      <c r="N5" s="40">
        <f>COUNTIF('Calendario Octubre 2026'!$D$5:$D$58,"*-Miriam")</f>
        <v>0</v>
      </c>
      <c r="O5" s="40">
        <f>COUNTIF('Calendario Octubre 2026'!$F$5:$F$58,"*-Miriam")</f>
        <v>0</v>
      </c>
      <c r="P5" s="40">
        <f>COUNTIF('Calendario Octubre 2026'!$H$5:$H$58,"*-Miriam")</f>
        <v>0</v>
      </c>
      <c r="Q5" s="40">
        <f>COUNTIF('Calendario Octubre 2026'!$J$5:$J$58,"*-Miriam")</f>
        <v>1</v>
      </c>
      <c r="R5" s="40">
        <f>COUNTIF('Calendario Octubre 2026'!$L$5:$L$58,"*-Miriam")</f>
        <v>2</v>
      </c>
      <c r="S5" s="40">
        <f>COUNTIF('Calendario Octubre 2026'!$N$5:$N$58,"*-Miriam")</f>
        <v>1</v>
      </c>
      <c r="T5" s="40">
        <f>COUNTIF('Calendario Octubre 2026'!$B$25:$B$29,"*-Miriam")+COUNTIF('Calendario Octubre 2026'!$N$43:$N$47,"*-Miriam")+COUNTIF('Calendario Octubre 2026'!$B$52:$B$56,"*-Miriam")</f>
        <v>1</v>
      </c>
    </row>
    <row r="6" spans="1:20" x14ac:dyDescent="0.2">
      <c r="A6" s="43" t="s">
        <v>202</v>
      </c>
      <c r="B6" s="44" t="s">
        <v>203</v>
      </c>
      <c r="C6" s="93"/>
      <c r="D6" s="93"/>
      <c r="E6" s="93"/>
      <c r="F6" s="93"/>
      <c r="G6" s="45" t="s">
        <v>196</v>
      </c>
      <c r="H6" s="41">
        <f>COUNTIF('Calendario Octubre 2026'!$A$5:$N$58,"MAY-David")</f>
        <v>0</v>
      </c>
      <c r="I6" s="41">
        <f>COUNTIF('Calendario Octubre 2026'!$A$5:$N$58,"TX-David")</f>
        <v>0</v>
      </c>
      <c r="J6" s="41">
        <f>COUNTIF('Calendario Octubre 2026'!$A$5:$N$58,"UCQ-David")</f>
        <v>0</v>
      </c>
      <c r="K6" s="41">
        <f>COUNTIF('Calendario Octubre 2026'!$A$5:$N$58,"PEQ-David")</f>
        <v>4</v>
      </c>
      <c r="L6" s="42">
        <f t="shared" si="0"/>
        <v>4</v>
      </c>
      <c r="M6" s="40">
        <f>COUNTIF('Calendario Octubre 2026'!$B$5:$B$58,"*-David")</f>
        <v>1</v>
      </c>
      <c r="N6" s="40">
        <f>COUNTIF('Calendario Octubre 2026'!$D$5:$D$58,"*-David")</f>
        <v>0</v>
      </c>
      <c r="O6" s="40">
        <f>COUNTIF('Calendario Octubre 2026'!$F$5:$F$58,"*-David")</f>
        <v>1</v>
      </c>
      <c r="P6" s="40">
        <f>COUNTIF('Calendario Octubre 2026'!$H$5:$H$58,"*-David")</f>
        <v>0</v>
      </c>
      <c r="Q6" s="40">
        <f>COUNTIF('Calendario Octubre 2026'!$J$5:$J$58,"*-David")</f>
        <v>1</v>
      </c>
      <c r="R6" s="40">
        <f>COUNTIF('Calendario Octubre 2026'!$L$5:$L$58,"*-David")</f>
        <v>0</v>
      </c>
      <c r="S6" s="40">
        <f>COUNTIF('Calendario Octubre 2026'!$N$5:$N$58,"*-David")</f>
        <v>1</v>
      </c>
      <c r="T6" s="40">
        <f>COUNTIF('Calendario Octubre 2026'!$B$25:$B$29,"*-David")+COUNTIF('Calendario Octubre 2026'!$N$43:$N$47,"*-David")+COUNTIF('Calendario Octubre 2026'!$B$52:$B$56,"*-David")</f>
        <v>0</v>
      </c>
    </row>
    <row r="7" spans="1:20" x14ac:dyDescent="0.2">
      <c r="A7" s="37" t="s">
        <v>204</v>
      </c>
      <c r="B7" s="38" t="s">
        <v>205</v>
      </c>
      <c r="C7" s="93"/>
      <c r="D7" s="93"/>
      <c r="E7" s="93"/>
      <c r="F7" s="93"/>
      <c r="G7" s="40" t="s">
        <v>196</v>
      </c>
      <c r="H7" s="41">
        <f>COUNTIF('Calendario Octubre 2026'!$A$5:$N$58,"MAY-Mercedes")</f>
        <v>0</v>
      </c>
      <c r="I7" s="41">
        <f>COUNTIF('Calendario Octubre 2026'!$A$5:$N$58,"TX-Mercedes")</f>
        <v>0</v>
      </c>
      <c r="J7" s="41">
        <f>COUNTIF('Calendario Octubre 2026'!$A$5:$N$58,"UCQ-Mercedes")</f>
        <v>0</v>
      </c>
      <c r="K7" s="41">
        <f>COUNTIF('Calendario Octubre 2026'!$A$5:$N$58,"PEQ-Mercedes")</f>
        <v>4</v>
      </c>
      <c r="L7" s="42">
        <f t="shared" si="0"/>
        <v>4</v>
      </c>
      <c r="M7" s="40">
        <f>COUNTIF('Calendario Octubre 2026'!$B$5:$B$58,"*-Mercedes")</f>
        <v>1</v>
      </c>
      <c r="N7" s="40">
        <f>COUNTIF('Calendario Octubre 2026'!$D$5:$D$58,"*-Mercedes")</f>
        <v>1</v>
      </c>
      <c r="O7" s="40">
        <f>COUNTIF('Calendario Octubre 2026'!$F$5:$F$58,"*-Mercedes")</f>
        <v>0</v>
      </c>
      <c r="P7" s="40">
        <f>COUNTIF('Calendario Octubre 2026'!$H$5:$H$58,"*-Mercedes")</f>
        <v>0</v>
      </c>
      <c r="Q7" s="40">
        <f>COUNTIF('Calendario Octubre 2026'!$J$5:$J$58,"*-Mercedes")</f>
        <v>1</v>
      </c>
      <c r="R7" s="40">
        <f>COUNTIF('Calendario Octubre 2026'!$L$5:$L$58,"*-Mercedes")</f>
        <v>0</v>
      </c>
      <c r="S7" s="40">
        <f>COUNTIF('Calendario Octubre 2026'!$N$5:$N$58,"*-Mercedes")</f>
        <v>1</v>
      </c>
      <c r="T7" s="40">
        <f>COUNTIF('Calendario Octubre 2026'!$B$25:$B$29,"*-Mercedes")+COUNTIF('Calendario Octubre 2026'!$N$43:$N$47,"*-Mercedes")+COUNTIF('Calendario Octubre 2026'!$B$52:$B$56,"*-Mercedes")</f>
        <v>0</v>
      </c>
    </row>
    <row r="8" spans="1:20" x14ac:dyDescent="0.2">
      <c r="A8" s="43" t="s">
        <v>206</v>
      </c>
      <c r="B8" s="44" t="s">
        <v>207</v>
      </c>
      <c r="C8" s="93"/>
      <c r="D8" s="93"/>
      <c r="E8" s="93"/>
      <c r="F8" s="93"/>
      <c r="G8" s="45" t="s">
        <v>196</v>
      </c>
      <c r="H8" s="41">
        <f>COUNTIF('Calendario Octubre 2026'!$A$5:$N$58,"MAY-Arturo")</f>
        <v>0</v>
      </c>
      <c r="I8" s="41">
        <f>COUNTIF('Calendario Octubre 2026'!$A$5:$N$58,"TX-Arturo")</f>
        <v>0</v>
      </c>
      <c r="J8" s="41">
        <f>COUNTIF('Calendario Octubre 2026'!$A$5:$N$58,"UCQ-Arturo")</f>
        <v>0</v>
      </c>
      <c r="K8" s="41">
        <f>COUNTIF('Calendario Octubre 2026'!$A$5:$N$58,"PEQ-Arturo")</f>
        <v>4</v>
      </c>
      <c r="L8" s="42">
        <f t="shared" si="0"/>
        <v>4</v>
      </c>
      <c r="M8" s="40">
        <f>COUNTIF('Calendario Octubre 2026'!$B$5:$B$58,"*-Arturo")</f>
        <v>1</v>
      </c>
      <c r="N8" s="40">
        <f>COUNTIF('Calendario Octubre 2026'!$D$5:$D$58,"*-Arturo")</f>
        <v>1</v>
      </c>
      <c r="O8" s="40">
        <f>COUNTIF('Calendario Octubre 2026'!$F$5:$F$58,"*-Arturo")</f>
        <v>0</v>
      </c>
      <c r="P8" s="40">
        <f>COUNTIF('Calendario Octubre 2026'!$H$5:$H$58,"*-Arturo")</f>
        <v>0</v>
      </c>
      <c r="Q8" s="40">
        <f>COUNTIF('Calendario Octubre 2026'!$J$5:$J$58,"*-Arturo")</f>
        <v>0</v>
      </c>
      <c r="R8" s="40">
        <f>COUNTIF('Calendario Octubre 2026'!$L$5:$L$58,"*-Arturo")</f>
        <v>2</v>
      </c>
      <c r="S8" s="40">
        <f>COUNTIF('Calendario Octubre 2026'!$N$5:$N$58,"*-Arturo")</f>
        <v>0</v>
      </c>
      <c r="T8" s="40">
        <f>COUNTIF('Calendario Octubre 2026'!$B$25:$B$29,"*-Arturo")+COUNTIF('Calendario Octubre 2026'!$N$43:$N$47,"*-Arturo")+COUNTIF('Calendario Octubre 2026'!$B$52:$B$56,"*-Arturo")</f>
        <v>1</v>
      </c>
    </row>
    <row r="9" spans="1:20" x14ac:dyDescent="0.2">
      <c r="A9" s="37" t="s">
        <v>208</v>
      </c>
      <c r="B9" s="38" t="s">
        <v>209</v>
      </c>
      <c r="C9" s="93"/>
      <c r="D9" s="93"/>
      <c r="E9" s="93"/>
      <c r="F9" s="93"/>
      <c r="G9" s="40" t="s">
        <v>196</v>
      </c>
      <c r="H9" s="41">
        <f>COUNTIF('Calendario Octubre 2026'!$A$5:$N$58,"MAY-Aitor")</f>
        <v>0</v>
      </c>
      <c r="I9" s="41">
        <f>COUNTIF('Calendario Octubre 2026'!$A$5:$N$58,"TX-Aitor")</f>
        <v>0</v>
      </c>
      <c r="J9" s="41">
        <f>COUNTIF('Calendario Octubre 2026'!$A$5:$N$58,"UCQ-Aitor")</f>
        <v>0</v>
      </c>
      <c r="K9" s="41">
        <f>COUNTIF('Calendario Octubre 2026'!$A$5:$N$58,"PEQ-Aitor")</f>
        <v>4</v>
      </c>
      <c r="L9" s="42">
        <f t="shared" si="0"/>
        <v>4</v>
      </c>
      <c r="M9" s="40">
        <f>COUNTIF('Calendario Octubre 2026'!$B$5:$B$58,"*-Aitor")</f>
        <v>2</v>
      </c>
      <c r="N9" s="40">
        <f>COUNTIF('Calendario Octubre 2026'!$D$5:$D$58,"*-Aitor")</f>
        <v>0</v>
      </c>
      <c r="O9" s="40">
        <f>COUNTIF('Calendario Octubre 2026'!$F$5:$F$58,"*-Aitor")</f>
        <v>0</v>
      </c>
      <c r="P9" s="40">
        <f>COUNTIF('Calendario Octubre 2026'!$H$5:$H$58,"*-Aitor")</f>
        <v>0</v>
      </c>
      <c r="Q9" s="40">
        <f>COUNTIF('Calendario Octubre 2026'!$J$5:$J$58,"*-Aitor")</f>
        <v>1</v>
      </c>
      <c r="R9" s="40">
        <f>COUNTIF('Calendario Octubre 2026'!$L$5:$L$58,"*-Aitor")</f>
        <v>0</v>
      </c>
      <c r="S9" s="40">
        <f>COUNTIF('Calendario Octubre 2026'!$N$5:$N$58,"*-Aitor")</f>
        <v>1</v>
      </c>
      <c r="T9" s="40">
        <f>COUNTIF('Calendario Octubre 2026'!$B$25:$B$29,"*-Aitor")+COUNTIF('Calendario Octubre 2026'!$N$43:$N$47,"*-Aitor")+COUNTIF('Calendario Octubre 2026'!$B$52:$B$56,"*-Aitor")</f>
        <v>0</v>
      </c>
    </row>
    <row r="10" spans="1:20" x14ac:dyDescent="0.2">
      <c r="A10" s="43" t="s">
        <v>210</v>
      </c>
      <c r="B10" s="44" t="s">
        <v>211</v>
      </c>
      <c r="C10" s="93"/>
      <c r="D10" s="93"/>
      <c r="E10" s="96"/>
      <c r="F10" s="93"/>
      <c r="G10" s="95" t="s">
        <v>196</v>
      </c>
      <c r="H10" s="41">
        <f>COUNTIF('Calendario Octubre 2026'!$A$5:$N$58,"MAY-Fatima")</f>
        <v>0</v>
      </c>
      <c r="I10" s="41">
        <f>COUNTIF('Calendario Octubre 2026'!$A$5:$N$58,"TX-Fatima")</f>
        <v>0</v>
      </c>
      <c r="J10" s="41">
        <f>COUNTIF('Calendario Octubre 2026'!$A$5:$N$58,"UCQ-Fatima")</f>
        <v>0</v>
      </c>
      <c r="K10" s="41">
        <f>COUNTIF('Calendario Octubre 2026'!$A$5:$N$58,"PEQ-Fatima")</f>
        <v>4</v>
      </c>
      <c r="L10" s="42">
        <f t="shared" si="0"/>
        <v>4</v>
      </c>
      <c r="M10" s="40">
        <f>COUNTIF('Calendario Octubre 2026'!$B$5:$B$58,"*-Fatima")</f>
        <v>0</v>
      </c>
      <c r="N10" s="40">
        <f>COUNTIF('Calendario Octubre 2026'!$D$5:$D$58,"*-Fatima")</f>
        <v>0</v>
      </c>
      <c r="O10" s="40">
        <f>COUNTIF('Calendario Octubre 2026'!$F$5:$F$58,"*-Fatima")</f>
        <v>1</v>
      </c>
      <c r="P10" s="40">
        <f>COUNTIF('Calendario Octubre 2026'!$H$5:$H$58,"*-Fatima")</f>
        <v>0</v>
      </c>
      <c r="Q10" s="40">
        <f>COUNTIF('Calendario Octubre 2026'!$J$5:$J$58,"*-Fatima")</f>
        <v>1</v>
      </c>
      <c r="R10" s="40">
        <f>COUNTIF('Calendario Octubre 2026'!$L$5:$L$58,"*-Fatima")</f>
        <v>1</v>
      </c>
      <c r="S10" s="40">
        <f>COUNTIF('Calendario Octubre 2026'!$N$5:$N$58,"*-Fatima")</f>
        <v>1</v>
      </c>
      <c r="T10" s="40">
        <f>COUNTIF('Calendario Octubre 2026'!$B$25:$B$29,"*-Fatima")+COUNTIF('Calendario Octubre 2026'!$N$43:$N$47,"*-Fatima")+COUNTIF('Calendario Octubre 2026'!$B$52:$B$56,"*-Fatima")</f>
        <v>0</v>
      </c>
    </row>
    <row r="11" spans="1:20" x14ac:dyDescent="0.2">
      <c r="A11" s="37" t="s">
        <v>212</v>
      </c>
      <c r="B11" s="38" t="s">
        <v>213</v>
      </c>
      <c r="C11" s="93">
        <v>6</v>
      </c>
      <c r="D11" s="93"/>
      <c r="E11" s="93"/>
      <c r="F11" s="94" t="s">
        <v>214</v>
      </c>
      <c r="G11" s="93">
        <v>0</v>
      </c>
      <c r="H11" s="41">
        <f>COUNTIF('Calendario Octubre 2026'!$A$5:$N$58,"MAY-Tania")</f>
        <v>0</v>
      </c>
      <c r="I11" s="41">
        <f>COUNTIF('Calendario Octubre 2026'!$A$5:$N$58,"TX-Tania")</f>
        <v>0</v>
      </c>
      <c r="J11" s="41">
        <f>COUNTIF('Calendario Octubre 2026'!$A$5:$N$58,"UCQ-Tania")</f>
        <v>7</v>
      </c>
      <c r="K11" s="41">
        <f>COUNTIF('Calendario Octubre 2026'!$A$5:$N$58,"PEQ-Tania")</f>
        <v>4</v>
      </c>
      <c r="L11" s="42">
        <f t="shared" si="0"/>
        <v>11</v>
      </c>
      <c r="M11" s="40">
        <f>COUNTIF('Calendario Octubre 2026'!$B$5:$B$58,"*-Tania")</f>
        <v>1</v>
      </c>
      <c r="N11" s="40">
        <f>COUNTIF('Calendario Octubre 2026'!$D$5:$D$58,"*-Tania")</f>
        <v>1</v>
      </c>
      <c r="O11" s="40">
        <f>COUNTIF('Calendario Octubre 2026'!$F$5:$F$58,"*-Tania")</f>
        <v>2</v>
      </c>
      <c r="P11" s="40">
        <f>COUNTIF('Calendario Octubre 2026'!$H$5:$H$58,"*-Tania")</f>
        <v>2</v>
      </c>
      <c r="Q11" s="40">
        <f>COUNTIF('Calendario Octubre 2026'!$J$5:$J$58,"*-Tania")</f>
        <v>2</v>
      </c>
      <c r="R11" s="40">
        <f>COUNTIF('Calendario Octubre 2026'!$L$5:$L$58,"*-Tania")</f>
        <v>1</v>
      </c>
      <c r="S11" s="40">
        <f>COUNTIF('Calendario Octubre 2026'!$N$5:$N$58,"*-Tania")</f>
        <v>2</v>
      </c>
      <c r="T11" s="40">
        <f>COUNTIF('Calendario Octubre 2026'!$B$25:$B$29,"*-Tania")+COUNTIF('Calendario Octubre 2026'!$N$43:$N$47,"*-Tania")+COUNTIF('Calendario Octubre 2026'!$B$52:$B$56,"*-Tania")</f>
        <v>1</v>
      </c>
    </row>
    <row r="12" spans="1:20" x14ac:dyDescent="0.2">
      <c r="A12" s="43" t="s">
        <v>215</v>
      </c>
      <c r="B12" s="44" t="s">
        <v>216</v>
      </c>
      <c r="C12" s="93">
        <v>6</v>
      </c>
      <c r="D12" s="93"/>
      <c r="E12" s="93"/>
      <c r="F12" s="95" t="s">
        <v>217</v>
      </c>
      <c r="G12" s="93"/>
      <c r="H12" s="41">
        <f>COUNTIF('Calendario Octubre 2026'!$A$5:$N$58,"MAY-Asis")</f>
        <v>0</v>
      </c>
      <c r="I12" s="41">
        <f>COUNTIF('Calendario Octubre 2026'!$A$5:$N$58,"TX-Asis")</f>
        <v>0</v>
      </c>
      <c r="J12" s="41">
        <f>COUNTIF('Calendario Octubre 2026'!$A$5:$N$58,"UCQ-Asis")</f>
        <v>2</v>
      </c>
      <c r="K12" s="41">
        <f>COUNTIF('Calendario Octubre 2026'!$A$5:$N$58,"PEQ-Asis")</f>
        <v>4</v>
      </c>
      <c r="L12" s="42">
        <f t="shared" si="0"/>
        <v>6</v>
      </c>
      <c r="M12" s="40">
        <f>COUNTIF('Calendario Octubre 2026'!$B$5:$B$58,"*-Asis")</f>
        <v>1</v>
      </c>
      <c r="N12" s="40">
        <f>COUNTIF('Calendario Octubre 2026'!$D$5:$D$58,"*-Asis")</f>
        <v>1</v>
      </c>
      <c r="O12" s="40">
        <f>COUNTIF('Calendario Octubre 2026'!$F$5:$F$58,"*-Asis")</f>
        <v>2</v>
      </c>
      <c r="P12" s="40">
        <f>COUNTIF('Calendario Octubre 2026'!$H$5:$H$58,"*-Asis")</f>
        <v>1</v>
      </c>
      <c r="Q12" s="40">
        <f>COUNTIF('Calendario Octubre 2026'!$J$5:$J$58,"*-Asis")</f>
        <v>0</v>
      </c>
      <c r="R12" s="40">
        <f>COUNTIF('Calendario Octubre 2026'!$L$5:$L$58,"*-Asis")</f>
        <v>1</v>
      </c>
      <c r="S12" s="40">
        <f>COUNTIF('Calendario Octubre 2026'!$N$5:$N$58,"*-Asis")</f>
        <v>0</v>
      </c>
      <c r="T12" s="40">
        <f>COUNTIF('Calendario Octubre 2026'!$B$25:$B$29,"*-Asis")+COUNTIF('Calendario Octubre 2026'!$N$43:$N$47,"*-Asis")+COUNTIF('Calendario Octubre 2026'!$B$52:$B$56,"*-Asis")</f>
        <v>1</v>
      </c>
    </row>
    <row r="13" spans="1:20" x14ac:dyDescent="0.2">
      <c r="A13" s="37" t="s">
        <v>218</v>
      </c>
      <c r="B13" s="38" t="s">
        <v>219</v>
      </c>
      <c r="C13" s="93">
        <v>6</v>
      </c>
      <c r="D13" s="93"/>
      <c r="E13" s="93"/>
      <c r="F13" s="94" t="s">
        <v>214</v>
      </c>
      <c r="G13" s="93">
        <v>0</v>
      </c>
      <c r="H13" s="41">
        <f>COUNTIF('Calendario Octubre 2026'!$A$5:$N$58,"MAY-PatriciaR2")</f>
        <v>0</v>
      </c>
      <c r="I13" s="41">
        <f>COUNTIF('Calendario Octubre 2026'!$A$5:$N$58,"TX-PatriciaR2")</f>
        <v>0</v>
      </c>
      <c r="J13" s="41">
        <f>COUNTIF('Calendario Octubre 2026'!$A$5:$N$58,"UCQ-PatriciaR2")</f>
        <v>6</v>
      </c>
      <c r="K13" s="41">
        <f>COUNTIF('Calendario Octubre 2026'!$A$5:$N$58,"PEQ-PatriciaR2")</f>
        <v>4</v>
      </c>
      <c r="L13" s="42">
        <f t="shared" si="0"/>
        <v>10</v>
      </c>
      <c r="M13" s="40">
        <f>COUNTIF('Calendario Octubre 2026'!$B$5:$B$58,"*-PatriciaR2")</f>
        <v>1</v>
      </c>
      <c r="N13" s="40">
        <f>COUNTIF('Calendario Octubre 2026'!$D$5:$D$58,"*-PatriciaR2")</f>
        <v>1</v>
      </c>
      <c r="O13" s="40">
        <f>COUNTIF('Calendario Octubre 2026'!$F$5:$F$58,"*-PatriciaR2")</f>
        <v>2</v>
      </c>
      <c r="P13" s="40">
        <f>COUNTIF('Calendario Octubre 2026'!$H$5:$H$58,"*-PatriciaR2")</f>
        <v>2</v>
      </c>
      <c r="Q13" s="40">
        <f>COUNTIF('Calendario Octubre 2026'!$J$5:$J$58,"*-PatriciaR2")</f>
        <v>1</v>
      </c>
      <c r="R13" s="40">
        <f>COUNTIF('Calendario Octubre 2026'!$L$5:$L$58,"*-PatriciaR2")</f>
        <v>2</v>
      </c>
      <c r="S13" s="40">
        <f>COUNTIF('Calendario Octubre 2026'!$N$5:$N$58,"*-PatriciaR2")</f>
        <v>1</v>
      </c>
      <c r="T13" s="40">
        <f>COUNTIF('Calendario Octubre 2026'!$B$25:$B$29,"*-PatriciaR2")+COUNTIF('Calendario Octubre 2026'!$N$43:$N$47,"*-PatriciaR2")+COUNTIF('Calendario Octubre 2026'!$B$52:$B$56,"*-PatriciaR2")</f>
        <v>0</v>
      </c>
    </row>
    <row r="14" spans="1:20" x14ac:dyDescent="0.2">
      <c r="A14" s="43" t="s">
        <v>220</v>
      </c>
      <c r="B14" s="44" t="s">
        <v>221</v>
      </c>
      <c r="C14" s="93">
        <v>6</v>
      </c>
      <c r="D14" s="93"/>
      <c r="E14" s="93"/>
      <c r="F14" s="95" t="s">
        <v>217</v>
      </c>
      <c r="G14" s="39"/>
      <c r="H14" s="41">
        <f>COUNTIF('Calendario Octubre 2026'!$A$5:$N$58,"MAY-Eva")</f>
        <v>0</v>
      </c>
      <c r="I14" s="41">
        <f>COUNTIF('Calendario Octubre 2026'!$A$5:$N$58,"TX-Eva")</f>
        <v>0</v>
      </c>
      <c r="J14" s="41">
        <f>COUNTIF('Calendario Octubre 2026'!$A$5:$N$58,"UCQ-Eva")</f>
        <v>1</v>
      </c>
      <c r="K14" s="41">
        <f>COUNTIF('Calendario Octubre 2026'!$A$5:$N$58,"PEQ-Eva")</f>
        <v>4</v>
      </c>
      <c r="L14" s="42">
        <f t="shared" si="0"/>
        <v>5</v>
      </c>
      <c r="M14" s="40">
        <f>COUNTIF('Calendario Octubre 2026'!$B$5:$B$58,"*-Eva")</f>
        <v>0</v>
      </c>
      <c r="N14" s="40">
        <f>COUNTIF('Calendario Octubre 2026'!$D$5:$D$58,"*-Eva")</f>
        <v>1</v>
      </c>
      <c r="O14" s="40">
        <f>COUNTIF('Calendario Octubre 2026'!$F$5:$F$58,"*-Eva")</f>
        <v>0</v>
      </c>
      <c r="P14" s="40">
        <f>COUNTIF('Calendario Octubre 2026'!$H$5:$H$58,"*-Eva")</f>
        <v>2</v>
      </c>
      <c r="Q14" s="40">
        <f>COUNTIF('Calendario Octubre 2026'!$J$5:$J$58,"*-Eva")</f>
        <v>1</v>
      </c>
      <c r="R14" s="40">
        <f>COUNTIF('Calendario Octubre 2026'!$L$5:$L$58,"*-Eva")</f>
        <v>0</v>
      </c>
      <c r="S14" s="40">
        <f>COUNTIF('Calendario Octubre 2026'!$N$5:$N$58,"*-Eva")</f>
        <v>1</v>
      </c>
      <c r="T14" s="40">
        <f>COUNTIF('Calendario Octubre 2026'!$B$25:$B$29,"*-Eva")+COUNTIF('Calendario Octubre 2026'!$N$43:$N$47,"*-Eva")+COUNTIF('Calendario Octubre 2026'!$B$52:$B$56,"*-Eva")</f>
        <v>0</v>
      </c>
    </row>
    <row r="15" spans="1:20" x14ac:dyDescent="0.2">
      <c r="A15" s="37" t="s">
        <v>222</v>
      </c>
      <c r="B15" s="38" t="s">
        <v>223</v>
      </c>
      <c r="C15" s="93">
        <v>6</v>
      </c>
      <c r="D15" s="93"/>
      <c r="E15" s="93"/>
      <c r="F15" s="94" t="s">
        <v>217</v>
      </c>
      <c r="G15" s="93"/>
      <c r="H15" s="41">
        <f>COUNTIF('Calendario Octubre 2026'!$A$5:$N$58,"MAY-Emilio")</f>
        <v>0</v>
      </c>
      <c r="I15" s="41">
        <f>COUNTIF('Calendario Octubre 2026'!$A$5:$N$58,"TX-Emilio")</f>
        <v>0</v>
      </c>
      <c r="J15" s="41">
        <f>COUNTIF('Calendario Octubre 2026'!$A$5:$N$58,"UCQ-Emilio")</f>
        <v>1</v>
      </c>
      <c r="K15" s="41">
        <f>COUNTIF('Calendario Octubre 2026'!$A$5:$N$58,"PEQ-Emilio")</f>
        <v>5</v>
      </c>
      <c r="L15" s="42">
        <f t="shared" si="0"/>
        <v>6</v>
      </c>
      <c r="M15" s="40">
        <f>COUNTIF('Calendario Octubre 2026'!$B$5:$B$58,"*-Emilio")</f>
        <v>0</v>
      </c>
      <c r="N15" s="40">
        <f>COUNTIF('Calendario Octubre 2026'!$D$5:$D$58,"*-Emilio")</f>
        <v>0</v>
      </c>
      <c r="O15" s="40">
        <f>COUNTIF('Calendario Octubre 2026'!$F$5:$F$58,"*-Emilio")</f>
        <v>2</v>
      </c>
      <c r="P15" s="40">
        <f>COUNTIF('Calendario Octubre 2026'!$H$5:$H$58,"*-Emilio")</f>
        <v>1</v>
      </c>
      <c r="Q15" s="40">
        <f>COUNTIF('Calendario Octubre 2026'!$J$5:$J$58,"*-Emilio")</f>
        <v>1</v>
      </c>
      <c r="R15" s="40">
        <f>COUNTIF('Calendario Octubre 2026'!$L$5:$L$58,"*-Emilio")</f>
        <v>1</v>
      </c>
      <c r="S15" s="40">
        <f>COUNTIF('Calendario Octubre 2026'!$N$5:$N$58,"*-Emilio")</f>
        <v>1</v>
      </c>
      <c r="T15" s="40">
        <f>COUNTIF('Calendario Octubre 2026'!$B$25:$B$29,"*-Emilio")+COUNTIF('Calendario Octubre 2026'!$N$43:$N$47,"*-Emilio")+COUNTIF('Calendario Octubre 2026'!$B$52:$B$56,"*-Emilio")</f>
        <v>0</v>
      </c>
    </row>
    <row r="16" spans="1:20" x14ac:dyDescent="0.2">
      <c r="A16" s="43" t="s">
        <v>224</v>
      </c>
      <c r="B16" s="44" t="s">
        <v>225</v>
      </c>
      <c r="C16" s="93">
        <v>6</v>
      </c>
      <c r="D16" s="93"/>
      <c r="E16" s="93"/>
      <c r="F16" s="95" t="s">
        <v>217</v>
      </c>
      <c r="G16" s="39"/>
      <c r="H16" s="41">
        <f>COUNTIF('Calendario Octubre 2026'!$A$5:$N$58,"MAY-Antonio")</f>
        <v>0</v>
      </c>
      <c r="I16" s="41">
        <f>COUNTIF('Calendario Octubre 2026'!$A$5:$N$58,"TX-Antonio")</f>
        <v>0</v>
      </c>
      <c r="J16" s="41">
        <f>COUNTIF('Calendario Octubre 2026'!$A$5:$N$58,"UCQ-Antonio")</f>
        <v>1</v>
      </c>
      <c r="K16" s="41">
        <f>COUNTIF('Calendario Octubre 2026'!$A$5:$N$58,"PEQ-Antonio")</f>
        <v>4</v>
      </c>
      <c r="L16" s="42">
        <f t="shared" si="0"/>
        <v>5</v>
      </c>
      <c r="M16" s="40">
        <f>COUNTIF('Calendario Octubre 2026'!$B$5:$B$58,"*-Antonio")</f>
        <v>0</v>
      </c>
      <c r="N16" s="40">
        <f>COUNTIF('Calendario Octubre 2026'!$D$5:$D$58,"*-Antonio")</f>
        <v>2</v>
      </c>
      <c r="O16" s="40">
        <f>COUNTIF('Calendario Octubre 2026'!$F$5:$F$58,"*-Antonio")</f>
        <v>0</v>
      </c>
      <c r="P16" s="40">
        <f>COUNTIF('Calendario Octubre 2026'!$H$5:$H$58,"*-Antonio")</f>
        <v>2</v>
      </c>
      <c r="Q16" s="40">
        <f>COUNTIF('Calendario Octubre 2026'!$J$5:$J$58,"*-Antonio")</f>
        <v>0</v>
      </c>
      <c r="R16" s="40">
        <f>COUNTIF('Calendario Octubre 2026'!$L$5:$L$58,"*-Antonio")</f>
        <v>1</v>
      </c>
      <c r="S16" s="40">
        <f>COUNTIF('Calendario Octubre 2026'!$N$5:$N$58,"*-Antonio")</f>
        <v>0</v>
      </c>
      <c r="T16" s="40">
        <f>COUNTIF('Calendario Octubre 2026'!$B$25:$B$29,"*-Antonio")+COUNTIF('Calendario Octubre 2026'!$N$43:$N$47,"*-Antonio")+COUNTIF('Calendario Octubre 2026'!$B$52:$B$56,"*-Antonio")</f>
        <v>0</v>
      </c>
    </row>
    <row r="17" spans="1:20" x14ac:dyDescent="0.2">
      <c r="A17" s="37" t="s">
        <v>226</v>
      </c>
      <c r="B17" s="38" t="s">
        <v>227</v>
      </c>
      <c r="C17" s="93">
        <v>6</v>
      </c>
      <c r="D17" s="93"/>
      <c r="E17" s="93"/>
      <c r="F17" s="94" t="s">
        <v>217</v>
      </c>
      <c r="G17" s="39"/>
      <c r="H17" s="41">
        <f>COUNTIF('Calendario Octubre 2026'!$A$5:$N$58,"MAY-AnaR2")</f>
        <v>0</v>
      </c>
      <c r="I17" s="41">
        <f>COUNTIF('Calendario Octubre 2026'!$A$5:$N$58,"TX-AnaR2")</f>
        <v>0</v>
      </c>
      <c r="J17" s="41">
        <f>COUNTIF('Calendario Octubre 2026'!$A$5:$N$58,"UCQ-AnaR2")</f>
        <v>2</v>
      </c>
      <c r="K17" s="41">
        <f>COUNTIF('Calendario Octubre 2026'!$A$5:$N$58,"PEQ-AnaR2")</f>
        <v>4</v>
      </c>
      <c r="L17" s="42">
        <f t="shared" si="0"/>
        <v>6</v>
      </c>
      <c r="M17" s="40">
        <f>COUNTIF('Calendario Octubre 2026'!$B$5:$B$58,"*-AnaR2")</f>
        <v>0</v>
      </c>
      <c r="N17" s="40">
        <f>COUNTIF('Calendario Octubre 2026'!$D$5:$D$58,"*-AnaR2")</f>
        <v>2</v>
      </c>
      <c r="O17" s="40">
        <f>COUNTIF('Calendario Octubre 2026'!$F$5:$F$58,"*-AnaR2")</f>
        <v>1</v>
      </c>
      <c r="P17" s="40">
        <f>COUNTIF('Calendario Octubre 2026'!$H$5:$H$58,"*-AnaR2")</f>
        <v>1</v>
      </c>
      <c r="Q17" s="40">
        <f>COUNTIF('Calendario Octubre 2026'!$J$5:$J$58,"*-AnaR2")</f>
        <v>1</v>
      </c>
      <c r="R17" s="40">
        <f>COUNTIF('Calendario Octubre 2026'!$L$5:$L$58,"*-AnaR2")</f>
        <v>0</v>
      </c>
      <c r="S17" s="40">
        <f>COUNTIF('Calendario Octubre 2026'!$N$5:$N$58,"*-AnaR2")</f>
        <v>1</v>
      </c>
      <c r="T17" s="40">
        <f>COUNTIF('Calendario Octubre 2026'!$B$25:$B$29,"*-AnaR2")+COUNTIF('Calendario Octubre 2026'!$N$43:$N$47,"*-AnaR2")+COUNTIF('Calendario Octubre 2026'!$B$52:$B$56,"*-AnaR2")</f>
        <v>1</v>
      </c>
    </row>
    <row r="18" spans="1:20" x14ac:dyDescent="0.2">
      <c r="A18" s="43" t="s">
        <v>228</v>
      </c>
      <c r="B18" s="44" t="s">
        <v>229</v>
      </c>
      <c r="C18" s="93">
        <v>6</v>
      </c>
      <c r="D18" s="93"/>
      <c r="E18" s="93"/>
      <c r="F18" s="95" t="s">
        <v>217</v>
      </c>
      <c r="G18" s="39">
        <v>6</v>
      </c>
      <c r="H18" s="41">
        <f>COUNTIF('Calendario Octubre 2026'!$A$5:$N$58,"MAY-Marc")</f>
        <v>0</v>
      </c>
      <c r="I18" s="41">
        <f>COUNTIF('Calendario Octubre 2026'!$A$5:$N$58,"TX-Marc")</f>
        <v>0</v>
      </c>
      <c r="J18" s="41">
        <f>COUNTIF('Calendario Octubre 2026'!$A$5:$N$58,"UCQ-Marc")</f>
        <v>1</v>
      </c>
      <c r="K18" s="41">
        <f>COUNTIF('Calendario Octubre 2026'!$A$5:$N$58,"PEQ-Marc")</f>
        <v>5</v>
      </c>
      <c r="L18" s="42">
        <f t="shared" si="0"/>
        <v>6</v>
      </c>
      <c r="M18" s="40">
        <f>COUNTIF('Calendario Octubre 2026'!$B$5:$B$58,"*-Marc")</f>
        <v>0</v>
      </c>
      <c r="N18" s="40">
        <f>COUNTIF('Calendario Octubre 2026'!$D$5:$D$58,"*-Marc")</f>
        <v>1</v>
      </c>
      <c r="O18" s="40">
        <f>COUNTIF('Calendario Octubre 2026'!$F$5:$F$58,"*-Marc")</f>
        <v>1</v>
      </c>
      <c r="P18" s="40">
        <f>COUNTIF('Calendario Octubre 2026'!$H$5:$H$58,"*-Marc")</f>
        <v>0</v>
      </c>
      <c r="Q18" s="40">
        <f>COUNTIF('Calendario Octubre 2026'!$J$5:$J$58,"*-Marc")</f>
        <v>2</v>
      </c>
      <c r="R18" s="40">
        <f>COUNTIF('Calendario Octubre 2026'!$L$5:$L$58,"*-Marc")</f>
        <v>0</v>
      </c>
      <c r="S18" s="40">
        <f>COUNTIF('Calendario Octubre 2026'!$N$5:$N$58,"*-Marc")</f>
        <v>2</v>
      </c>
      <c r="T18" s="40">
        <f>COUNTIF('Calendario Octubre 2026'!$B$25:$B$29,"*-Marc")+COUNTIF('Calendario Octubre 2026'!$N$43:$N$47,"*-Marc")+COUNTIF('Calendario Octubre 2026'!$B$52:$B$56,"*-Marc")</f>
        <v>0</v>
      </c>
    </row>
    <row r="19" spans="1:20" x14ac:dyDescent="0.2">
      <c r="A19" s="37" t="s">
        <v>230</v>
      </c>
      <c r="B19" s="38" t="s">
        <v>231</v>
      </c>
      <c r="C19" s="93">
        <v>6</v>
      </c>
      <c r="D19" s="94">
        <v>6</v>
      </c>
      <c r="E19" s="93"/>
      <c r="F19" s="93"/>
      <c r="G19" s="39"/>
      <c r="H19" s="41">
        <f>COUNTIF('Calendario Octubre 2026'!$A$5:$N$58,"MAY-PatriciaR3")</f>
        <v>6</v>
      </c>
      <c r="I19" s="41">
        <f>COUNTIF('Calendario Octubre 2026'!$A$5:$N$58,"TX-PatriciaR3")</f>
        <v>0</v>
      </c>
      <c r="J19" s="41">
        <f>COUNTIF('Calendario Octubre 2026'!$A$5:$N$58,"UCQ-PatriciaR3")</f>
        <v>0</v>
      </c>
      <c r="K19" s="41">
        <f>COUNTIF('Calendario Octubre 2026'!$A$5:$N$58,"PEQ-PatriciaR3")</f>
        <v>0</v>
      </c>
      <c r="L19" s="42">
        <f t="shared" si="0"/>
        <v>6</v>
      </c>
      <c r="M19" s="40">
        <f>COUNTIF('Calendario Octubre 2026'!$B$5:$B$58,"*-PatriciaR3")</f>
        <v>0</v>
      </c>
      <c r="N19" s="40">
        <f>COUNTIF('Calendario Octubre 2026'!$D$5:$D$58,"*-PatriciaR3")</f>
        <v>2</v>
      </c>
      <c r="O19" s="40">
        <f>COUNTIF('Calendario Octubre 2026'!$F$5:$F$58,"*-PatriciaR3")</f>
        <v>1</v>
      </c>
      <c r="P19" s="40">
        <f>COUNTIF('Calendario Octubre 2026'!$H$5:$H$58,"*-PatriciaR3")</f>
        <v>0</v>
      </c>
      <c r="Q19" s="40">
        <f>COUNTIF('Calendario Octubre 2026'!$J$5:$J$58,"*-PatriciaR3")</f>
        <v>1</v>
      </c>
      <c r="R19" s="40">
        <f>COUNTIF('Calendario Octubre 2026'!$L$5:$L$58,"*-PatriciaR3")</f>
        <v>1</v>
      </c>
      <c r="S19" s="40">
        <f>COUNTIF('Calendario Octubre 2026'!$N$5:$N$58,"*-PatriciaR3")</f>
        <v>1</v>
      </c>
      <c r="T19" s="40">
        <f>COUNTIF('Calendario Octubre 2026'!$B$25:$B$29,"*-PatriciaR3")+COUNTIF('Calendario Octubre 2026'!$N$43:$N$47,"*-PatriciaR3")+COUNTIF('Calendario Octubre 2026'!$B$52:$B$56,"*-PatriciaR3")</f>
        <v>0</v>
      </c>
    </row>
    <row r="20" spans="1:20" x14ac:dyDescent="0.2">
      <c r="A20" s="43" t="s">
        <v>232</v>
      </c>
      <c r="B20" s="44" t="s">
        <v>233</v>
      </c>
      <c r="C20" s="93">
        <v>6</v>
      </c>
      <c r="D20" s="95"/>
      <c r="E20" s="93"/>
      <c r="F20" s="93"/>
      <c r="G20" s="39"/>
      <c r="H20" s="41">
        <f>COUNTIF('Calendario Octubre 2026'!$A$5:$N$58,"MAY-Candela")</f>
        <v>6</v>
      </c>
      <c r="I20" s="41">
        <f>COUNTIF('Calendario Octubre 2026'!$A$5:$N$58,"TX-Candela")</f>
        <v>0</v>
      </c>
      <c r="J20" s="41">
        <f>COUNTIF('Calendario Octubre 2026'!$A$5:$N$58,"UCQ-Candela")</f>
        <v>0</v>
      </c>
      <c r="K20" s="41">
        <f>COUNTIF('Calendario Octubre 2026'!$A$5:$N$58,"PEQ-Candela")</f>
        <v>0</v>
      </c>
      <c r="L20" s="42">
        <f t="shared" si="0"/>
        <v>6</v>
      </c>
      <c r="M20" s="40">
        <f>COUNTIF('Calendario Octubre 2026'!$B$5:$B$58,"*-Candela")</f>
        <v>2</v>
      </c>
      <c r="N20" s="40">
        <f>COUNTIF('Calendario Octubre 2026'!$D$5:$D$58,"*-Candela")</f>
        <v>0</v>
      </c>
      <c r="O20" s="40">
        <f>COUNTIF('Calendario Octubre 2026'!$F$5:$F$58,"*-Candela")</f>
        <v>1</v>
      </c>
      <c r="P20" s="40">
        <f>COUNTIF('Calendario Octubre 2026'!$H$5:$H$58,"*-Candela")</f>
        <v>0</v>
      </c>
      <c r="Q20" s="40">
        <f>COUNTIF('Calendario Octubre 2026'!$J$5:$J$58,"*-Candela")</f>
        <v>1</v>
      </c>
      <c r="R20" s="40">
        <f>COUNTIF('Calendario Octubre 2026'!$L$5:$L$58,"*-Candela")</f>
        <v>1</v>
      </c>
      <c r="S20" s="40">
        <f>COUNTIF('Calendario Octubre 2026'!$N$5:$N$58,"*-Candela")</f>
        <v>1</v>
      </c>
      <c r="T20" s="40">
        <f>COUNTIF('Calendario Octubre 2026'!$B$25:$B$29,"*-Candela")+COUNTIF('Calendario Octubre 2026'!$N$43:$N$47,"*-Candela")+COUNTIF('Calendario Octubre 2026'!$B$52:$B$56,"*-Candela")</f>
        <v>1</v>
      </c>
    </row>
    <row r="21" spans="1:20" x14ac:dyDescent="0.2">
      <c r="A21" s="37" t="s">
        <v>234</v>
      </c>
      <c r="B21" s="38" t="s">
        <v>235</v>
      </c>
      <c r="C21" s="93">
        <v>6</v>
      </c>
      <c r="D21" s="93"/>
      <c r="E21" s="93"/>
      <c r="F21" s="94" t="s">
        <v>214</v>
      </c>
      <c r="G21" s="39">
        <v>0</v>
      </c>
      <c r="H21" s="41">
        <f>COUNTIF('Calendario Octubre 2026'!$A$5:$N$58,"MAY-Fabian")</f>
        <v>0</v>
      </c>
      <c r="I21" s="41">
        <f>COUNTIF('Calendario Octubre 2026'!$A$5:$N$58,"TX-Fabian")</f>
        <v>0</v>
      </c>
      <c r="J21" s="41">
        <f>COUNTIF('Calendario Octubre 2026'!$A$5:$N$58,"UCQ-Fabian")</f>
        <v>6</v>
      </c>
      <c r="K21" s="41">
        <f>COUNTIF('Calendario Octubre 2026'!$A$5:$N$58,"PEQ-Fabian")</f>
        <v>0</v>
      </c>
      <c r="L21" s="42">
        <f t="shared" si="0"/>
        <v>6</v>
      </c>
      <c r="M21" s="40">
        <f>COUNTIF('Calendario Octubre 2026'!$B$5:$B$58,"*-Fabian")</f>
        <v>1</v>
      </c>
      <c r="N21" s="40">
        <f>COUNTIF('Calendario Octubre 2026'!$D$5:$D$58,"*-Fabian")</f>
        <v>1</v>
      </c>
      <c r="O21" s="40">
        <f>COUNTIF('Calendario Octubre 2026'!$F$5:$F$58,"*-Fabian")</f>
        <v>0</v>
      </c>
      <c r="P21" s="40">
        <f>COUNTIF('Calendario Octubre 2026'!$H$5:$H$58,"*-Fabian")</f>
        <v>1</v>
      </c>
      <c r="Q21" s="40">
        <f>COUNTIF('Calendario Octubre 2026'!$J$5:$J$58,"*-Fabian")</f>
        <v>1</v>
      </c>
      <c r="R21" s="40">
        <f>COUNTIF('Calendario Octubre 2026'!$L$5:$L$58,"*-Fabian")</f>
        <v>1</v>
      </c>
      <c r="S21" s="40">
        <f>COUNTIF('Calendario Octubre 2026'!$N$5:$N$58,"*-Fabian")</f>
        <v>1</v>
      </c>
      <c r="T21" s="40">
        <f>COUNTIF('Calendario Octubre 2026'!$B$25:$B$29,"*-Fabian")+COUNTIF('Calendario Octubre 2026'!$N$43:$N$47,"*-Fabian")+COUNTIF('Calendario Octubre 2026'!$B$52:$B$56,"*-Fabian")</f>
        <v>1</v>
      </c>
    </row>
    <row r="22" spans="1:20" x14ac:dyDescent="0.2">
      <c r="A22" s="43" t="s">
        <v>236</v>
      </c>
      <c r="B22" s="44" t="s">
        <v>237</v>
      </c>
      <c r="C22" s="93">
        <v>6</v>
      </c>
      <c r="D22" s="93"/>
      <c r="E22" s="93"/>
      <c r="F22" s="95" t="s">
        <v>214</v>
      </c>
      <c r="G22" s="39">
        <v>0</v>
      </c>
      <c r="H22" s="41">
        <f>COUNTIF('Calendario Octubre 2026'!$A$5:$N$58,"MAY-Tony")</f>
        <v>0</v>
      </c>
      <c r="I22" s="41">
        <f>COUNTIF('Calendario Octubre 2026'!$A$5:$N$58,"TX-Tony")</f>
        <v>0</v>
      </c>
      <c r="J22" s="41">
        <f>COUNTIF('Calendario Octubre 2026'!$A$5:$N$58,"UCQ-Tony")</f>
        <v>6</v>
      </c>
      <c r="K22" s="41">
        <f>COUNTIF('Calendario Octubre 2026'!$A$5:$N$58,"PEQ-Tony")</f>
        <v>0</v>
      </c>
      <c r="L22" s="42">
        <f t="shared" si="0"/>
        <v>6</v>
      </c>
      <c r="M22" s="40">
        <f>COUNTIF('Calendario Octubre 2026'!$B$5:$B$58,"*-Tony")</f>
        <v>2</v>
      </c>
      <c r="N22" s="40">
        <f>COUNTIF('Calendario Octubre 2026'!$D$5:$D$58,"*-Tony")</f>
        <v>0</v>
      </c>
      <c r="O22" s="40">
        <f>COUNTIF('Calendario Octubre 2026'!$F$5:$F$58,"*-Tony")</f>
        <v>0</v>
      </c>
      <c r="P22" s="40">
        <f>COUNTIF('Calendario Octubre 2026'!$H$5:$H$58,"*-Tony")</f>
        <v>1</v>
      </c>
      <c r="Q22" s="40">
        <f>COUNTIF('Calendario Octubre 2026'!$J$5:$J$58,"*-Tony")</f>
        <v>1</v>
      </c>
      <c r="R22" s="40">
        <f>COUNTIF('Calendario Octubre 2026'!$L$5:$L$58,"*-Tony")</f>
        <v>1</v>
      </c>
      <c r="S22" s="40">
        <f>COUNTIF('Calendario Octubre 2026'!$N$5:$N$58,"*-Tony")</f>
        <v>1</v>
      </c>
      <c r="T22" s="40">
        <f>COUNTIF('Calendario Octubre 2026'!$B$25:$B$29,"*-Tony")+COUNTIF('Calendario Octubre 2026'!$N$43:$N$47,"*-Tony")+COUNTIF('Calendario Octubre 2026'!$B$52:$B$56,"*-Tony")</f>
        <v>1</v>
      </c>
    </row>
    <row r="23" spans="1:20" x14ac:dyDescent="0.2">
      <c r="A23" s="37" t="s">
        <v>238</v>
      </c>
      <c r="B23" s="38" t="s">
        <v>239</v>
      </c>
      <c r="C23" s="93"/>
      <c r="D23" s="94" t="s">
        <v>201</v>
      </c>
      <c r="E23" s="94">
        <v>7</v>
      </c>
      <c r="F23" s="93">
        <v>0</v>
      </c>
      <c r="G23" s="39"/>
      <c r="H23" s="41">
        <f>COUNTIF('Calendario Octubre 2026'!$A$5:$N$58,"MAY-Carlota")</f>
        <v>5</v>
      </c>
      <c r="I23" s="41">
        <f>COUNTIF('Calendario Octubre 2026'!$A$5:$N$58,"TX-Carlota")</f>
        <v>7</v>
      </c>
      <c r="J23" s="41">
        <f>COUNTIF('Calendario Octubre 2026'!$A$5:$N$58,"UCQ-Carlota")</f>
        <v>0</v>
      </c>
      <c r="K23" s="41">
        <f>COUNTIF('Calendario Octubre 2026'!$A$5:$N$58,"PEQ-Carlota")</f>
        <v>0</v>
      </c>
      <c r="L23" s="42">
        <f t="shared" si="0"/>
        <v>12</v>
      </c>
      <c r="M23" s="40">
        <f>COUNTIF('Calendario Octubre 2026'!$B$5:$B$58,"*-Carlota")</f>
        <v>2</v>
      </c>
      <c r="N23" s="40">
        <f>COUNTIF('Calendario Octubre 2026'!$D$5:$D$58,"*-Carlota")</f>
        <v>2</v>
      </c>
      <c r="O23" s="40">
        <f>COUNTIF('Calendario Octubre 2026'!$F$5:$F$58,"*-Carlota")</f>
        <v>1</v>
      </c>
      <c r="P23" s="40">
        <f>COUNTIF('Calendario Octubre 2026'!$H$5:$H$58,"*-Carlota")</f>
        <v>3</v>
      </c>
      <c r="Q23" s="40">
        <f>COUNTIF('Calendario Octubre 2026'!$J$5:$J$58,"*-Carlota")</f>
        <v>1</v>
      </c>
      <c r="R23" s="40">
        <f>COUNTIF('Calendario Octubre 2026'!$L$5:$L$58,"*-Carlota")</f>
        <v>2</v>
      </c>
      <c r="S23" s="40">
        <f>COUNTIF('Calendario Octubre 2026'!$N$5:$N$58,"*-Carlota")</f>
        <v>1</v>
      </c>
      <c r="T23" s="40">
        <f>COUNTIF('Calendario Octubre 2026'!$B$25:$B$29,"*-Carlota")+COUNTIF('Calendario Octubre 2026'!$N$43:$N$47,"*-Carlota")+COUNTIF('Calendario Octubre 2026'!$B$52:$B$56,"*-Carlota")</f>
        <v>1</v>
      </c>
    </row>
    <row r="24" spans="1:20" x14ac:dyDescent="0.2">
      <c r="A24" s="43" t="s">
        <v>240</v>
      </c>
      <c r="B24" s="44" t="s">
        <v>241</v>
      </c>
      <c r="C24" s="93"/>
      <c r="D24" s="95" t="s">
        <v>201</v>
      </c>
      <c r="E24" s="95">
        <v>7</v>
      </c>
      <c r="F24" s="93">
        <v>0</v>
      </c>
      <c r="G24" s="39"/>
      <c r="H24" s="41">
        <f>COUNTIF('Calendario Octubre 2026'!$A$5:$N$58,"MAY-Almudena")</f>
        <v>5</v>
      </c>
      <c r="I24" s="41">
        <f>COUNTIF('Calendario Octubre 2026'!$A$5:$N$58,"TX-Almudena")</f>
        <v>7</v>
      </c>
      <c r="J24" s="41">
        <f>COUNTIF('Calendario Octubre 2026'!$A$5:$N$58,"UCQ-Almudena")</f>
        <v>0</v>
      </c>
      <c r="K24" s="41">
        <f>COUNTIF('Calendario Octubre 2026'!$A$5:$N$58,"PEQ-Almudena")</f>
        <v>0</v>
      </c>
      <c r="L24" s="42">
        <f t="shared" si="0"/>
        <v>12</v>
      </c>
      <c r="M24" s="40">
        <f>COUNTIF('Calendario Octubre 2026'!$B$5:$B$58,"*-Almudena")</f>
        <v>2</v>
      </c>
      <c r="N24" s="40">
        <f>COUNTIF('Calendario Octubre 2026'!$D$5:$D$58,"*-Almudena")</f>
        <v>1</v>
      </c>
      <c r="O24" s="40">
        <f>COUNTIF('Calendario Octubre 2026'!$F$5:$F$58,"*-Almudena")</f>
        <v>1</v>
      </c>
      <c r="P24" s="40">
        <f>COUNTIF('Calendario Octubre 2026'!$H$5:$H$58,"*-Almudena")</f>
        <v>3</v>
      </c>
      <c r="Q24" s="40">
        <f>COUNTIF('Calendario Octubre 2026'!$J$5:$J$58,"*-Almudena")</f>
        <v>2</v>
      </c>
      <c r="R24" s="40">
        <f>COUNTIF('Calendario Octubre 2026'!$L$5:$L$58,"*-Almudena")</f>
        <v>1</v>
      </c>
      <c r="S24" s="40">
        <f>COUNTIF('Calendario Octubre 2026'!$N$5:$N$58,"*-Almudena")</f>
        <v>2</v>
      </c>
      <c r="T24" s="40">
        <f>COUNTIF('Calendario Octubre 2026'!$B$25:$B$29,"*-Almudena")+COUNTIF('Calendario Octubre 2026'!$N$43:$N$47,"*-Almudena")+COUNTIF('Calendario Octubre 2026'!$B$52:$B$56,"*-Almudena")</f>
        <v>1</v>
      </c>
    </row>
    <row r="25" spans="1:20" x14ac:dyDescent="0.2">
      <c r="A25" s="37" t="s">
        <v>242</v>
      </c>
      <c r="B25" s="38" t="s">
        <v>243</v>
      </c>
      <c r="C25" s="93"/>
      <c r="D25" s="94" t="s">
        <v>217</v>
      </c>
      <c r="E25" s="94">
        <v>4</v>
      </c>
      <c r="F25" s="93">
        <v>0</v>
      </c>
      <c r="G25" s="39"/>
      <c r="H25" s="41">
        <f>COUNTIF('Calendario Octubre 2026'!$A$5:$N$58,"MAY-AnaR4")</f>
        <v>1</v>
      </c>
      <c r="I25" s="41">
        <f>COUNTIF('Calendario Octubre 2026'!$A$5:$N$58,"TX-AnaR4")</f>
        <v>6</v>
      </c>
      <c r="J25" s="41">
        <f>COUNTIF('Calendario Octubre 2026'!$A$5:$N$58,"UCQ-AnaR4")</f>
        <v>0</v>
      </c>
      <c r="K25" s="41">
        <f>COUNTIF('Calendario Octubre 2026'!$A$5:$N$58,"PEQ-AnaR4")</f>
        <v>0</v>
      </c>
      <c r="L25" s="42">
        <f t="shared" si="0"/>
        <v>7</v>
      </c>
      <c r="M25" s="40">
        <f>COUNTIF('Calendario Octubre 2026'!$B$5:$B$58,"*-AnaR4")</f>
        <v>2</v>
      </c>
      <c r="N25" s="40">
        <f>COUNTIF('Calendario Octubre 2026'!$D$5:$D$58,"*-AnaR4")</f>
        <v>0</v>
      </c>
      <c r="O25" s="40">
        <f>COUNTIF('Calendario Octubre 2026'!$F$5:$F$58,"*-AnaR4")</f>
        <v>0</v>
      </c>
      <c r="P25" s="40">
        <f>COUNTIF('Calendario Octubre 2026'!$H$5:$H$58,"*-AnaR4")</f>
        <v>2</v>
      </c>
      <c r="Q25" s="40">
        <f>COUNTIF('Calendario Octubre 2026'!$J$5:$J$58,"*-AnaR4")</f>
        <v>1</v>
      </c>
      <c r="R25" s="40">
        <f>COUNTIF('Calendario Octubre 2026'!$L$5:$L$58,"*-AnaR4")</f>
        <v>1</v>
      </c>
      <c r="S25" s="40">
        <f>COUNTIF('Calendario Octubre 2026'!$N$5:$N$58,"*-AnaR4")</f>
        <v>1</v>
      </c>
      <c r="T25" s="40">
        <f>COUNTIF('Calendario Octubre 2026'!$B$25:$B$29,"*-AnaR4")+COUNTIF('Calendario Octubre 2026'!$N$43:$N$47,"*-AnaR4")+COUNTIF('Calendario Octubre 2026'!$B$52:$B$56,"*-AnaR4")</f>
        <v>2</v>
      </c>
    </row>
    <row r="26" spans="1:20" x14ac:dyDescent="0.2">
      <c r="A26" s="43" t="s">
        <v>244</v>
      </c>
      <c r="B26" s="44" t="s">
        <v>245</v>
      </c>
      <c r="C26" s="93"/>
      <c r="D26" s="95" t="s">
        <v>201</v>
      </c>
      <c r="E26" s="95">
        <v>8</v>
      </c>
      <c r="F26" s="93">
        <v>0</v>
      </c>
      <c r="G26" s="39"/>
      <c r="H26" s="41">
        <f>COUNTIF('Calendario Octubre 2026'!$A$5:$N$58,"MAY-Sandra")</f>
        <v>5</v>
      </c>
      <c r="I26" s="41">
        <f>COUNTIF('Calendario Octubre 2026'!$A$5:$N$58,"TX-Sandra")</f>
        <v>6</v>
      </c>
      <c r="J26" s="41">
        <f>COUNTIF('Calendario Octubre 2026'!$A$5:$N$58,"UCQ-Sandra")</f>
        <v>0</v>
      </c>
      <c r="K26" s="41">
        <f>COUNTIF('Calendario Octubre 2026'!$A$5:$N$58,"PEQ-Sandra")</f>
        <v>0</v>
      </c>
      <c r="L26" s="42">
        <f t="shared" si="0"/>
        <v>11</v>
      </c>
      <c r="M26" s="40">
        <f>COUNTIF('Calendario Octubre 2026'!$B$5:$B$58,"*-Sandra")</f>
        <v>0</v>
      </c>
      <c r="N26" s="40">
        <f>COUNTIF('Calendario Octubre 2026'!$D$5:$D$58,"*-Sandra")</f>
        <v>1</v>
      </c>
      <c r="O26" s="40">
        <f>COUNTIF('Calendario Octubre 2026'!$F$5:$F$58,"*-Sandra")</f>
        <v>2</v>
      </c>
      <c r="P26" s="40">
        <f>COUNTIF('Calendario Octubre 2026'!$H$5:$H$58,"*-Sandra")</f>
        <v>1</v>
      </c>
      <c r="Q26" s="40">
        <f>COUNTIF('Calendario Octubre 2026'!$J$5:$J$58,"*-Sandra")</f>
        <v>3</v>
      </c>
      <c r="R26" s="40">
        <f>COUNTIF('Calendario Octubre 2026'!$L$5:$L$58,"*-Sandra")</f>
        <v>1</v>
      </c>
      <c r="S26" s="40">
        <f>COUNTIF('Calendario Octubre 2026'!$N$5:$N$58,"*-Sandra")</f>
        <v>3</v>
      </c>
      <c r="T26" s="40">
        <f>COUNTIF('Calendario Octubre 2026'!$B$25:$B$29,"*-Sandra")+COUNTIF('Calendario Octubre 2026'!$N$43:$N$47,"*-Sandra")+COUNTIF('Calendario Octubre 2026'!$B$52:$B$56,"*-Sandra")</f>
        <v>0</v>
      </c>
    </row>
    <row r="27" spans="1:20" x14ac:dyDescent="0.2">
      <c r="A27" s="37" t="s">
        <v>246</v>
      </c>
      <c r="B27" s="38" t="s">
        <v>247</v>
      </c>
      <c r="C27" s="93"/>
      <c r="D27" s="94" t="s">
        <v>201</v>
      </c>
      <c r="E27" s="94">
        <v>7</v>
      </c>
      <c r="F27" s="93">
        <v>0</v>
      </c>
      <c r="G27" s="39"/>
      <c r="H27" s="41">
        <f>COUNTIF('Calendario Octubre 2026'!$A$5:$N$58,"MAY-Isa")</f>
        <v>5</v>
      </c>
      <c r="I27" s="41">
        <f>COUNTIF('Calendario Octubre 2026'!$A$5:$N$58,"TX-Isa")</f>
        <v>7</v>
      </c>
      <c r="J27" s="41">
        <f>COUNTIF('Calendario Octubre 2026'!$A$5:$N$58,"UCQ-Isa")</f>
        <v>0</v>
      </c>
      <c r="K27" s="41">
        <f>COUNTIF('Calendario Octubre 2026'!$A$5:$N$58,"PEQ-Isa")</f>
        <v>0</v>
      </c>
      <c r="L27" s="42">
        <f t="shared" si="0"/>
        <v>12</v>
      </c>
      <c r="M27" s="40">
        <f>COUNTIF('Calendario Octubre 2026'!$B$5:$B$58,"*-Isa")</f>
        <v>2</v>
      </c>
      <c r="N27" s="40">
        <f>COUNTIF('Calendario Octubre 2026'!$D$5:$D$58,"*-Isa")</f>
        <v>2</v>
      </c>
      <c r="O27" s="40">
        <f>COUNTIF('Calendario Octubre 2026'!$F$5:$F$58,"*-Isa")</f>
        <v>2</v>
      </c>
      <c r="P27" s="40">
        <f>COUNTIF('Calendario Octubre 2026'!$H$5:$H$58,"*-Isa")</f>
        <v>1</v>
      </c>
      <c r="Q27" s="40">
        <f>COUNTIF('Calendario Octubre 2026'!$J$5:$J$58,"*-Isa")</f>
        <v>1</v>
      </c>
      <c r="R27" s="40">
        <f>COUNTIF('Calendario Octubre 2026'!$L$5:$L$58,"*-Isa")</f>
        <v>3</v>
      </c>
      <c r="S27" s="40">
        <f>COUNTIF('Calendario Octubre 2026'!$N$5:$N$58,"*-Isa")</f>
        <v>1</v>
      </c>
      <c r="T27" s="40">
        <f>COUNTIF('Calendario Octubre 2026'!$B$25:$B$29,"*-Isa")+COUNTIF('Calendario Octubre 2026'!$N$43:$N$47,"*-Isa")+COUNTIF('Calendario Octubre 2026'!$B$52:$B$56,"*-Isa")</f>
        <v>1</v>
      </c>
    </row>
    <row r="28" spans="1:20" x14ac:dyDescent="0.2">
      <c r="A28" s="46" t="s">
        <v>248</v>
      </c>
      <c r="H28" s="47">
        <f t="shared" ref="H28:T28" si="1">SUM(H3:H27)</f>
        <v>33</v>
      </c>
      <c r="I28" s="47">
        <f t="shared" si="1"/>
        <v>33</v>
      </c>
      <c r="J28" s="47">
        <f t="shared" si="1"/>
        <v>33</v>
      </c>
      <c r="K28" s="47">
        <f t="shared" si="1"/>
        <v>66</v>
      </c>
      <c r="L28" s="47">
        <f t="shared" si="1"/>
        <v>165</v>
      </c>
      <c r="M28" s="47">
        <f t="shared" si="1"/>
        <v>25</v>
      </c>
      <c r="N28" s="47">
        <f t="shared" si="1"/>
        <v>20</v>
      </c>
      <c r="O28" s="47">
        <f t="shared" si="1"/>
        <v>20</v>
      </c>
      <c r="P28" s="47">
        <f t="shared" si="1"/>
        <v>25</v>
      </c>
      <c r="Q28" s="47">
        <f t="shared" si="1"/>
        <v>25</v>
      </c>
      <c r="R28" s="47">
        <f t="shared" si="1"/>
        <v>25</v>
      </c>
      <c r="S28" s="47">
        <f t="shared" si="1"/>
        <v>25</v>
      </c>
      <c r="T28" s="47">
        <f t="shared" si="1"/>
        <v>15</v>
      </c>
    </row>
    <row r="30" spans="1:20" x14ac:dyDescent="0.2">
      <c r="A30" s="115" t="s">
        <v>249</v>
      </c>
      <c r="B30" s="100"/>
      <c r="C30" s="100"/>
      <c r="D30" s="100"/>
      <c r="E30" s="100"/>
      <c r="F30" s="100"/>
      <c r="G30" s="100"/>
      <c r="H30" s="100"/>
      <c r="I30" s="100"/>
      <c r="J30" s="100"/>
      <c r="K30" s="100"/>
      <c r="L30" s="100"/>
      <c r="M30" s="100"/>
      <c r="N30" s="100"/>
      <c r="O30" s="100"/>
      <c r="P30" s="100"/>
      <c r="Q30" s="100"/>
      <c r="R30" s="100"/>
      <c r="S30" s="100"/>
      <c r="T30" s="100"/>
    </row>
  </sheetData>
  <mergeCells count="4">
    <mergeCell ref="M1:T1"/>
    <mergeCell ref="H1:L1"/>
    <mergeCell ref="A1:G1"/>
    <mergeCell ref="A30:T3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30"/>
  <sheetViews>
    <sheetView showGridLines="0" workbookViewId="0">
      <pane xSplit="2" ySplit="4" topLeftCell="C5" activePane="bottomRight" state="frozen"/>
      <selection pane="topRight"/>
      <selection pane="bottomLeft"/>
      <selection pane="bottomRight" activeCell="O39" sqref="O39"/>
    </sheetView>
  </sheetViews>
  <sheetFormatPr baseColWidth="10" defaultColWidth="8.83203125" defaultRowHeight="15" x14ac:dyDescent="0.2"/>
  <cols>
    <col min="1" max="1" width="22" customWidth="1"/>
    <col min="2" max="2" width="8" customWidth="1"/>
    <col min="3" max="35" width="3.33203125" customWidth="1"/>
  </cols>
  <sheetData>
    <row r="1" spans="1:35" ht="28" customHeight="1" x14ac:dyDescent="0.2">
      <c r="A1" s="114" t="s">
        <v>250</v>
      </c>
      <c r="B1" s="100"/>
      <c r="C1" s="100"/>
      <c r="D1" s="100"/>
      <c r="E1" s="100"/>
      <c r="F1" s="100"/>
      <c r="G1" s="100"/>
      <c r="H1" s="100"/>
      <c r="I1" s="100"/>
      <c r="J1" s="100"/>
      <c r="K1" s="100"/>
      <c r="L1" s="100"/>
      <c r="M1" s="100"/>
      <c r="N1" s="100"/>
      <c r="O1" s="100"/>
      <c r="P1" s="100"/>
      <c r="Q1" s="100"/>
      <c r="R1" s="100"/>
      <c r="S1" s="100"/>
      <c r="T1" s="100"/>
      <c r="U1" s="100"/>
      <c r="V1" s="100"/>
      <c r="W1" s="100"/>
      <c r="X1" s="100"/>
      <c r="Y1" s="100"/>
      <c r="Z1" s="100"/>
      <c r="AA1" s="100"/>
      <c r="AB1" s="100"/>
      <c r="AC1" s="100"/>
      <c r="AD1" s="100"/>
      <c r="AE1" s="100"/>
      <c r="AF1" s="100"/>
      <c r="AG1" s="100"/>
      <c r="AH1" s="100"/>
      <c r="AI1" s="100"/>
    </row>
    <row r="2" spans="1:35" ht="18" customHeight="1" x14ac:dyDescent="0.2">
      <c r="A2" s="48"/>
      <c r="B2" s="117" t="s">
        <v>251</v>
      </c>
      <c r="C2" s="100"/>
      <c r="D2" s="100"/>
      <c r="E2" s="100"/>
      <c r="F2" s="100"/>
      <c r="G2" s="100"/>
      <c r="H2" s="100"/>
      <c r="J2" s="49"/>
      <c r="K2" s="117" t="s">
        <v>252</v>
      </c>
      <c r="L2" s="100"/>
      <c r="M2" s="100"/>
      <c r="N2" s="100"/>
      <c r="O2" s="100"/>
      <c r="P2" s="100"/>
      <c r="Q2" s="100"/>
      <c r="S2" s="50"/>
      <c r="T2" s="117" t="s">
        <v>253</v>
      </c>
      <c r="U2" s="100"/>
      <c r="V2" s="100"/>
      <c r="W2" s="100"/>
      <c r="X2" s="100"/>
      <c r="Y2" s="100"/>
      <c r="Z2" s="100"/>
      <c r="AB2" s="51"/>
      <c r="AC2" s="117" t="s">
        <v>254</v>
      </c>
      <c r="AD2" s="100"/>
      <c r="AE2" s="100"/>
      <c r="AF2" s="100"/>
      <c r="AG2" s="100"/>
      <c r="AH2" s="100"/>
      <c r="AI2" s="100"/>
    </row>
    <row r="3" spans="1:35" x14ac:dyDescent="0.2">
      <c r="C3" s="52" t="s">
        <v>189</v>
      </c>
      <c r="D3" s="52" t="s">
        <v>190</v>
      </c>
      <c r="E3" s="52" t="s">
        <v>191</v>
      </c>
      <c r="F3" s="52" t="s">
        <v>192</v>
      </c>
      <c r="G3" s="52" t="s">
        <v>186</v>
      </c>
      <c r="H3" s="52" t="s">
        <v>187</v>
      </c>
      <c r="I3" s="52" t="s">
        <v>187</v>
      </c>
      <c r="J3" s="52" t="s">
        <v>189</v>
      </c>
      <c r="K3" s="52" t="s">
        <v>190</v>
      </c>
      <c r="L3" s="52" t="s">
        <v>191</v>
      </c>
      <c r="M3" s="52" t="s">
        <v>192</v>
      </c>
      <c r="N3" s="52" t="s">
        <v>186</v>
      </c>
      <c r="O3" s="52" t="s">
        <v>187</v>
      </c>
      <c r="P3" s="52" t="s">
        <v>187</v>
      </c>
      <c r="Q3" s="52" t="s">
        <v>189</v>
      </c>
      <c r="R3" s="52" t="s">
        <v>190</v>
      </c>
      <c r="S3" s="52" t="s">
        <v>191</v>
      </c>
      <c r="T3" s="52" t="s">
        <v>192</v>
      </c>
      <c r="U3" s="52" t="s">
        <v>186</v>
      </c>
      <c r="V3" s="52" t="s">
        <v>187</v>
      </c>
      <c r="W3" s="52" t="s">
        <v>187</v>
      </c>
      <c r="X3" s="52" t="s">
        <v>189</v>
      </c>
      <c r="Y3" s="52" t="s">
        <v>190</v>
      </c>
      <c r="Z3" s="52" t="s">
        <v>191</v>
      </c>
      <c r="AA3" s="52" t="s">
        <v>192</v>
      </c>
      <c r="AB3" s="52" t="s">
        <v>186</v>
      </c>
      <c r="AC3" s="52" t="s">
        <v>187</v>
      </c>
      <c r="AD3" s="52" t="s">
        <v>187</v>
      </c>
      <c r="AE3" s="52" t="s">
        <v>189</v>
      </c>
      <c r="AF3" s="52" t="s">
        <v>190</v>
      </c>
      <c r="AG3" s="52" t="s">
        <v>191</v>
      </c>
      <c r="AH3" s="52" t="s">
        <v>192</v>
      </c>
      <c r="AI3" s="52" t="s">
        <v>186</v>
      </c>
    </row>
    <row r="4" spans="1:35" x14ac:dyDescent="0.2">
      <c r="A4" s="53" t="s">
        <v>255</v>
      </c>
      <c r="B4" s="54" t="s">
        <v>179</v>
      </c>
      <c r="C4" s="55" t="s">
        <v>35</v>
      </c>
      <c r="D4" s="55" t="s">
        <v>36</v>
      </c>
      <c r="E4" s="56" t="s">
        <v>37</v>
      </c>
      <c r="F4" s="56" t="s">
        <v>38</v>
      </c>
      <c r="G4" s="55" t="s">
        <v>56</v>
      </c>
      <c r="H4" s="55" t="s">
        <v>57</v>
      </c>
      <c r="I4" s="55" t="s">
        <v>58</v>
      </c>
      <c r="J4" s="55" t="s">
        <v>59</v>
      </c>
      <c r="K4" s="55" t="s">
        <v>60</v>
      </c>
      <c r="L4" s="56" t="s">
        <v>61</v>
      </c>
      <c r="M4" s="56" t="s">
        <v>62</v>
      </c>
      <c r="N4" s="57" t="s">
        <v>256</v>
      </c>
      <c r="O4" s="55" t="s">
        <v>85</v>
      </c>
      <c r="P4" s="55" t="s">
        <v>86</v>
      </c>
      <c r="Q4" s="55" t="s">
        <v>87</v>
      </c>
      <c r="R4" s="55" t="s">
        <v>88</v>
      </c>
      <c r="S4" s="56" t="s">
        <v>89</v>
      </c>
      <c r="T4" s="56" t="s">
        <v>90</v>
      </c>
      <c r="U4" s="55" t="s">
        <v>102</v>
      </c>
      <c r="V4" s="55" t="s">
        <v>103</v>
      </c>
      <c r="W4" s="55" t="s">
        <v>104</v>
      </c>
      <c r="X4" s="55" t="s">
        <v>105</v>
      </c>
      <c r="Y4" s="55" t="s">
        <v>106</v>
      </c>
      <c r="Z4" s="56" t="s">
        <v>107</v>
      </c>
      <c r="AA4" s="56" t="s">
        <v>108</v>
      </c>
      <c r="AB4" s="55" t="s">
        <v>117</v>
      </c>
      <c r="AC4" s="55" t="s">
        <v>118</v>
      </c>
      <c r="AD4" s="55" t="s">
        <v>119</v>
      </c>
      <c r="AE4" s="55" t="s">
        <v>120</v>
      </c>
      <c r="AF4" s="55" t="s">
        <v>121</v>
      </c>
      <c r="AG4" s="56" t="s">
        <v>122</v>
      </c>
      <c r="AH4" s="57" t="s">
        <v>257</v>
      </c>
      <c r="AI4" s="57" t="s">
        <v>258</v>
      </c>
    </row>
    <row r="5" spans="1:35" ht="15" customHeight="1" x14ac:dyDescent="0.2">
      <c r="A5" s="58" t="s">
        <v>194</v>
      </c>
      <c r="B5" s="59" t="s">
        <v>195</v>
      </c>
      <c r="C5" s="60"/>
      <c r="D5" s="61" t="s">
        <v>188</v>
      </c>
      <c r="E5" s="61" t="s">
        <v>188</v>
      </c>
      <c r="F5" s="61" t="s">
        <v>188</v>
      </c>
      <c r="G5" s="60"/>
      <c r="H5" s="60"/>
      <c r="I5" s="60"/>
      <c r="J5" s="60"/>
      <c r="K5" s="60"/>
      <c r="L5" s="60"/>
      <c r="M5" s="60"/>
      <c r="N5" s="60"/>
      <c r="O5" s="60"/>
      <c r="P5" s="60"/>
      <c r="Q5" s="60"/>
      <c r="R5" s="60"/>
      <c r="S5" s="60"/>
      <c r="T5" s="60"/>
      <c r="U5" s="60"/>
      <c r="V5" s="60"/>
      <c r="W5" s="61" t="s">
        <v>188</v>
      </c>
      <c r="X5" s="61" t="s">
        <v>188</v>
      </c>
      <c r="Y5" s="61" t="s">
        <v>188</v>
      </c>
      <c r="Z5" s="61" t="s">
        <v>188</v>
      </c>
      <c r="AA5" s="61" t="s">
        <v>188</v>
      </c>
      <c r="AB5" s="60"/>
      <c r="AC5" s="60"/>
      <c r="AD5" s="60"/>
      <c r="AE5" s="60"/>
      <c r="AF5" s="60"/>
      <c r="AG5" s="60"/>
      <c r="AH5" s="60"/>
      <c r="AI5" s="60"/>
    </row>
    <row r="6" spans="1:35" ht="15" customHeight="1" x14ac:dyDescent="0.2">
      <c r="A6" s="62" t="s">
        <v>197</v>
      </c>
      <c r="B6" s="63" t="s">
        <v>198</v>
      </c>
      <c r="C6" s="60"/>
      <c r="D6" s="61" t="s">
        <v>188</v>
      </c>
      <c r="E6" s="61" t="s">
        <v>188</v>
      </c>
      <c r="F6" s="61" t="s">
        <v>188</v>
      </c>
      <c r="G6" s="60"/>
      <c r="H6" s="60"/>
      <c r="I6" s="60"/>
      <c r="J6" s="60"/>
      <c r="K6" s="60"/>
      <c r="L6" s="60"/>
      <c r="M6" s="60"/>
      <c r="N6" s="60"/>
      <c r="O6" s="60"/>
      <c r="P6" s="60"/>
      <c r="Q6" s="60"/>
      <c r="R6" s="60"/>
      <c r="S6" s="60"/>
      <c r="T6" s="60"/>
      <c r="U6" s="60"/>
      <c r="V6" s="60"/>
      <c r="W6" s="60"/>
      <c r="X6" s="60"/>
      <c r="Y6" s="61" t="s">
        <v>188</v>
      </c>
      <c r="Z6" s="61" t="s">
        <v>188</v>
      </c>
      <c r="AA6" s="61" t="s">
        <v>188</v>
      </c>
      <c r="AB6" s="60"/>
      <c r="AC6" s="60"/>
      <c r="AD6" s="60"/>
      <c r="AE6" s="60"/>
      <c r="AF6" s="60"/>
      <c r="AG6" s="60"/>
      <c r="AH6" s="60"/>
      <c r="AI6" s="60"/>
    </row>
    <row r="7" spans="1:35" ht="15" customHeight="1" x14ac:dyDescent="0.2">
      <c r="A7" s="58" t="s">
        <v>199</v>
      </c>
      <c r="B7" s="59" t="s">
        <v>200</v>
      </c>
      <c r="C7" s="60"/>
      <c r="D7" s="60"/>
      <c r="E7" s="60"/>
      <c r="F7" s="60"/>
      <c r="G7" s="60"/>
      <c r="H7" s="60"/>
      <c r="I7" s="60"/>
      <c r="J7" s="60"/>
      <c r="K7" s="61" t="s">
        <v>188</v>
      </c>
      <c r="L7" s="61" t="s">
        <v>188</v>
      </c>
      <c r="M7" s="61" t="s">
        <v>188</v>
      </c>
      <c r="N7" s="60"/>
      <c r="O7" s="60"/>
      <c r="P7" s="60"/>
      <c r="Q7" s="60"/>
      <c r="R7" s="60"/>
      <c r="S7" s="60"/>
      <c r="T7" s="60"/>
      <c r="U7" s="60"/>
      <c r="V7" s="60"/>
      <c r="W7" s="60"/>
      <c r="X7" s="60"/>
      <c r="Y7" s="61" t="s">
        <v>188</v>
      </c>
      <c r="Z7" s="61" t="s">
        <v>188</v>
      </c>
      <c r="AA7" s="61" t="s">
        <v>188</v>
      </c>
      <c r="AB7" s="60"/>
      <c r="AC7" s="60"/>
      <c r="AD7" s="60"/>
      <c r="AE7" s="60"/>
      <c r="AF7" s="60"/>
      <c r="AG7" s="60"/>
      <c r="AH7" s="60"/>
      <c r="AI7" s="60"/>
    </row>
    <row r="8" spans="1:35" ht="15" customHeight="1" x14ac:dyDescent="0.2">
      <c r="A8" s="62" t="s">
        <v>202</v>
      </c>
      <c r="B8" s="63" t="s">
        <v>203</v>
      </c>
      <c r="C8" s="60"/>
      <c r="D8" s="60"/>
      <c r="E8" s="60"/>
      <c r="F8" s="60"/>
      <c r="G8" s="60"/>
      <c r="H8" s="60"/>
      <c r="I8" s="60"/>
      <c r="J8" s="60"/>
      <c r="K8" s="60"/>
      <c r="L8" s="60"/>
      <c r="M8" s="60"/>
      <c r="N8" s="60"/>
      <c r="O8" s="60"/>
      <c r="P8" s="60"/>
      <c r="Q8" s="60"/>
      <c r="R8" s="60"/>
      <c r="S8" s="60"/>
      <c r="T8" s="60"/>
      <c r="U8" s="60"/>
      <c r="V8" s="60"/>
      <c r="W8" s="60"/>
      <c r="X8" s="60"/>
      <c r="Y8" s="61" t="s">
        <v>188</v>
      </c>
      <c r="Z8" s="61" t="s">
        <v>188</v>
      </c>
      <c r="AA8" s="61" t="s">
        <v>188</v>
      </c>
      <c r="AB8" s="60"/>
      <c r="AC8" s="60"/>
      <c r="AD8" s="60"/>
      <c r="AE8" s="60"/>
      <c r="AF8" s="60"/>
      <c r="AG8" s="60"/>
      <c r="AH8" s="60"/>
      <c r="AI8" s="60"/>
    </row>
    <row r="9" spans="1:35" ht="15" customHeight="1" x14ac:dyDescent="0.2">
      <c r="A9" s="58" t="s">
        <v>204</v>
      </c>
      <c r="B9" s="59" t="s">
        <v>205</v>
      </c>
      <c r="C9" s="60"/>
      <c r="D9" s="61" t="s">
        <v>188</v>
      </c>
      <c r="E9" s="61" t="s">
        <v>188</v>
      </c>
      <c r="F9" s="61" t="s">
        <v>188</v>
      </c>
      <c r="G9" s="60"/>
      <c r="H9" s="60"/>
      <c r="I9" s="60"/>
      <c r="J9" s="60"/>
      <c r="K9" s="60"/>
      <c r="L9" s="60"/>
      <c r="M9" s="60"/>
      <c r="N9" s="60"/>
      <c r="O9" s="60"/>
      <c r="P9" s="60"/>
      <c r="Q9" s="60"/>
      <c r="R9" s="60"/>
      <c r="S9" s="60"/>
      <c r="T9" s="60"/>
      <c r="U9" s="60"/>
      <c r="V9" s="60"/>
      <c r="W9" s="60"/>
      <c r="X9" s="60"/>
      <c r="Y9" s="61" t="s">
        <v>188</v>
      </c>
      <c r="Z9" s="61" t="s">
        <v>188</v>
      </c>
      <c r="AA9" s="61" t="s">
        <v>188</v>
      </c>
      <c r="AB9" s="60"/>
      <c r="AC9" s="60"/>
      <c r="AD9" s="60"/>
      <c r="AE9" s="60"/>
      <c r="AF9" s="60"/>
      <c r="AG9" s="60"/>
      <c r="AH9" s="60"/>
      <c r="AI9" s="60"/>
    </row>
    <row r="10" spans="1:35" ht="15" customHeight="1" x14ac:dyDescent="0.2">
      <c r="A10" s="62" t="s">
        <v>206</v>
      </c>
      <c r="B10" s="63" t="s">
        <v>207</v>
      </c>
      <c r="C10" s="60"/>
      <c r="D10" s="60"/>
      <c r="E10" s="60"/>
      <c r="F10" s="60"/>
      <c r="G10" s="60"/>
      <c r="H10" s="60"/>
      <c r="I10" s="60"/>
      <c r="J10" s="60"/>
      <c r="K10" s="60"/>
      <c r="L10" s="60"/>
      <c r="M10" s="60"/>
      <c r="N10" s="60"/>
      <c r="O10" s="60"/>
      <c r="P10" s="60"/>
      <c r="Q10" s="60"/>
      <c r="R10" s="60"/>
      <c r="S10" s="60"/>
      <c r="T10" s="60"/>
      <c r="U10" s="60"/>
      <c r="V10" s="60"/>
      <c r="W10" s="60"/>
      <c r="X10" s="60"/>
      <c r="Y10" s="61" t="s">
        <v>188</v>
      </c>
      <c r="Z10" s="61" t="s">
        <v>188</v>
      </c>
      <c r="AA10" s="61" t="s">
        <v>188</v>
      </c>
      <c r="AB10" s="60"/>
      <c r="AC10" s="60"/>
      <c r="AD10" s="60"/>
      <c r="AE10" s="60"/>
      <c r="AF10" s="60"/>
      <c r="AG10" s="60"/>
      <c r="AH10" s="60"/>
      <c r="AI10" s="60"/>
    </row>
    <row r="11" spans="1:35" ht="15" customHeight="1" x14ac:dyDescent="0.2">
      <c r="A11" s="58" t="s">
        <v>208</v>
      </c>
      <c r="B11" s="59" t="s">
        <v>209</v>
      </c>
      <c r="C11" s="60"/>
      <c r="D11" s="61" t="s">
        <v>188</v>
      </c>
      <c r="E11" s="61" t="s">
        <v>188</v>
      </c>
      <c r="F11" s="61" t="s">
        <v>188</v>
      </c>
      <c r="G11" s="60"/>
      <c r="H11" s="60"/>
      <c r="I11" s="60"/>
      <c r="J11" s="60"/>
      <c r="K11" s="60"/>
      <c r="L11" s="60"/>
      <c r="M11" s="60"/>
      <c r="N11" s="60"/>
      <c r="O11" s="60"/>
      <c r="P11" s="60"/>
      <c r="Q11" s="60"/>
      <c r="R11" s="60"/>
      <c r="S11" s="60"/>
      <c r="T11" s="60"/>
      <c r="U11" s="60"/>
      <c r="V11" s="60"/>
      <c r="W11" s="60"/>
      <c r="X11" s="60"/>
      <c r="Y11" s="61" t="s">
        <v>188</v>
      </c>
      <c r="Z11" s="61" t="s">
        <v>188</v>
      </c>
      <c r="AA11" s="61" t="s">
        <v>188</v>
      </c>
      <c r="AB11" s="60"/>
      <c r="AC11" s="60"/>
      <c r="AD11" s="60"/>
      <c r="AE11" s="60"/>
      <c r="AF11" s="60"/>
      <c r="AG11" s="60"/>
      <c r="AH11" s="60"/>
      <c r="AI11" s="60"/>
    </row>
    <row r="12" spans="1:35" ht="15" customHeight="1" x14ac:dyDescent="0.2">
      <c r="A12" s="62" t="s">
        <v>210</v>
      </c>
      <c r="B12" s="63" t="s">
        <v>211</v>
      </c>
      <c r="C12" s="60"/>
      <c r="D12" s="60"/>
      <c r="E12" s="60"/>
      <c r="F12" s="60"/>
      <c r="G12" s="60"/>
      <c r="H12" s="60"/>
      <c r="I12" s="60"/>
      <c r="J12" s="60"/>
      <c r="K12" s="61" t="s">
        <v>188</v>
      </c>
      <c r="L12" s="61" t="s">
        <v>188</v>
      </c>
      <c r="M12" s="61" t="s">
        <v>188</v>
      </c>
      <c r="N12" s="60"/>
      <c r="O12" s="60"/>
      <c r="P12" s="60"/>
      <c r="Q12" s="60"/>
      <c r="R12" s="60"/>
      <c r="S12" s="60"/>
      <c r="T12" s="60"/>
      <c r="U12" s="60"/>
      <c r="V12" s="60"/>
      <c r="W12" s="60"/>
      <c r="X12" s="60"/>
      <c r="Y12" s="61" t="s">
        <v>188</v>
      </c>
      <c r="Z12" s="61" t="s">
        <v>188</v>
      </c>
      <c r="AA12" s="61" t="s">
        <v>188</v>
      </c>
      <c r="AB12" s="60"/>
      <c r="AC12" s="60"/>
      <c r="AD12" s="60"/>
      <c r="AE12" s="60"/>
      <c r="AF12" s="60"/>
      <c r="AG12" s="60"/>
      <c r="AH12" s="60"/>
      <c r="AI12" s="60"/>
    </row>
    <row r="13" spans="1:35" ht="15" customHeight="1" x14ac:dyDescent="0.2">
      <c r="A13" s="58" t="s">
        <v>212</v>
      </c>
      <c r="B13" s="59" t="s">
        <v>213</v>
      </c>
      <c r="C13" s="60"/>
      <c r="D13" s="60"/>
      <c r="E13" s="60"/>
      <c r="F13" s="60"/>
      <c r="G13" s="60"/>
      <c r="H13" s="60"/>
      <c r="I13" s="60"/>
      <c r="J13" s="60"/>
      <c r="K13" s="60"/>
      <c r="L13" s="61" t="s">
        <v>188</v>
      </c>
      <c r="M13" s="60"/>
      <c r="N13" s="60"/>
      <c r="O13" s="60"/>
      <c r="P13" s="60"/>
      <c r="Q13" s="60"/>
      <c r="R13" s="60"/>
      <c r="S13" s="60"/>
      <c r="T13" s="60"/>
      <c r="U13" s="60"/>
      <c r="V13" s="60"/>
      <c r="W13" s="60"/>
      <c r="X13" s="60"/>
      <c r="Y13" s="60"/>
      <c r="Z13" s="60"/>
      <c r="AA13" s="60"/>
      <c r="AB13" s="60"/>
      <c r="AC13" s="60"/>
      <c r="AD13" s="60"/>
      <c r="AE13" s="60"/>
      <c r="AF13" s="60"/>
      <c r="AG13" s="60"/>
      <c r="AH13" s="60"/>
      <c r="AI13" s="60"/>
    </row>
    <row r="14" spans="1:35" ht="15" customHeight="1" x14ac:dyDescent="0.2">
      <c r="A14" s="62" t="s">
        <v>215</v>
      </c>
      <c r="B14" s="63" t="s">
        <v>216</v>
      </c>
      <c r="C14" s="60"/>
      <c r="D14" s="60"/>
      <c r="E14" s="60"/>
      <c r="F14" s="60"/>
      <c r="G14" s="60"/>
      <c r="H14" s="60"/>
      <c r="I14" s="60"/>
      <c r="J14" s="61" t="s">
        <v>188</v>
      </c>
      <c r="K14" s="61" t="s">
        <v>188</v>
      </c>
      <c r="L14" s="60"/>
      <c r="M14" s="60"/>
      <c r="N14" s="60"/>
      <c r="O14" s="60"/>
      <c r="P14" s="60"/>
      <c r="Q14" s="60"/>
      <c r="R14" s="60"/>
      <c r="S14" s="60"/>
      <c r="T14" s="60"/>
      <c r="U14" s="60"/>
      <c r="V14" s="60"/>
      <c r="W14" s="60"/>
      <c r="X14" s="60"/>
      <c r="Y14" s="61" t="s">
        <v>188</v>
      </c>
      <c r="Z14" s="61" t="s">
        <v>188</v>
      </c>
      <c r="AA14" s="61" t="s">
        <v>188</v>
      </c>
      <c r="AB14" s="60"/>
      <c r="AC14" s="60"/>
      <c r="AD14" s="60"/>
      <c r="AE14" s="60"/>
      <c r="AF14" s="60"/>
      <c r="AG14" s="60"/>
      <c r="AH14" s="60"/>
      <c r="AI14" s="60"/>
    </row>
    <row r="15" spans="1:35" ht="15" customHeight="1" x14ac:dyDescent="0.2">
      <c r="A15" s="58" t="s">
        <v>218</v>
      </c>
      <c r="B15" s="59" t="s">
        <v>219</v>
      </c>
      <c r="C15" s="60"/>
      <c r="D15" s="60"/>
      <c r="E15" s="60"/>
      <c r="F15" s="60"/>
      <c r="G15" s="60"/>
      <c r="H15" s="60"/>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row>
    <row r="16" spans="1:35" ht="15" customHeight="1" x14ac:dyDescent="0.2">
      <c r="A16" s="62" t="s">
        <v>220</v>
      </c>
      <c r="B16" s="63" t="s">
        <v>221</v>
      </c>
      <c r="C16" s="61" t="s">
        <v>188</v>
      </c>
      <c r="D16" s="61" t="s">
        <v>188</v>
      </c>
      <c r="E16" s="61" t="s">
        <v>188</v>
      </c>
      <c r="F16" s="61" t="s">
        <v>188</v>
      </c>
      <c r="G16" s="61" t="s">
        <v>188</v>
      </c>
      <c r="H16" s="61" t="s">
        <v>188</v>
      </c>
      <c r="I16" s="61" t="s">
        <v>188</v>
      </c>
      <c r="J16" s="61" t="s">
        <v>188</v>
      </c>
      <c r="K16" s="60"/>
      <c r="L16" s="60"/>
      <c r="M16" s="60"/>
      <c r="N16" s="60"/>
      <c r="O16" s="60"/>
      <c r="P16" s="60"/>
      <c r="Q16" s="60"/>
      <c r="R16" s="60"/>
      <c r="S16" s="60"/>
      <c r="T16" s="60"/>
      <c r="U16" s="60"/>
      <c r="V16" s="60"/>
      <c r="W16" s="60"/>
      <c r="X16" s="60"/>
      <c r="Y16" s="60"/>
      <c r="Z16" s="60"/>
      <c r="AA16" s="60"/>
      <c r="AB16" s="60"/>
      <c r="AC16" s="60"/>
      <c r="AD16" s="60"/>
      <c r="AE16" s="60"/>
      <c r="AF16" s="60"/>
      <c r="AG16" s="60"/>
      <c r="AH16" s="60"/>
      <c r="AI16" s="60"/>
    </row>
    <row r="17" spans="1:35" ht="15" customHeight="1" x14ac:dyDescent="0.2">
      <c r="A17" s="58" t="s">
        <v>222</v>
      </c>
      <c r="B17" s="59" t="s">
        <v>223</v>
      </c>
      <c r="C17" s="61" t="s">
        <v>188</v>
      </c>
      <c r="D17" s="60"/>
      <c r="E17" s="60"/>
      <c r="F17" s="60"/>
      <c r="G17" s="60"/>
      <c r="H17" s="60"/>
      <c r="I17" s="60"/>
      <c r="J17" s="60"/>
      <c r="K17" s="60"/>
      <c r="L17" s="60"/>
      <c r="M17" s="60"/>
      <c r="N17" s="60"/>
      <c r="O17" s="60"/>
      <c r="P17" s="60"/>
      <c r="Q17" s="60"/>
      <c r="R17" s="60"/>
      <c r="S17" s="60"/>
      <c r="T17" s="60"/>
      <c r="U17" s="60"/>
      <c r="V17" s="60"/>
      <c r="W17" s="60"/>
      <c r="X17" s="60"/>
      <c r="Y17" s="60"/>
      <c r="Z17" s="60"/>
      <c r="AA17" s="60"/>
      <c r="AB17" s="61" t="s">
        <v>188</v>
      </c>
      <c r="AC17" s="60"/>
      <c r="AD17" s="60"/>
      <c r="AE17" s="60"/>
      <c r="AF17" s="61" t="s">
        <v>188</v>
      </c>
      <c r="AG17" s="60"/>
      <c r="AH17" s="60"/>
      <c r="AI17" s="60"/>
    </row>
    <row r="18" spans="1:35" ht="15" customHeight="1" x14ac:dyDescent="0.2">
      <c r="A18" s="62" t="s">
        <v>224</v>
      </c>
      <c r="B18" s="63" t="s">
        <v>225</v>
      </c>
      <c r="C18" s="60"/>
      <c r="D18" s="60"/>
      <c r="E18" s="60"/>
      <c r="F18" s="60"/>
      <c r="G18" s="60"/>
      <c r="H18" s="60"/>
      <c r="I18" s="60"/>
      <c r="J18" s="60"/>
      <c r="K18" s="60"/>
      <c r="L18" s="60"/>
      <c r="M18" s="60"/>
      <c r="N18" s="60"/>
      <c r="O18" s="60"/>
      <c r="P18" s="60"/>
      <c r="Q18" s="61" t="s">
        <v>188</v>
      </c>
      <c r="R18" s="61" t="s">
        <v>188</v>
      </c>
      <c r="S18" s="61" t="s">
        <v>188</v>
      </c>
      <c r="T18" s="61" t="s">
        <v>188</v>
      </c>
      <c r="U18" s="60"/>
      <c r="V18" s="60"/>
      <c r="W18" s="60"/>
      <c r="X18" s="60"/>
      <c r="Y18" s="60"/>
      <c r="Z18" s="60"/>
      <c r="AA18" s="60"/>
      <c r="AB18" s="60"/>
      <c r="AC18" s="60"/>
      <c r="AD18" s="60"/>
      <c r="AE18" s="60"/>
      <c r="AF18" s="60"/>
      <c r="AG18" s="60"/>
      <c r="AH18" s="60"/>
      <c r="AI18" s="60"/>
    </row>
    <row r="19" spans="1:35" ht="15" customHeight="1" x14ac:dyDescent="0.2">
      <c r="A19" s="58" t="s">
        <v>226</v>
      </c>
      <c r="B19" s="59" t="s">
        <v>227</v>
      </c>
      <c r="C19" s="60"/>
      <c r="D19" s="60"/>
      <c r="E19" s="61" t="s">
        <v>188</v>
      </c>
      <c r="F19" s="61" t="s">
        <v>188</v>
      </c>
      <c r="G19" s="60"/>
      <c r="H19" s="60"/>
      <c r="I19" s="60"/>
      <c r="J19" s="60"/>
      <c r="K19" s="60"/>
      <c r="L19" s="60"/>
      <c r="M19" s="60"/>
      <c r="N19" s="60"/>
      <c r="O19" s="60"/>
      <c r="P19" s="60"/>
      <c r="Q19" s="60"/>
      <c r="R19" s="60"/>
      <c r="S19" s="60"/>
      <c r="T19" s="60"/>
      <c r="U19" s="60"/>
      <c r="V19" s="60"/>
      <c r="W19" s="60"/>
      <c r="X19" s="60"/>
      <c r="Y19" s="61" t="s">
        <v>188</v>
      </c>
      <c r="Z19" s="61" t="s">
        <v>188</v>
      </c>
      <c r="AA19" s="61" t="s">
        <v>188</v>
      </c>
      <c r="AB19" s="60"/>
      <c r="AC19" s="60"/>
      <c r="AD19" s="60"/>
      <c r="AE19" s="60"/>
      <c r="AF19" s="60"/>
      <c r="AG19" s="60"/>
      <c r="AH19" s="60"/>
      <c r="AI19" s="60"/>
    </row>
    <row r="20" spans="1:35" ht="15" customHeight="1" x14ac:dyDescent="0.2">
      <c r="A20" s="62" t="s">
        <v>228</v>
      </c>
      <c r="B20" s="63" t="s">
        <v>229</v>
      </c>
      <c r="C20" s="60"/>
      <c r="D20" s="60"/>
      <c r="E20" s="60"/>
      <c r="F20" s="60"/>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row>
    <row r="21" spans="1:35" ht="15" customHeight="1" x14ac:dyDescent="0.2">
      <c r="A21" s="58" t="s">
        <v>230</v>
      </c>
      <c r="B21" s="59" t="s">
        <v>231</v>
      </c>
      <c r="C21" s="60"/>
      <c r="D21" s="60"/>
      <c r="E21" s="60"/>
      <c r="F21" s="60"/>
      <c r="G21" s="60"/>
      <c r="H21" s="60"/>
      <c r="I21" s="60"/>
      <c r="J21" s="61" t="s">
        <v>188</v>
      </c>
      <c r="K21" s="61" t="s">
        <v>188</v>
      </c>
      <c r="L21" s="61" t="s">
        <v>188</v>
      </c>
      <c r="M21" s="61" t="s">
        <v>188</v>
      </c>
      <c r="N21" s="61" t="s">
        <v>188</v>
      </c>
      <c r="O21" s="60"/>
      <c r="P21" s="60"/>
      <c r="Q21" s="60"/>
      <c r="R21" s="60"/>
      <c r="S21" s="60"/>
      <c r="T21" s="60"/>
      <c r="U21" s="60"/>
      <c r="V21" s="60"/>
      <c r="W21" s="60"/>
      <c r="X21" s="60"/>
      <c r="Y21" s="60"/>
      <c r="Z21" s="60"/>
      <c r="AA21" s="60"/>
      <c r="AB21" s="60"/>
      <c r="AC21" s="60"/>
      <c r="AD21" s="60"/>
      <c r="AE21" s="60"/>
      <c r="AF21" s="60"/>
      <c r="AG21" s="60"/>
      <c r="AH21" s="60"/>
      <c r="AI21" s="60"/>
    </row>
    <row r="22" spans="1:35" ht="15" customHeight="1" x14ac:dyDescent="0.2">
      <c r="A22" s="62" t="s">
        <v>232</v>
      </c>
      <c r="B22" s="63" t="s">
        <v>233</v>
      </c>
      <c r="C22" s="60"/>
      <c r="D22" s="60"/>
      <c r="E22" s="60"/>
      <c r="F22" s="60"/>
      <c r="G22" s="60"/>
      <c r="H22" s="60"/>
      <c r="I22" s="60"/>
      <c r="J22" s="61" t="s">
        <v>188</v>
      </c>
      <c r="K22" s="61" t="s">
        <v>188</v>
      </c>
      <c r="L22" s="60"/>
      <c r="M22" s="60"/>
      <c r="N22" s="60"/>
      <c r="O22" s="60"/>
      <c r="P22" s="60"/>
      <c r="Q22" s="60"/>
      <c r="R22" s="60"/>
      <c r="S22" s="60"/>
      <c r="T22" s="60"/>
      <c r="U22" s="60"/>
      <c r="V22" s="60"/>
      <c r="W22" s="60"/>
      <c r="X22" s="61" t="s">
        <v>188</v>
      </c>
      <c r="Y22" s="61" t="s">
        <v>188</v>
      </c>
      <c r="Z22" s="61" t="s">
        <v>188</v>
      </c>
      <c r="AA22" s="61" t="s">
        <v>188</v>
      </c>
      <c r="AB22" s="60"/>
      <c r="AC22" s="60"/>
      <c r="AD22" s="60"/>
      <c r="AE22" s="60"/>
      <c r="AF22" s="60"/>
      <c r="AG22" s="60"/>
      <c r="AH22" s="60"/>
      <c r="AI22" s="60"/>
    </row>
    <row r="23" spans="1:35" ht="15" customHeight="1" x14ac:dyDescent="0.2">
      <c r="A23" s="58" t="s">
        <v>234</v>
      </c>
      <c r="B23" s="59" t="s">
        <v>235</v>
      </c>
      <c r="C23" s="60"/>
      <c r="D23" s="60"/>
      <c r="E23" s="60"/>
      <c r="F23" s="60"/>
      <c r="G23" s="60"/>
      <c r="H23" s="60"/>
      <c r="I23" s="60"/>
      <c r="J23" s="60"/>
      <c r="K23" s="60"/>
      <c r="L23" s="60"/>
      <c r="M23" s="60"/>
      <c r="N23" s="60"/>
      <c r="O23" s="60"/>
      <c r="P23" s="60"/>
      <c r="Q23" s="60"/>
      <c r="R23" s="60"/>
      <c r="S23" s="60"/>
      <c r="T23" s="60"/>
      <c r="U23" s="60"/>
      <c r="V23" s="60"/>
      <c r="W23" s="60"/>
      <c r="X23" s="60"/>
      <c r="Y23" s="60"/>
      <c r="Z23" s="61" t="s">
        <v>188</v>
      </c>
      <c r="AA23" s="61" t="s">
        <v>188</v>
      </c>
      <c r="AB23" s="60"/>
      <c r="AC23" s="60"/>
      <c r="AD23" s="60"/>
      <c r="AE23" s="60"/>
      <c r="AF23" s="60"/>
      <c r="AG23" s="60"/>
      <c r="AH23" s="60"/>
      <c r="AI23" s="60"/>
    </row>
    <row r="24" spans="1:35" ht="15" customHeight="1" x14ac:dyDescent="0.2">
      <c r="A24" s="62" t="s">
        <v>236</v>
      </c>
      <c r="B24" s="63" t="s">
        <v>237</v>
      </c>
      <c r="C24" s="60"/>
      <c r="D24" s="60"/>
      <c r="E24" s="60"/>
      <c r="F24" s="60"/>
      <c r="G24" s="60"/>
      <c r="H24" s="60"/>
      <c r="I24" s="60"/>
      <c r="J24" s="60"/>
      <c r="K24" s="61" t="s">
        <v>188</v>
      </c>
      <c r="L24" s="61" t="s">
        <v>188</v>
      </c>
      <c r="M24" s="61" t="s">
        <v>188</v>
      </c>
      <c r="N24" s="60"/>
      <c r="O24" s="60"/>
      <c r="P24" s="60"/>
      <c r="Q24" s="60"/>
      <c r="R24" s="60"/>
      <c r="S24" s="60"/>
      <c r="T24" s="60"/>
      <c r="U24" s="60"/>
      <c r="V24" s="60"/>
      <c r="W24" s="60"/>
      <c r="X24" s="60"/>
      <c r="Y24" s="60"/>
      <c r="Z24" s="60"/>
      <c r="AA24" s="60"/>
      <c r="AB24" s="60"/>
      <c r="AC24" s="60"/>
      <c r="AD24" s="60"/>
      <c r="AE24" s="60"/>
      <c r="AF24" s="60"/>
      <c r="AG24" s="60"/>
      <c r="AH24" s="60"/>
      <c r="AI24" s="60"/>
    </row>
    <row r="25" spans="1:35" ht="15" customHeight="1" x14ac:dyDescent="0.2">
      <c r="A25" s="58" t="s">
        <v>238</v>
      </c>
      <c r="B25" s="59" t="s">
        <v>239</v>
      </c>
      <c r="C25" s="60"/>
      <c r="D25" s="64" t="s">
        <v>259</v>
      </c>
      <c r="E25" s="64" t="s">
        <v>259</v>
      </c>
      <c r="F25" s="64" t="s">
        <v>259</v>
      </c>
      <c r="G25" s="60"/>
      <c r="H25" s="60"/>
      <c r="I25" s="60"/>
      <c r="J25" s="60"/>
      <c r="K25" s="60"/>
      <c r="L25" s="60"/>
      <c r="M25" s="64" t="s">
        <v>259</v>
      </c>
      <c r="N25" s="60"/>
      <c r="O25" s="60"/>
      <c r="P25" s="60"/>
      <c r="Q25" s="60"/>
      <c r="R25" s="60"/>
      <c r="S25" s="60"/>
      <c r="T25" s="60"/>
      <c r="U25" s="60"/>
      <c r="V25" s="60"/>
      <c r="W25" s="60"/>
      <c r="X25" s="60"/>
      <c r="Y25" s="64" t="s">
        <v>259</v>
      </c>
      <c r="Z25" s="64" t="s">
        <v>259</v>
      </c>
      <c r="AA25" s="64" t="s">
        <v>259</v>
      </c>
      <c r="AB25" s="60"/>
      <c r="AC25" s="60"/>
      <c r="AD25" s="60"/>
      <c r="AE25" s="60"/>
      <c r="AF25" s="60"/>
      <c r="AG25" s="60"/>
      <c r="AH25" s="60"/>
      <c r="AI25" s="60"/>
    </row>
    <row r="26" spans="1:35" ht="15" customHeight="1" x14ac:dyDescent="0.2">
      <c r="A26" s="62" t="s">
        <v>240</v>
      </c>
      <c r="B26" s="63" t="s">
        <v>241</v>
      </c>
      <c r="C26" s="60"/>
      <c r="D26" s="61" t="s">
        <v>188</v>
      </c>
      <c r="E26" s="61" t="s">
        <v>188</v>
      </c>
      <c r="F26" s="61" t="s">
        <v>188</v>
      </c>
      <c r="G26" s="60"/>
      <c r="H26" s="60"/>
      <c r="I26" s="60"/>
      <c r="J26" s="60"/>
      <c r="K26" s="61" t="s">
        <v>188</v>
      </c>
      <c r="L26" s="61" t="s">
        <v>188</v>
      </c>
      <c r="M26" s="61" t="s">
        <v>188</v>
      </c>
      <c r="N26" s="60"/>
      <c r="O26" s="60"/>
      <c r="P26" s="60"/>
      <c r="Q26" s="61" t="s">
        <v>188</v>
      </c>
      <c r="R26" s="61" t="s">
        <v>188</v>
      </c>
      <c r="S26" s="61" t="s">
        <v>188</v>
      </c>
      <c r="T26" s="61" t="s">
        <v>188</v>
      </c>
      <c r="U26" s="61" t="s">
        <v>188</v>
      </c>
      <c r="V26" s="61" t="s">
        <v>188</v>
      </c>
      <c r="W26" s="61" t="s">
        <v>188</v>
      </c>
      <c r="X26" s="60"/>
      <c r="Y26" s="60"/>
      <c r="Z26" s="60"/>
      <c r="AA26" s="60"/>
      <c r="AB26" s="60"/>
      <c r="AC26" s="60"/>
      <c r="AD26" s="60"/>
      <c r="AE26" s="60"/>
      <c r="AF26" s="60"/>
      <c r="AG26" s="60"/>
      <c r="AH26" s="60"/>
      <c r="AI26" s="60"/>
    </row>
    <row r="27" spans="1:35" ht="15" customHeight="1" x14ac:dyDescent="0.2">
      <c r="A27" s="58" t="s">
        <v>242</v>
      </c>
      <c r="B27" s="59" t="s">
        <v>243</v>
      </c>
      <c r="C27" s="65" t="s">
        <v>260</v>
      </c>
      <c r="D27" s="60"/>
      <c r="E27" s="60"/>
      <c r="F27" s="65" t="s">
        <v>260</v>
      </c>
      <c r="G27" s="60"/>
      <c r="H27" s="60"/>
      <c r="I27" s="65" t="s">
        <v>260</v>
      </c>
      <c r="J27" s="60"/>
      <c r="K27" s="60"/>
      <c r="L27" s="65" t="s">
        <v>260</v>
      </c>
      <c r="M27" s="60"/>
      <c r="N27" s="60"/>
      <c r="O27" s="65" t="s">
        <v>260</v>
      </c>
      <c r="P27" s="60"/>
      <c r="Q27" s="60"/>
      <c r="R27" s="64" t="s">
        <v>259</v>
      </c>
      <c r="S27" s="64" t="s">
        <v>259</v>
      </c>
      <c r="T27" s="65" t="s">
        <v>260</v>
      </c>
      <c r="U27" s="60"/>
      <c r="V27" s="60"/>
      <c r="W27" s="65" t="s">
        <v>260</v>
      </c>
      <c r="X27" s="60"/>
      <c r="Y27" s="60"/>
      <c r="Z27" s="60"/>
      <c r="AA27" s="65" t="s">
        <v>260</v>
      </c>
      <c r="AB27" s="60"/>
      <c r="AC27" s="60"/>
      <c r="AD27" s="65" t="s">
        <v>260</v>
      </c>
      <c r="AE27" s="60"/>
      <c r="AF27" s="60"/>
      <c r="AG27" s="60"/>
      <c r="AH27" s="60"/>
      <c r="AI27" s="60"/>
    </row>
    <row r="28" spans="1:35" ht="15" customHeight="1" x14ac:dyDescent="0.2">
      <c r="A28" s="62" t="s">
        <v>244</v>
      </c>
      <c r="B28" s="63" t="s">
        <v>245</v>
      </c>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1" t="s">
        <v>188</v>
      </c>
      <c r="AF28" s="61" t="s">
        <v>188</v>
      </c>
      <c r="AG28" s="61" t="s">
        <v>188</v>
      </c>
      <c r="AH28" s="61" t="s">
        <v>188</v>
      </c>
      <c r="AI28" s="60"/>
    </row>
    <row r="29" spans="1:35" ht="15" customHeight="1" x14ac:dyDescent="0.2">
      <c r="A29" s="58" t="s">
        <v>246</v>
      </c>
      <c r="B29" s="59" t="s">
        <v>247</v>
      </c>
      <c r="C29" s="60"/>
      <c r="D29" s="60"/>
      <c r="E29" s="61" t="s">
        <v>188</v>
      </c>
      <c r="F29" s="61" t="s">
        <v>188</v>
      </c>
      <c r="G29" s="60"/>
      <c r="H29" s="60"/>
      <c r="I29" s="60"/>
      <c r="J29" s="60"/>
      <c r="K29" s="60"/>
      <c r="L29" s="60"/>
      <c r="M29" s="60"/>
      <c r="N29" s="60"/>
      <c r="O29" s="60"/>
      <c r="P29" s="61" t="s">
        <v>188</v>
      </c>
      <c r="Q29" s="61" t="s">
        <v>188</v>
      </c>
      <c r="R29" s="61" t="s">
        <v>188</v>
      </c>
      <c r="S29" s="61" t="s">
        <v>188</v>
      </c>
      <c r="T29" s="61" t="s">
        <v>188</v>
      </c>
      <c r="U29" s="60"/>
      <c r="V29" s="60"/>
      <c r="W29" s="60"/>
      <c r="X29" s="60"/>
      <c r="Y29" s="60"/>
      <c r="Z29" s="60"/>
      <c r="AA29" s="60"/>
      <c r="AB29" s="60"/>
      <c r="AC29" s="60"/>
      <c r="AD29" s="60"/>
      <c r="AE29" s="60"/>
      <c r="AF29" s="60"/>
      <c r="AG29" s="60"/>
      <c r="AH29" s="60"/>
      <c r="AI29" s="60"/>
    </row>
    <row r="30" spans="1:35" ht="16" customHeight="1" x14ac:dyDescent="0.2">
      <c r="A30" s="66" t="s">
        <v>261</v>
      </c>
      <c r="C30" s="67">
        <v>3</v>
      </c>
      <c r="D30" s="68">
        <v>7</v>
      </c>
      <c r="E30" s="69">
        <v>8</v>
      </c>
      <c r="F30" s="69">
        <v>10</v>
      </c>
      <c r="G30" s="67">
        <v>1</v>
      </c>
      <c r="H30" s="67">
        <v>1</v>
      </c>
      <c r="I30" s="67">
        <v>2</v>
      </c>
      <c r="J30" s="68">
        <v>4</v>
      </c>
      <c r="K30" s="68">
        <v>7</v>
      </c>
      <c r="L30" s="68">
        <v>7</v>
      </c>
      <c r="M30" s="68">
        <v>6</v>
      </c>
      <c r="N30" s="67">
        <v>1</v>
      </c>
      <c r="O30" s="67">
        <v>1</v>
      </c>
      <c r="P30" s="67">
        <v>1</v>
      </c>
      <c r="Q30" s="67">
        <v>3</v>
      </c>
      <c r="R30" s="68">
        <v>4</v>
      </c>
      <c r="S30" s="68">
        <v>4</v>
      </c>
      <c r="T30" s="68">
        <v>4</v>
      </c>
      <c r="U30" s="67">
        <v>1</v>
      </c>
      <c r="V30" s="67">
        <v>1</v>
      </c>
      <c r="W30" s="67">
        <v>3</v>
      </c>
      <c r="X30" s="67">
        <v>2</v>
      </c>
      <c r="Y30" s="69">
        <v>12</v>
      </c>
      <c r="Z30" s="69">
        <v>13</v>
      </c>
      <c r="AA30" s="69">
        <v>14</v>
      </c>
      <c r="AB30" s="67">
        <v>1</v>
      </c>
      <c r="AC30" s="67">
        <v>0</v>
      </c>
      <c r="AD30" s="67">
        <v>1</v>
      </c>
      <c r="AE30" s="67">
        <v>1</v>
      </c>
      <c r="AF30" s="67">
        <v>2</v>
      </c>
      <c r="AG30" s="67">
        <v>1</v>
      </c>
      <c r="AH30" s="67">
        <v>1</v>
      </c>
      <c r="AI30" s="67">
        <v>0</v>
      </c>
    </row>
  </sheetData>
  <mergeCells count="5">
    <mergeCell ref="A1:AI1"/>
    <mergeCell ref="B2:H2"/>
    <mergeCell ref="T2:Z2"/>
    <mergeCell ref="K2:Q2"/>
    <mergeCell ref="AC2:AI2"/>
  </mergeCell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0"/>
  <sheetViews>
    <sheetView showGridLines="0" workbookViewId="0">
      <pane ySplit="3" topLeftCell="A5" activePane="bottomLeft" state="frozen"/>
      <selection pane="bottomLeft" activeCell="E13" sqref="E13"/>
    </sheetView>
  </sheetViews>
  <sheetFormatPr baseColWidth="10" defaultColWidth="8.83203125" defaultRowHeight="15" x14ac:dyDescent="0.2"/>
  <cols>
    <col min="1" max="1" width="8" customWidth="1"/>
    <col min="2" max="2" width="55" customWidth="1"/>
    <col min="3" max="3" width="14" customWidth="1"/>
    <col min="4" max="4" width="55" customWidth="1"/>
  </cols>
  <sheetData>
    <row r="1" spans="1:5" ht="22" customHeight="1" x14ac:dyDescent="0.2">
      <c r="A1" s="118" t="s">
        <v>262</v>
      </c>
      <c r="B1" s="100"/>
      <c r="C1" s="100"/>
      <c r="D1" s="100"/>
    </row>
    <row r="3" spans="1:5" x14ac:dyDescent="0.2">
      <c r="A3" s="53" t="s">
        <v>263</v>
      </c>
      <c r="B3" s="53" t="s">
        <v>264</v>
      </c>
      <c r="C3" s="53" t="s">
        <v>265</v>
      </c>
      <c r="D3" s="53" t="s">
        <v>266</v>
      </c>
    </row>
    <row r="4" spans="1:5" ht="28" customHeight="1" x14ac:dyDescent="0.2">
      <c r="A4" s="70" t="s">
        <v>267</v>
      </c>
      <c r="B4" s="71" t="s">
        <v>268</v>
      </c>
      <c r="C4" s="72" t="s">
        <v>269</v>
      </c>
      <c r="D4" s="73" t="s">
        <v>270</v>
      </c>
    </row>
    <row r="5" spans="1:5" ht="28" customHeight="1" x14ac:dyDescent="0.2">
      <c r="A5" s="74" t="s">
        <v>271</v>
      </c>
      <c r="B5" s="75" t="s">
        <v>272</v>
      </c>
      <c r="C5" s="72" t="s">
        <v>273</v>
      </c>
      <c r="D5" s="76" t="s">
        <v>270</v>
      </c>
    </row>
    <row r="6" spans="1:5" ht="28" customHeight="1" x14ac:dyDescent="0.2">
      <c r="A6" s="70" t="s">
        <v>274</v>
      </c>
      <c r="B6" s="71" t="s">
        <v>275</v>
      </c>
      <c r="C6" s="72" t="s">
        <v>269</v>
      </c>
      <c r="D6" s="73" t="s">
        <v>270</v>
      </c>
    </row>
    <row r="7" spans="1:5" ht="28" customHeight="1" x14ac:dyDescent="0.2">
      <c r="A7" s="74" t="s">
        <v>276</v>
      </c>
      <c r="B7" s="75" t="s">
        <v>277</v>
      </c>
      <c r="C7" s="72" t="s">
        <v>269</v>
      </c>
      <c r="D7" s="76" t="s">
        <v>270</v>
      </c>
    </row>
    <row r="8" spans="1:5" ht="28" customHeight="1" x14ac:dyDescent="0.2">
      <c r="A8" s="70" t="s">
        <v>278</v>
      </c>
      <c r="B8" s="71" t="s">
        <v>279</v>
      </c>
      <c r="C8" s="72" t="s">
        <v>269</v>
      </c>
      <c r="D8" s="73" t="s">
        <v>270</v>
      </c>
    </row>
    <row r="9" spans="1:5" ht="28" customHeight="1" x14ac:dyDescent="0.2">
      <c r="A9" s="74" t="s">
        <v>280</v>
      </c>
      <c r="B9" s="75" t="s">
        <v>281</v>
      </c>
      <c r="C9" s="72" t="s">
        <v>269</v>
      </c>
      <c r="D9" s="76" t="s">
        <v>270</v>
      </c>
    </row>
    <row r="10" spans="1:5" ht="28" customHeight="1" x14ac:dyDescent="0.2">
      <c r="A10" s="70" t="s">
        <v>282</v>
      </c>
      <c r="B10" s="71" t="s">
        <v>283</v>
      </c>
      <c r="C10" s="72" t="s">
        <v>269</v>
      </c>
      <c r="D10" s="73" t="s">
        <v>270</v>
      </c>
    </row>
    <row r="11" spans="1:5" ht="28" customHeight="1" x14ac:dyDescent="0.2">
      <c r="A11" s="74" t="s">
        <v>284</v>
      </c>
      <c r="B11" s="75" t="s">
        <v>285</v>
      </c>
      <c r="C11" s="72" t="s">
        <v>269</v>
      </c>
      <c r="D11" s="76" t="s">
        <v>270</v>
      </c>
    </row>
    <row r="12" spans="1:5" ht="28" customHeight="1" x14ac:dyDescent="0.2">
      <c r="A12" s="70" t="s">
        <v>286</v>
      </c>
      <c r="B12" s="71" t="s">
        <v>287</v>
      </c>
      <c r="C12" s="72" t="s">
        <v>269</v>
      </c>
      <c r="D12" s="73"/>
    </row>
    <row r="13" spans="1:5" ht="28" customHeight="1" x14ac:dyDescent="0.2">
      <c r="A13" s="74" t="s">
        <v>288</v>
      </c>
      <c r="B13" s="75" t="s">
        <v>289</v>
      </c>
      <c r="C13" s="72" t="s">
        <v>290</v>
      </c>
      <c r="D13" s="76" t="s">
        <v>270</v>
      </c>
      <c r="E13" t="s">
        <v>291</v>
      </c>
    </row>
    <row r="14" spans="1:5" ht="28" customHeight="1" x14ac:dyDescent="0.2">
      <c r="A14" s="70" t="s">
        <v>292</v>
      </c>
      <c r="B14" s="71" t="s">
        <v>293</v>
      </c>
      <c r="C14" s="72" t="s">
        <v>269</v>
      </c>
      <c r="D14" s="73" t="s">
        <v>270</v>
      </c>
    </row>
    <row r="15" spans="1:5" ht="28" customHeight="1" x14ac:dyDescent="0.2">
      <c r="A15" s="74" t="s">
        <v>294</v>
      </c>
      <c r="B15" s="75" t="s">
        <v>295</v>
      </c>
      <c r="C15" s="72" t="s">
        <v>269</v>
      </c>
      <c r="D15" s="76" t="s">
        <v>270</v>
      </c>
    </row>
    <row r="16" spans="1:5" ht="28" customHeight="1" x14ac:dyDescent="0.2">
      <c r="A16" s="70" t="s">
        <v>296</v>
      </c>
      <c r="B16" s="71" t="s">
        <v>297</v>
      </c>
      <c r="C16" s="72" t="s">
        <v>269</v>
      </c>
      <c r="D16" s="73" t="s">
        <v>270</v>
      </c>
    </row>
    <row r="17" spans="1:7" ht="28" customHeight="1" x14ac:dyDescent="0.2">
      <c r="A17" s="74" t="s">
        <v>298</v>
      </c>
      <c r="B17" s="75" t="s">
        <v>299</v>
      </c>
      <c r="C17" s="72" t="s">
        <v>269</v>
      </c>
      <c r="D17" s="76"/>
    </row>
    <row r="18" spans="1:7" ht="28" customHeight="1" x14ac:dyDescent="0.2">
      <c r="A18" s="70" t="s">
        <v>300</v>
      </c>
      <c r="B18" s="71" t="s">
        <v>301</v>
      </c>
      <c r="C18" s="72" t="s">
        <v>269</v>
      </c>
      <c r="D18" s="73" t="s">
        <v>270</v>
      </c>
    </row>
    <row r="19" spans="1:7" ht="28" customHeight="1" x14ac:dyDescent="0.2">
      <c r="A19" s="74" t="s">
        <v>302</v>
      </c>
      <c r="B19" s="75" t="s">
        <v>303</v>
      </c>
      <c r="C19" s="72" t="s">
        <v>269</v>
      </c>
      <c r="D19" s="76" t="s">
        <v>270</v>
      </c>
      <c r="G19" t="s">
        <v>304</v>
      </c>
    </row>
    <row r="20" spans="1:7" ht="28" customHeight="1" x14ac:dyDescent="0.2">
      <c r="A20" s="70" t="s">
        <v>305</v>
      </c>
      <c r="B20" s="71" t="s">
        <v>306</v>
      </c>
      <c r="C20" s="72" t="s">
        <v>269</v>
      </c>
      <c r="D20" s="73" t="s">
        <v>270</v>
      </c>
      <c r="G20" t="s">
        <v>307</v>
      </c>
    </row>
    <row r="21" spans="1:7" ht="28" customHeight="1" x14ac:dyDescent="0.2">
      <c r="A21" s="74" t="s">
        <v>308</v>
      </c>
      <c r="B21" s="75" t="s">
        <v>309</v>
      </c>
      <c r="C21" s="72" t="s">
        <v>269</v>
      </c>
      <c r="D21" s="76" t="s">
        <v>270</v>
      </c>
      <c r="G21" t="s">
        <v>310</v>
      </c>
    </row>
    <row r="23" spans="1:7" x14ac:dyDescent="0.2">
      <c r="A23" s="119" t="s">
        <v>311</v>
      </c>
      <c r="B23" s="100"/>
      <c r="C23" s="100"/>
      <c r="D23" s="100"/>
    </row>
    <row r="24" spans="1:7" x14ac:dyDescent="0.2">
      <c r="A24" s="46" t="s">
        <v>265</v>
      </c>
      <c r="B24" s="77" t="s">
        <v>312</v>
      </c>
    </row>
    <row r="27" spans="1:7" ht="16" x14ac:dyDescent="0.2">
      <c r="A27" s="120" t="s">
        <v>313</v>
      </c>
      <c r="B27" s="100"/>
      <c r="C27" s="100"/>
      <c r="D27" s="100"/>
    </row>
    <row r="28" spans="1:7" x14ac:dyDescent="0.2">
      <c r="A28" s="53" t="s">
        <v>263</v>
      </c>
      <c r="B28" s="53" t="s">
        <v>314</v>
      </c>
      <c r="C28" s="53" t="s">
        <v>315</v>
      </c>
      <c r="D28" s="53" t="s">
        <v>316</v>
      </c>
    </row>
    <row r="29" spans="1:7" x14ac:dyDescent="0.2">
      <c r="A29" s="70" t="s">
        <v>317</v>
      </c>
      <c r="B29" s="79" t="s">
        <v>318</v>
      </c>
      <c r="C29" s="80">
        <v>10</v>
      </c>
      <c r="D29" s="81"/>
    </row>
    <row r="30" spans="1:7" x14ac:dyDescent="0.2">
      <c r="A30" s="74" t="s">
        <v>319</v>
      </c>
      <c r="B30" s="82" t="s">
        <v>320</v>
      </c>
      <c r="C30" s="83">
        <v>10</v>
      </c>
      <c r="D30" s="81"/>
    </row>
    <row r="31" spans="1:7" x14ac:dyDescent="0.2">
      <c r="A31" s="70" t="s">
        <v>321</v>
      </c>
      <c r="B31" s="79" t="s">
        <v>322</v>
      </c>
      <c r="C31" s="80">
        <v>6</v>
      </c>
      <c r="D31" s="81"/>
    </row>
    <row r="32" spans="1:7" x14ac:dyDescent="0.2">
      <c r="A32" s="74" t="s">
        <v>323</v>
      </c>
      <c r="B32" s="82" t="s">
        <v>324</v>
      </c>
      <c r="C32" s="83">
        <v>6</v>
      </c>
      <c r="D32" s="81"/>
    </row>
    <row r="33" spans="1:4" x14ac:dyDescent="0.2">
      <c r="A33" s="70" t="s">
        <v>325</v>
      </c>
      <c r="B33" s="79" t="s">
        <v>326</v>
      </c>
      <c r="C33" s="80">
        <v>5</v>
      </c>
      <c r="D33" s="81"/>
    </row>
    <row r="34" spans="1:4" x14ac:dyDescent="0.2">
      <c r="A34" s="74"/>
      <c r="B34" s="82"/>
      <c r="C34" s="83"/>
      <c r="D34" s="81"/>
    </row>
    <row r="35" spans="1:4" x14ac:dyDescent="0.2">
      <c r="A35" s="70" t="s">
        <v>327</v>
      </c>
      <c r="B35" s="79" t="s">
        <v>328</v>
      </c>
      <c r="C35" s="80">
        <v>2</v>
      </c>
      <c r="D35" s="81"/>
    </row>
    <row r="36" spans="1:4" x14ac:dyDescent="0.2">
      <c r="B36" s="46" t="s">
        <v>248</v>
      </c>
      <c r="C36" s="46">
        <f>SUM(C29:C35)</f>
        <v>39</v>
      </c>
      <c r="D36" s="46">
        <f>SUM(D29:D35)</f>
        <v>0</v>
      </c>
    </row>
    <row r="39" spans="1:4" ht="16" x14ac:dyDescent="0.2">
      <c r="A39" s="120" t="s">
        <v>329</v>
      </c>
      <c r="B39" s="100"/>
      <c r="C39" s="100"/>
      <c r="D39" s="100"/>
    </row>
    <row r="40" spans="1:4" x14ac:dyDescent="0.2">
      <c r="A40" s="53" t="s">
        <v>330</v>
      </c>
      <c r="B40" s="53" t="s">
        <v>331</v>
      </c>
      <c r="C40" s="53" t="s">
        <v>332</v>
      </c>
      <c r="D40" s="53" t="s">
        <v>333</v>
      </c>
    </row>
  </sheetData>
  <mergeCells count="4">
    <mergeCell ref="A1:D1"/>
    <mergeCell ref="A23:D23"/>
    <mergeCell ref="A27:D27"/>
    <mergeCell ref="A39:D39"/>
  </mergeCells>
  <dataValidations count="1">
    <dataValidation type="list" allowBlank="1" sqref="B24 C4 C5 C6 C7 C8 C9 C10 C11 C12 C13 C14 C15 C16 C17 C18 C19 C20 C21" xr:uid="{00000000-0002-0000-0500-000000000000}">
      <formula1>"Pendiente,✅,❌"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9"/>
  <sheetViews>
    <sheetView showGridLines="0" workbookViewId="0">
      <pane xSplit="2" ySplit="2" topLeftCell="C3" activePane="bottomRight" state="frozen"/>
      <selection pane="topRight"/>
      <selection pane="bottomLeft"/>
      <selection pane="bottomRight" activeCell="P37" sqref="P37"/>
    </sheetView>
  </sheetViews>
  <sheetFormatPr baseColWidth="10" defaultColWidth="8.83203125" defaultRowHeight="15" x14ac:dyDescent="0.2"/>
  <cols>
    <col min="1" max="1" width="22" customWidth="1"/>
    <col min="2" max="2" width="8" customWidth="1"/>
    <col min="3" max="3" width="60" customWidth="1"/>
  </cols>
  <sheetData>
    <row r="1" spans="1:3" ht="22" customHeight="1" x14ac:dyDescent="0.2">
      <c r="A1" s="121" t="s">
        <v>334</v>
      </c>
      <c r="B1" s="100"/>
      <c r="C1" s="100"/>
    </row>
    <row r="2" spans="1:3" x14ac:dyDescent="0.2">
      <c r="A2" s="53" t="s">
        <v>255</v>
      </c>
      <c r="B2" s="53" t="s">
        <v>179</v>
      </c>
      <c r="C2" s="53" t="s">
        <v>335</v>
      </c>
    </row>
    <row r="3" spans="1:3" ht="16" x14ac:dyDescent="0.2">
      <c r="A3" s="37" t="s">
        <v>194</v>
      </c>
      <c r="B3" s="38" t="s">
        <v>195</v>
      </c>
      <c r="C3" s="90" t="s">
        <v>336</v>
      </c>
    </row>
    <row r="4" spans="1:3" ht="16" x14ac:dyDescent="0.2">
      <c r="A4" s="43" t="s">
        <v>197</v>
      </c>
      <c r="B4" s="44" t="s">
        <v>198</v>
      </c>
      <c r="C4" s="91" t="s">
        <v>337</v>
      </c>
    </row>
    <row r="5" spans="1:3" ht="16" x14ac:dyDescent="0.2">
      <c r="A5" s="37" t="s">
        <v>199</v>
      </c>
      <c r="B5" s="38" t="s">
        <v>200</v>
      </c>
      <c r="C5" s="90" t="s">
        <v>338</v>
      </c>
    </row>
    <row r="6" spans="1:3" ht="16" x14ac:dyDescent="0.2">
      <c r="A6" s="43" t="s">
        <v>202</v>
      </c>
      <c r="B6" s="44" t="s">
        <v>203</v>
      </c>
      <c r="C6" s="91" t="s">
        <v>339</v>
      </c>
    </row>
    <row r="7" spans="1:3" ht="16" x14ac:dyDescent="0.2">
      <c r="A7" s="37" t="s">
        <v>204</v>
      </c>
      <c r="B7" s="38" t="s">
        <v>205</v>
      </c>
      <c r="C7" s="90" t="s">
        <v>337</v>
      </c>
    </row>
    <row r="8" spans="1:3" ht="16" x14ac:dyDescent="0.2">
      <c r="A8" s="43" t="s">
        <v>206</v>
      </c>
      <c r="B8" s="44" t="s">
        <v>207</v>
      </c>
      <c r="C8" s="91" t="s">
        <v>339</v>
      </c>
    </row>
    <row r="9" spans="1:3" ht="16" x14ac:dyDescent="0.2">
      <c r="A9" s="37" t="s">
        <v>208</v>
      </c>
      <c r="B9" s="38" t="s">
        <v>209</v>
      </c>
      <c r="C9" s="90" t="s">
        <v>337</v>
      </c>
    </row>
    <row r="10" spans="1:3" ht="16" x14ac:dyDescent="0.2">
      <c r="A10" s="43" t="s">
        <v>210</v>
      </c>
      <c r="B10" s="44" t="s">
        <v>211</v>
      </c>
      <c r="C10" s="91" t="s">
        <v>338</v>
      </c>
    </row>
    <row r="11" spans="1:3" ht="16" x14ac:dyDescent="0.2">
      <c r="A11" s="37" t="s">
        <v>212</v>
      </c>
      <c r="B11" s="38" t="s">
        <v>213</v>
      </c>
      <c r="C11" s="90" t="s">
        <v>61</v>
      </c>
    </row>
    <row r="12" spans="1:3" ht="16" x14ac:dyDescent="0.2">
      <c r="A12" s="43" t="s">
        <v>215</v>
      </c>
      <c r="B12" s="44" t="s">
        <v>216</v>
      </c>
      <c r="C12" s="91" t="s">
        <v>340</v>
      </c>
    </row>
    <row r="13" spans="1:3" ht="16" x14ac:dyDescent="0.2">
      <c r="A13" s="37" t="s">
        <v>218</v>
      </c>
      <c r="B13" s="38" t="s">
        <v>219</v>
      </c>
      <c r="C13" s="90" t="s">
        <v>341</v>
      </c>
    </row>
    <row r="14" spans="1:3" ht="16" x14ac:dyDescent="0.2">
      <c r="A14" s="43" t="s">
        <v>220</v>
      </c>
      <c r="B14" s="44" t="s">
        <v>221</v>
      </c>
      <c r="C14" s="91" t="s">
        <v>342</v>
      </c>
    </row>
    <row r="15" spans="1:3" ht="16" x14ac:dyDescent="0.2">
      <c r="A15" s="37" t="s">
        <v>222</v>
      </c>
      <c r="B15" s="38" t="s">
        <v>223</v>
      </c>
      <c r="C15" s="90" t="s">
        <v>343</v>
      </c>
    </row>
    <row r="16" spans="1:3" ht="16" x14ac:dyDescent="0.2">
      <c r="A16" s="43" t="s">
        <v>224</v>
      </c>
      <c r="B16" s="44" t="s">
        <v>225</v>
      </c>
      <c r="C16" s="91" t="s">
        <v>344</v>
      </c>
    </row>
    <row r="17" spans="1:3" ht="16" x14ac:dyDescent="0.2">
      <c r="A17" s="37" t="s">
        <v>226</v>
      </c>
      <c r="B17" s="38" t="s">
        <v>227</v>
      </c>
      <c r="C17" s="90" t="s">
        <v>345</v>
      </c>
    </row>
    <row r="18" spans="1:3" ht="16" x14ac:dyDescent="0.2">
      <c r="A18" s="43" t="s">
        <v>228</v>
      </c>
      <c r="B18" s="44" t="s">
        <v>229</v>
      </c>
      <c r="C18" s="91" t="s">
        <v>341</v>
      </c>
    </row>
    <row r="19" spans="1:3" ht="16" x14ac:dyDescent="0.2">
      <c r="A19" s="37" t="s">
        <v>230</v>
      </c>
      <c r="B19" s="38" t="s">
        <v>231</v>
      </c>
      <c r="C19" s="90" t="s">
        <v>346</v>
      </c>
    </row>
    <row r="20" spans="1:3" ht="16" x14ac:dyDescent="0.2">
      <c r="A20" s="43" t="s">
        <v>232</v>
      </c>
      <c r="B20" s="44" t="s">
        <v>233</v>
      </c>
      <c r="C20" s="91" t="s">
        <v>347</v>
      </c>
    </row>
    <row r="21" spans="1:3" ht="16" x14ac:dyDescent="0.2">
      <c r="A21" s="37" t="s">
        <v>234</v>
      </c>
      <c r="B21" s="38" t="s">
        <v>235</v>
      </c>
      <c r="C21" s="90" t="s">
        <v>348</v>
      </c>
    </row>
    <row r="22" spans="1:3" ht="16" x14ac:dyDescent="0.2">
      <c r="A22" s="43" t="s">
        <v>236</v>
      </c>
      <c r="B22" s="44" t="s">
        <v>237</v>
      </c>
      <c r="C22" s="91" t="s">
        <v>349</v>
      </c>
    </row>
    <row r="23" spans="1:3" ht="16" x14ac:dyDescent="0.2">
      <c r="A23" s="37" t="s">
        <v>238</v>
      </c>
      <c r="B23" s="38" t="s">
        <v>239</v>
      </c>
      <c r="C23" s="90" t="s">
        <v>350</v>
      </c>
    </row>
    <row r="24" spans="1:3" ht="16" x14ac:dyDescent="0.2">
      <c r="A24" s="43" t="s">
        <v>240</v>
      </c>
      <c r="B24" s="44" t="s">
        <v>241</v>
      </c>
      <c r="C24" s="91" t="s">
        <v>351</v>
      </c>
    </row>
    <row r="25" spans="1:3" ht="16" x14ac:dyDescent="0.2">
      <c r="A25" s="37" t="s">
        <v>242</v>
      </c>
      <c r="B25" s="38" t="s">
        <v>243</v>
      </c>
      <c r="C25" s="90" t="s">
        <v>352</v>
      </c>
    </row>
    <row r="26" spans="1:3" ht="16" x14ac:dyDescent="0.2">
      <c r="A26" s="43" t="s">
        <v>244</v>
      </c>
      <c r="B26" s="44" t="s">
        <v>245</v>
      </c>
      <c r="C26" s="91" t="s">
        <v>353</v>
      </c>
    </row>
    <row r="27" spans="1:3" ht="16" x14ac:dyDescent="0.2">
      <c r="A27" s="37" t="s">
        <v>246</v>
      </c>
      <c r="B27" s="38" t="s">
        <v>247</v>
      </c>
      <c r="C27" s="90" t="s">
        <v>354</v>
      </c>
    </row>
    <row r="29" spans="1:3" ht="16" x14ac:dyDescent="0.2">
      <c r="A29" s="120" t="s">
        <v>355</v>
      </c>
      <c r="B29" s="100"/>
      <c r="C29" s="100"/>
    </row>
    <row r="30" spans="1:3" x14ac:dyDescent="0.2">
      <c r="A30" s="53" t="s">
        <v>356</v>
      </c>
      <c r="B30" s="53" t="s">
        <v>357</v>
      </c>
      <c r="C30" s="53" t="s">
        <v>358</v>
      </c>
    </row>
    <row r="31" spans="1:3" x14ac:dyDescent="0.2">
      <c r="A31" s="92" t="s">
        <v>359</v>
      </c>
      <c r="B31" s="92" t="s">
        <v>360</v>
      </c>
      <c r="C31" s="92" t="s">
        <v>361</v>
      </c>
    </row>
    <row r="32" spans="1:3" x14ac:dyDescent="0.2">
      <c r="A32" s="92" t="s">
        <v>362</v>
      </c>
      <c r="B32" s="92" t="s">
        <v>363</v>
      </c>
      <c r="C32" s="92" t="s">
        <v>364</v>
      </c>
    </row>
    <row r="33" spans="1:3" x14ac:dyDescent="0.2">
      <c r="A33" s="92" t="s">
        <v>365</v>
      </c>
      <c r="B33" s="92" t="s">
        <v>360</v>
      </c>
      <c r="C33" s="92" t="s">
        <v>361</v>
      </c>
    </row>
    <row r="34" spans="1:3" x14ac:dyDescent="0.2">
      <c r="A34" s="92" t="s">
        <v>366</v>
      </c>
      <c r="B34" s="92" t="s">
        <v>363</v>
      </c>
      <c r="C34" s="92" t="s">
        <v>364</v>
      </c>
    </row>
    <row r="35" spans="1:3" x14ac:dyDescent="0.2">
      <c r="A35" s="92" t="s">
        <v>367</v>
      </c>
      <c r="B35" s="92" t="s">
        <v>360</v>
      </c>
      <c r="C35" s="92" t="s">
        <v>361</v>
      </c>
    </row>
    <row r="36" spans="1:3" x14ac:dyDescent="0.2">
      <c r="A36" s="92" t="s">
        <v>368</v>
      </c>
      <c r="B36" s="92" t="s">
        <v>363</v>
      </c>
      <c r="C36" s="92" t="s">
        <v>364</v>
      </c>
    </row>
    <row r="37" spans="1:3" x14ac:dyDescent="0.2">
      <c r="A37" s="92" t="s">
        <v>369</v>
      </c>
      <c r="B37" s="92" t="s">
        <v>360</v>
      </c>
      <c r="C37" s="92" t="s">
        <v>361</v>
      </c>
    </row>
    <row r="38" spans="1:3" x14ac:dyDescent="0.2">
      <c r="A38" s="92" t="s">
        <v>370</v>
      </c>
      <c r="B38" s="92" t="s">
        <v>360</v>
      </c>
      <c r="C38" s="92" t="s">
        <v>361</v>
      </c>
    </row>
    <row r="39" spans="1:3" x14ac:dyDescent="0.2">
      <c r="A39" s="92" t="s">
        <v>371</v>
      </c>
      <c r="B39" s="92" t="s">
        <v>363</v>
      </c>
      <c r="C39" s="92" t="s">
        <v>364</v>
      </c>
    </row>
  </sheetData>
  <mergeCells count="2">
    <mergeCell ref="A1:C1"/>
    <mergeCell ref="A29:C29"/>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4"/>
  <sheetViews>
    <sheetView showGridLines="0" workbookViewId="0">
      <pane ySplit="2" topLeftCell="A3" activePane="bottomLeft" state="frozen"/>
      <selection pane="bottomLeft" activeCell="C8" sqref="C8"/>
    </sheetView>
  </sheetViews>
  <sheetFormatPr baseColWidth="10" defaultColWidth="8.83203125" defaultRowHeight="15" x14ac:dyDescent="0.2"/>
  <cols>
    <col min="1" max="1" width="8" customWidth="1"/>
    <col min="2" max="2" width="55" customWidth="1"/>
    <col min="3" max="3" width="45" customWidth="1"/>
    <col min="4" max="4" width="22" customWidth="1"/>
  </cols>
  <sheetData>
    <row r="1" spans="1:4" ht="22" customHeight="1" x14ac:dyDescent="0.2">
      <c r="A1" s="121" t="s">
        <v>372</v>
      </c>
      <c r="B1" s="100"/>
      <c r="C1" s="100"/>
      <c r="D1" s="100"/>
    </row>
    <row r="2" spans="1:4" x14ac:dyDescent="0.2">
      <c r="A2" s="53" t="s">
        <v>179</v>
      </c>
      <c r="B2" s="53" t="s">
        <v>373</v>
      </c>
      <c r="C2" s="53" t="s">
        <v>374</v>
      </c>
      <c r="D2" s="53" t="s">
        <v>375</v>
      </c>
    </row>
    <row r="3" spans="1:4" ht="30" customHeight="1" x14ac:dyDescent="0.2">
      <c r="A3" s="70" t="s">
        <v>376</v>
      </c>
      <c r="B3" s="84" t="s">
        <v>377</v>
      </c>
      <c r="C3" s="85" t="s">
        <v>378</v>
      </c>
      <c r="D3" s="84" t="s">
        <v>379</v>
      </c>
    </row>
    <row r="4" spans="1:4" ht="30" customHeight="1" x14ac:dyDescent="0.2">
      <c r="A4" s="74" t="s">
        <v>380</v>
      </c>
      <c r="B4" s="86" t="s">
        <v>381</v>
      </c>
      <c r="C4" s="85" t="s">
        <v>382</v>
      </c>
      <c r="D4" s="86" t="s">
        <v>383</v>
      </c>
    </row>
    <row r="5" spans="1:4" ht="30" customHeight="1" x14ac:dyDescent="0.2">
      <c r="A5" s="70" t="s">
        <v>384</v>
      </c>
      <c r="B5" s="84" t="s">
        <v>385</v>
      </c>
      <c r="C5" s="98" t="s">
        <v>386</v>
      </c>
      <c r="D5" s="84" t="s">
        <v>387</v>
      </c>
    </row>
    <row r="6" spans="1:4" ht="30" customHeight="1" x14ac:dyDescent="0.2">
      <c r="A6" s="74" t="s">
        <v>388</v>
      </c>
      <c r="B6" s="86" t="s">
        <v>389</v>
      </c>
      <c r="C6" s="98" t="s">
        <v>390</v>
      </c>
      <c r="D6" s="86" t="s">
        <v>379</v>
      </c>
    </row>
    <row r="7" spans="1:4" ht="30" customHeight="1" x14ac:dyDescent="0.2">
      <c r="A7" s="70" t="s">
        <v>391</v>
      </c>
      <c r="B7" s="84" t="s">
        <v>392</v>
      </c>
      <c r="C7" s="98" t="s">
        <v>393</v>
      </c>
      <c r="D7" s="84" t="s">
        <v>387</v>
      </c>
    </row>
    <row r="8" spans="1:4" ht="30" customHeight="1" x14ac:dyDescent="0.2">
      <c r="A8" s="74" t="s">
        <v>394</v>
      </c>
      <c r="B8" s="86" t="s">
        <v>395</v>
      </c>
      <c r="C8" s="98" t="s">
        <v>396</v>
      </c>
      <c r="D8" s="86" t="s">
        <v>397</v>
      </c>
    </row>
    <row r="9" spans="1:4" ht="30" customHeight="1" x14ac:dyDescent="0.2">
      <c r="A9" s="70" t="s">
        <v>398</v>
      </c>
      <c r="B9" s="84" t="s">
        <v>399</v>
      </c>
      <c r="C9" s="85" t="s">
        <v>400</v>
      </c>
      <c r="D9" s="84" t="s">
        <v>379</v>
      </c>
    </row>
    <row r="10" spans="1:4" ht="30" customHeight="1" x14ac:dyDescent="0.2">
      <c r="A10" s="74" t="s">
        <v>401</v>
      </c>
      <c r="B10" s="86" t="s">
        <v>402</v>
      </c>
      <c r="C10" s="85" t="s">
        <v>403</v>
      </c>
      <c r="D10" s="86" t="s">
        <v>379</v>
      </c>
    </row>
    <row r="11" spans="1:4" ht="30" customHeight="1" x14ac:dyDescent="0.2">
      <c r="A11" s="70" t="s">
        <v>404</v>
      </c>
      <c r="B11" s="84" t="s">
        <v>405</v>
      </c>
      <c r="C11" s="85" t="s">
        <v>406</v>
      </c>
      <c r="D11" s="84" t="s">
        <v>379</v>
      </c>
    </row>
    <row r="12" spans="1:4" ht="30" customHeight="1" x14ac:dyDescent="0.2">
      <c r="A12" s="74" t="s">
        <v>407</v>
      </c>
      <c r="B12" s="86" t="s">
        <v>408</v>
      </c>
      <c r="C12" s="85" t="s">
        <v>409</v>
      </c>
      <c r="D12" s="86" t="s">
        <v>383</v>
      </c>
    </row>
    <row r="13" spans="1:4" ht="30" customHeight="1" x14ac:dyDescent="0.2">
      <c r="A13" s="70" t="s">
        <v>410</v>
      </c>
      <c r="B13" s="84" t="s">
        <v>411</v>
      </c>
      <c r="C13" s="97" t="s">
        <v>412</v>
      </c>
      <c r="D13" s="84" t="s">
        <v>413</v>
      </c>
    </row>
    <row r="14" spans="1:4" ht="30" customHeight="1" x14ac:dyDescent="0.2">
      <c r="A14" s="74" t="s">
        <v>414</v>
      </c>
      <c r="B14" s="86" t="s">
        <v>415</v>
      </c>
      <c r="C14" s="85" t="s">
        <v>416</v>
      </c>
      <c r="D14" s="86" t="s">
        <v>387</v>
      </c>
    </row>
  </sheetData>
  <mergeCells count="1">
    <mergeCell ref="A1:D1"/>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30"/>
  <sheetViews>
    <sheetView showGridLines="0" workbookViewId="0">
      <pane xSplit="2" ySplit="2" topLeftCell="C3" activePane="bottomRight" state="frozen"/>
      <selection pane="topRight"/>
      <selection pane="bottomLeft"/>
      <selection pane="bottomRight" activeCell="F27" sqref="F27"/>
    </sheetView>
  </sheetViews>
  <sheetFormatPr baseColWidth="10" defaultColWidth="8.83203125" defaultRowHeight="15" x14ac:dyDescent="0.2"/>
  <cols>
    <col min="1" max="1" width="10" customWidth="1"/>
    <col min="2" max="2" width="24" customWidth="1"/>
    <col min="3" max="3" width="8" customWidth="1"/>
    <col min="4" max="6" width="12" customWidth="1"/>
    <col min="7" max="7" width="8" customWidth="1"/>
  </cols>
  <sheetData>
    <row r="1" spans="1:7" ht="22" customHeight="1" x14ac:dyDescent="0.2">
      <c r="A1" s="121" t="s">
        <v>417</v>
      </c>
      <c r="B1" s="100"/>
      <c r="C1" s="100"/>
      <c r="D1" s="100"/>
      <c r="E1" s="100"/>
      <c r="F1" s="100"/>
    </row>
    <row r="2" spans="1:7" x14ac:dyDescent="0.2">
      <c r="A2" s="87" t="s">
        <v>179</v>
      </c>
      <c r="B2" s="87" t="s">
        <v>418</v>
      </c>
      <c r="C2" s="87" t="s">
        <v>419</v>
      </c>
      <c r="D2" s="87" t="s">
        <v>420</v>
      </c>
      <c r="E2" s="87" t="s">
        <v>421</v>
      </c>
      <c r="F2" s="87" t="s">
        <v>422</v>
      </c>
      <c r="G2" s="87" t="s">
        <v>19</v>
      </c>
    </row>
    <row r="3" spans="1:7" x14ac:dyDescent="0.2">
      <c r="A3" s="37" t="s">
        <v>195</v>
      </c>
      <c r="B3" s="37" t="s">
        <v>194</v>
      </c>
      <c r="C3" s="37" t="s">
        <v>423</v>
      </c>
      <c r="D3" s="88"/>
      <c r="E3" s="88"/>
      <c r="F3" s="88" t="s">
        <v>424</v>
      </c>
      <c r="G3" s="88"/>
    </row>
    <row r="4" spans="1:7" x14ac:dyDescent="0.2">
      <c r="A4" s="43" t="s">
        <v>198</v>
      </c>
      <c r="B4" s="43" t="s">
        <v>197</v>
      </c>
      <c r="C4" s="43" t="s">
        <v>423</v>
      </c>
      <c r="D4" s="89"/>
      <c r="E4" s="89"/>
      <c r="F4" s="89" t="s">
        <v>424</v>
      </c>
      <c r="G4" s="89"/>
    </row>
    <row r="5" spans="1:7" x14ac:dyDescent="0.2">
      <c r="A5" s="37" t="s">
        <v>200</v>
      </c>
      <c r="B5" s="37" t="s">
        <v>199</v>
      </c>
      <c r="C5" s="37" t="s">
        <v>423</v>
      </c>
      <c r="D5" s="88"/>
      <c r="E5" s="88"/>
      <c r="F5" s="88" t="s">
        <v>424</v>
      </c>
      <c r="G5" s="88"/>
    </row>
    <row r="6" spans="1:7" x14ac:dyDescent="0.2">
      <c r="A6" s="43" t="s">
        <v>203</v>
      </c>
      <c r="B6" s="43" t="s">
        <v>202</v>
      </c>
      <c r="C6" s="43" t="s">
        <v>423</v>
      </c>
      <c r="D6" s="89"/>
      <c r="E6" s="89"/>
      <c r="F6" s="89" t="s">
        <v>424</v>
      </c>
      <c r="G6" s="89"/>
    </row>
    <row r="7" spans="1:7" x14ac:dyDescent="0.2">
      <c r="A7" s="37" t="s">
        <v>205</v>
      </c>
      <c r="B7" s="37" t="s">
        <v>204</v>
      </c>
      <c r="C7" s="37" t="s">
        <v>423</v>
      </c>
      <c r="D7" s="88"/>
      <c r="E7" s="88"/>
      <c r="F7" s="88" t="s">
        <v>424</v>
      </c>
      <c r="G7" s="88"/>
    </row>
    <row r="8" spans="1:7" x14ac:dyDescent="0.2">
      <c r="A8" s="43" t="s">
        <v>207</v>
      </c>
      <c r="B8" s="43" t="s">
        <v>206</v>
      </c>
      <c r="C8" s="43" t="s">
        <v>423</v>
      </c>
      <c r="D8" s="89"/>
      <c r="E8" s="89"/>
      <c r="F8" s="89" t="s">
        <v>424</v>
      </c>
      <c r="G8" s="89"/>
    </row>
    <row r="9" spans="1:7" x14ac:dyDescent="0.2">
      <c r="A9" s="37" t="s">
        <v>209</v>
      </c>
      <c r="B9" s="37" t="s">
        <v>208</v>
      </c>
      <c r="C9" s="37" t="s">
        <v>423</v>
      </c>
      <c r="D9" s="88"/>
      <c r="E9" s="88"/>
      <c r="F9" s="88" t="s">
        <v>424</v>
      </c>
      <c r="G9" s="88"/>
    </row>
    <row r="10" spans="1:7" x14ac:dyDescent="0.2">
      <c r="A10" s="43" t="s">
        <v>211</v>
      </c>
      <c r="B10" s="43" t="s">
        <v>210</v>
      </c>
      <c r="C10" s="43" t="s">
        <v>423</v>
      </c>
      <c r="D10" s="89"/>
      <c r="E10" s="89"/>
      <c r="F10" s="89" t="s">
        <v>424</v>
      </c>
      <c r="G10" s="89"/>
    </row>
    <row r="11" spans="1:7" x14ac:dyDescent="0.2">
      <c r="A11" s="37" t="s">
        <v>213</v>
      </c>
      <c r="B11" s="37" t="s">
        <v>212</v>
      </c>
      <c r="C11" s="37" t="s">
        <v>425</v>
      </c>
      <c r="D11" s="88"/>
      <c r="E11" s="88" t="s">
        <v>424</v>
      </c>
      <c r="F11" s="88"/>
      <c r="G11" s="88"/>
    </row>
    <row r="12" spans="1:7" x14ac:dyDescent="0.2">
      <c r="A12" s="43" t="s">
        <v>216</v>
      </c>
      <c r="B12" s="43" t="s">
        <v>215</v>
      </c>
      <c r="C12" s="43" t="s">
        <v>425</v>
      </c>
      <c r="D12" s="89"/>
      <c r="E12" s="89" t="s">
        <v>424</v>
      </c>
      <c r="F12" s="89" t="s">
        <v>424</v>
      </c>
      <c r="G12" s="89"/>
    </row>
    <row r="13" spans="1:7" x14ac:dyDescent="0.2">
      <c r="A13" s="37" t="s">
        <v>219</v>
      </c>
      <c r="B13" s="37" t="s">
        <v>218</v>
      </c>
      <c r="C13" s="37" t="s">
        <v>425</v>
      </c>
      <c r="D13" s="88"/>
      <c r="E13" s="88" t="s">
        <v>424</v>
      </c>
      <c r="F13" s="88"/>
      <c r="G13" s="88"/>
    </row>
    <row r="14" spans="1:7" x14ac:dyDescent="0.2">
      <c r="A14" s="43" t="s">
        <v>221</v>
      </c>
      <c r="B14" s="43" t="s">
        <v>220</v>
      </c>
      <c r="C14" s="43" t="s">
        <v>425</v>
      </c>
      <c r="D14" s="89"/>
      <c r="E14" s="89" t="s">
        <v>424</v>
      </c>
      <c r="F14" s="89" t="s">
        <v>424</v>
      </c>
      <c r="G14" s="89"/>
    </row>
    <row r="15" spans="1:7" x14ac:dyDescent="0.2">
      <c r="A15" s="37" t="s">
        <v>223</v>
      </c>
      <c r="B15" s="37" t="s">
        <v>222</v>
      </c>
      <c r="C15" s="37" t="s">
        <v>425</v>
      </c>
      <c r="D15" s="88"/>
      <c r="E15" s="88" t="s">
        <v>424</v>
      </c>
      <c r="F15" s="88" t="s">
        <v>424</v>
      </c>
      <c r="G15" s="88"/>
    </row>
    <row r="16" spans="1:7" x14ac:dyDescent="0.2">
      <c r="A16" s="43" t="s">
        <v>225</v>
      </c>
      <c r="B16" s="43" t="s">
        <v>224</v>
      </c>
      <c r="C16" s="43" t="s">
        <v>425</v>
      </c>
      <c r="D16" s="89"/>
      <c r="E16" s="89" t="s">
        <v>424</v>
      </c>
      <c r="F16" s="89" t="s">
        <v>424</v>
      </c>
      <c r="G16" s="89"/>
    </row>
    <row r="17" spans="1:7" x14ac:dyDescent="0.2">
      <c r="A17" s="37" t="s">
        <v>227</v>
      </c>
      <c r="B17" s="37" t="s">
        <v>226</v>
      </c>
      <c r="C17" s="37" t="s">
        <v>425</v>
      </c>
      <c r="D17" s="88"/>
      <c r="E17" s="88" t="s">
        <v>424</v>
      </c>
      <c r="F17" s="88" t="s">
        <v>424</v>
      </c>
      <c r="G17" s="88"/>
    </row>
    <row r="18" spans="1:7" x14ac:dyDescent="0.2">
      <c r="A18" s="43" t="s">
        <v>229</v>
      </c>
      <c r="B18" s="43" t="s">
        <v>228</v>
      </c>
      <c r="C18" s="43" t="s">
        <v>425</v>
      </c>
      <c r="D18" s="89"/>
      <c r="E18" s="89" t="s">
        <v>424</v>
      </c>
      <c r="F18" s="89" t="s">
        <v>424</v>
      </c>
      <c r="G18" s="89"/>
    </row>
    <row r="19" spans="1:7" x14ac:dyDescent="0.2">
      <c r="A19" s="37" t="s">
        <v>231</v>
      </c>
      <c r="B19" s="37" t="s">
        <v>230</v>
      </c>
      <c r="C19" s="37" t="s">
        <v>426</v>
      </c>
      <c r="D19" s="88" t="s">
        <v>424</v>
      </c>
      <c r="E19" s="88"/>
      <c r="F19" s="88"/>
      <c r="G19" s="88"/>
    </row>
    <row r="20" spans="1:7" x14ac:dyDescent="0.2">
      <c r="A20" s="43" t="s">
        <v>233</v>
      </c>
      <c r="B20" s="43" t="s">
        <v>232</v>
      </c>
      <c r="C20" s="43" t="s">
        <v>426</v>
      </c>
      <c r="D20" s="89" t="s">
        <v>424</v>
      </c>
      <c r="E20" s="89"/>
      <c r="F20" s="89"/>
      <c r="G20" s="89"/>
    </row>
    <row r="21" spans="1:7" x14ac:dyDescent="0.2">
      <c r="A21" s="37" t="s">
        <v>235</v>
      </c>
      <c r="B21" s="37" t="s">
        <v>234</v>
      </c>
      <c r="C21" s="37" t="s">
        <v>426</v>
      </c>
      <c r="D21" s="88"/>
      <c r="E21" s="88" t="s">
        <v>424</v>
      </c>
      <c r="F21" s="88"/>
      <c r="G21" s="88"/>
    </row>
    <row r="22" spans="1:7" x14ac:dyDescent="0.2">
      <c r="A22" s="43" t="s">
        <v>237</v>
      </c>
      <c r="B22" s="43" t="s">
        <v>236</v>
      </c>
      <c r="C22" s="43" t="s">
        <v>426</v>
      </c>
      <c r="D22" s="89"/>
      <c r="E22" s="89" t="s">
        <v>424</v>
      </c>
      <c r="F22" s="89"/>
      <c r="G22" s="89"/>
    </row>
    <row r="23" spans="1:7" x14ac:dyDescent="0.2">
      <c r="A23" s="37" t="s">
        <v>239</v>
      </c>
      <c r="B23" s="37" t="s">
        <v>238</v>
      </c>
      <c r="C23" s="37" t="s">
        <v>427</v>
      </c>
      <c r="D23" s="88" t="s">
        <v>424</v>
      </c>
      <c r="E23" s="88"/>
      <c r="F23" s="88"/>
      <c r="G23" s="88" t="s">
        <v>424</v>
      </c>
    </row>
    <row r="24" spans="1:7" x14ac:dyDescent="0.2">
      <c r="A24" s="43" t="s">
        <v>241</v>
      </c>
      <c r="B24" s="43" t="s">
        <v>240</v>
      </c>
      <c r="C24" s="43" t="s">
        <v>427</v>
      </c>
      <c r="D24" s="89" t="s">
        <v>424</v>
      </c>
      <c r="E24" s="89"/>
      <c r="F24" s="89"/>
      <c r="G24" s="89" t="s">
        <v>424</v>
      </c>
    </row>
    <row r="25" spans="1:7" x14ac:dyDescent="0.2">
      <c r="A25" s="37" t="s">
        <v>243</v>
      </c>
      <c r="B25" s="37" t="s">
        <v>242</v>
      </c>
      <c r="C25" s="37" t="s">
        <v>427</v>
      </c>
      <c r="D25" s="88" t="s">
        <v>424</v>
      </c>
      <c r="E25" s="88"/>
      <c r="F25" s="88"/>
      <c r="G25" s="88" t="s">
        <v>424</v>
      </c>
    </row>
    <row r="26" spans="1:7" x14ac:dyDescent="0.2">
      <c r="A26" s="43" t="s">
        <v>245</v>
      </c>
      <c r="B26" s="43" t="s">
        <v>244</v>
      </c>
      <c r="C26" s="43" t="s">
        <v>427</v>
      </c>
      <c r="D26" s="89" t="s">
        <v>424</v>
      </c>
      <c r="E26" s="89"/>
      <c r="F26" s="89"/>
      <c r="G26" s="89" t="s">
        <v>424</v>
      </c>
    </row>
    <row r="27" spans="1:7" x14ac:dyDescent="0.2">
      <c r="A27" s="37" t="s">
        <v>247</v>
      </c>
      <c r="B27" s="37" t="s">
        <v>246</v>
      </c>
      <c r="C27" s="37" t="s">
        <v>427</v>
      </c>
      <c r="D27" s="88" t="s">
        <v>424</v>
      </c>
      <c r="E27" s="88"/>
      <c r="F27" s="88"/>
      <c r="G27" s="88" t="s">
        <v>424</v>
      </c>
    </row>
    <row r="29" spans="1:7" x14ac:dyDescent="0.2">
      <c r="A29" s="123" t="s">
        <v>428</v>
      </c>
      <c r="B29" s="100"/>
      <c r="C29" s="100"/>
      <c r="D29" s="100"/>
      <c r="E29" s="100"/>
      <c r="F29" s="100"/>
      <c r="G29" s="100"/>
    </row>
    <row r="30" spans="1:7" x14ac:dyDescent="0.2">
      <c r="A30" s="122" t="s">
        <v>429</v>
      </c>
      <c r="B30" s="100"/>
      <c r="C30" s="100"/>
      <c r="D30" s="100"/>
      <c r="E30" s="100"/>
      <c r="F30" s="100"/>
      <c r="G30" s="100"/>
    </row>
  </sheetData>
  <mergeCells count="3">
    <mergeCell ref="A30:G30"/>
    <mergeCell ref="A1:F1"/>
    <mergeCell ref="A29:G2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30"/>
  <sheetViews>
    <sheetView showGridLines="0" tabSelected="1" workbookViewId="0">
      <selection activeCell="B32" sqref="B32"/>
    </sheetView>
  </sheetViews>
  <sheetFormatPr baseColWidth="10" defaultColWidth="8.83203125" defaultRowHeight="15" x14ac:dyDescent="0.2"/>
  <cols>
    <col min="1" max="1" width="8" customWidth="1"/>
    <col min="2" max="2" width="85" customWidth="1"/>
  </cols>
  <sheetData>
    <row r="1" spans="1:2" ht="22" customHeight="1" x14ac:dyDescent="0.2">
      <c r="A1" s="121" t="s">
        <v>430</v>
      </c>
      <c r="B1" s="100"/>
    </row>
    <row r="3" spans="1:2" ht="16" x14ac:dyDescent="0.2">
      <c r="A3" s="78" t="s">
        <v>431</v>
      </c>
    </row>
    <row r="4" spans="1:2" ht="26" customHeight="1" x14ac:dyDescent="0.2">
      <c r="A4" s="70" t="s">
        <v>267</v>
      </c>
      <c r="B4" s="84" t="s">
        <v>268</v>
      </c>
    </row>
    <row r="5" spans="1:2" ht="26" customHeight="1" x14ac:dyDescent="0.2">
      <c r="A5" s="74" t="s">
        <v>271</v>
      </c>
      <c r="B5" s="86" t="s">
        <v>272</v>
      </c>
    </row>
    <row r="6" spans="1:2" ht="26" customHeight="1" x14ac:dyDescent="0.2">
      <c r="A6" s="70" t="s">
        <v>274</v>
      </c>
      <c r="B6" s="84" t="s">
        <v>275</v>
      </c>
    </row>
    <row r="7" spans="1:2" ht="26" customHeight="1" x14ac:dyDescent="0.2">
      <c r="A7" s="74" t="s">
        <v>276</v>
      </c>
      <c r="B7" s="86" t="s">
        <v>277</v>
      </c>
    </row>
    <row r="8" spans="1:2" ht="26" customHeight="1" x14ac:dyDescent="0.2">
      <c r="A8" s="70" t="s">
        <v>278</v>
      </c>
      <c r="B8" s="84" t="s">
        <v>279</v>
      </c>
    </row>
    <row r="9" spans="1:2" ht="26" customHeight="1" x14ac:dyDescent="0.2">
      <c r="A9" s="74" t="s">
        <v>280</v>
      </c>
      <c r="B9" s="86" t="s">
        <v>281</v>
      </c>
    </row>
    <row r="10" spans="1:2" ht="26" customHeight="1" x14ac:dyDescent="0.2">
      <c r="A10" s="70" t="s">
        <v>282</v>
      </c>
      <c r="B10" s="84" t="s">
        <v>283</v>
      </c>
    </row>
    <row r="11" spans="1:2" ht="26" customHeight="1" x14ac:dyDescent="0.2">
      <c r="A11" s="74" t="s">
        <v>284</v>
      </c>
      <c r="B11" s="86" t="s">
        <v>285</v>
      </c>
    </row>
    <row r="12" spans="1:2" ht="26" customHeight="1" x14ac:dyDescent="0.2">
      <c r="A12" s="70" t="s">
        <v>286</v>
      </c>
      <c r="B12" s="84" t="s">
        <v>287</v>
      </c>
    </row>
    <row r="13" spans="1:2" ht="26" customHeight="1" x14ac:dyDescent="0.2">
      <c r="A13" s="74" t="s">
        <v>288</v>
      </c>
      <c r="B13" s="86" t="s">
        <v>289</v>
      </c>
    </row>
    <row r="14" spans="1:2" ht="26" customHeight="1" x14ac:dyDescent="0.2">
      <c r="A14" s="70" t="s">
        <v>292</v>
      </c>
      <c r="B14" s="84" t="s">
        <v>293</v>
      </c>
    </row>
    <row r="15" spans="1:2" ht="26" customHeight="1" x14ac:dyDescent="0.2">
      <c r="A15" s="74" t="s">
        <v>294</v>
      </c>
      <c r="B15" s="86" t="s">
        <v>295</v>
      </c>
    </row>
    <row r="16" spans="1:2" ht="26" customHeight="1" x14ac:dyDescent="0.2">
      <c r="A16" s="70" t="s">
        <v>296</v>
      </c>
      <c r="B16" s="84" t="s">
        <v>297</v>
      </c>
    </row>
    <row r="17" spans="1:2" ht="26" customHeight="1" x14ac:dyDescent="0.2">
      <c r="A17" s="74" t="s">
        <v>298</v>
      </c>
      <c r="B17" s="86" t="s">
        <v>299</v>
      </c>
    </row>
    <row r="18" spans="1:2" ht="26" customHeight="1" x14ac:dyDescent="0.2">
      <c r="A18" s="70" t="s">
        <v>300</v>
      </c>
      <c r="B18" s="84" t="s">
        <v>301</v>
      </c>
    </row>
    <row r="19" spans="1:2" ht="26" customHeight="1" x14ac:dyDescent="0.2">
      <c r="A19" s="74" t="s">
        <v>302</v>
      </c>
      <c r="B19" s="86" t="s">
        <v>303</v>
      </c>
    </row>
    <row r="20" spans="1:2" ht="26" customHeight="1" x14ac:dyDescent="0.2">
      <c r="A20" s="70" t="s">
        <v>305</v>
      </c>
      <c r="B20" s="84" t="s">
        <v>306</v>
      </c>
    </row>
    <row r="21" spans="1:2" ht="26" customHeight="1" x14ac:dyDescent="0.2">
      <c r="A21" s="74" t="s">
        <v>308</v>
      </c>
      <c r="B21" s="86" t="s">
        <v>309</v>
      </c>
    </row>
    <row r="23" spans="1:2" ht="16" x14ac:dyDescent="0.2">
      <c r="A23" s="78" t="s">
        <v>432</v>
      </c>
    </row>
    <row r="24" spans="1:2" ht="16" x14ac:dyDescent="0.2">
      <c r="A24" s="70" t="s">
        <v>317</v>
      </c>
      <c r="B24" s="90" t="s">
        <v>433</v>
      </c>
    </row>
    <row r="25" spans="1:2" ht="16" x14ac:dyDescent="0.2">
      <c r="A25" s="74" t="s">
        <v>319</v>
      </c>
      <c r="B25" s="91" t="s">
        <v>434</v>
      </c>
    </row>
    <row r="26" spans="1:2" ht="16" x14ac:dyDescent="0.2">
      <c r="A26" s="70" t="s">
        <v>321</v>
      </c>
      <c r="B26" s="90" t="s">
        <v>435</v>
      </c>
    </row>
    <row r="27" spans="1:2" ht="16" x14ac:dyDescent="0.2">
      <c r="A27" s="74" t="s">
        <v>323</v>
      </c>
      <c r="B27" s="91" t="s">
        <v>436</v>
      </c>
    </row>
    <row r="28" spans="1:2" ht="16" x14ac:dyDescent="0.2">
      <c r="A28" s="70" t="s">
        <v>325</v>
      </c>
      <c r="B28" s="90" t="s">
        <v>437</v>
      </c>
    </row>
    <row r="29" spans="1:2" ht="16" x14ac:dyDescent="0.2">
      <c r="A29" s="74" t="s">
        <v>438</v>
      </c>
      <c r="B29" s="91" t="s">
        <v>439</v>
      </c>
    </row>
    <row r="30" spans="1:2" ht="16" x14ac:dyDescent="0.2">
      <c r="A30" s="70" t="s">
        <v>327</v>
      </c>
      <c r="B30" s="90" t="s">
        <v>440</v>
      </c>
    </row>
  </sheetData>
  <mergeCells count="1">
    <mergeCell ref="A1:B1"/>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17"/>
  <sheetViews>
    <sheetView workbookViewId="0"/>
  </sheetViews>
  <sheetFormatPr baseColWidth="10" defaultColWidth="8.83203125" defaultRowHeight="15" x14ac:dyDescent="0.2"/>
  <sheetData>
    <row r="1" spans="1:4" x14ac:dyDescent="0.2">
      <c r="A1" t="s">
        <v>23</v>
      </c>
      <c r="B1" t="s">
        <v>21</v>
      </c>
      <c r="C1" t="s">
        <v>25</v>
      </c>
      <c r="D1" t="s">
        <v>19</v>
      </c>
    </row>
    <row r="2" spans="1:4" x14ac:dyDescent="0.2">
      <c r="A2" t="s">
        <v>69</v>
      </c>
      <c r="B2" t="s">
        <v>41</v>
      </c>
      <c r="C2" t="s">
        <v>49</v>
      </c>
      <c r="D2" t="s">
        <v>63</v>
      </c>
    </row>
    <row r="3" spans="1:4" x14ac:dyDescent="0.2">
      <c r="A3" t="s">
        <v>43</v>
      </c>
      <c r="B3" t="s">
        <v>40</v>
      </c>
      <c r="C3" t="s">
        <v>46</v>
      </c>
      <c r="D3" t="s">
        <v>65</v>
      </c>
    </row>
    <row r="4" spans="1:4" x14ac:dyDescent="0.2">
      <c r="A4" t="s">
        <v>93</v>
      </c>
      <c r="B4" t="s">
        <v>42</v>
      </c>
      <c r="C4" t="s">
        <v>48</v>
      </c>
      <c r="D4" t="s">
        <v>109</v>
      </c>
    </row>
    <row r="5" spans="1:4" x14ac:dyDescent="0.2">
      <c r="A5" t="s">
        <v>68</v>
      </c>
      <c r="B5" t="s">
        <v>110</v>
      </c>
      <c r="C5" t="s">
        <v>47</v>
      </c>
      <c r="D5" t="s">
        <v>39</v>
      </c>
    </row>
    <row r="6" spans="1:4" x14ac:dyDescent="0.2">
      <c r="A6" t="s">
        <v>45</v>
      </c>
      <c r="B6" t="s">
        <v>66</v>
      </c>
      <c r="C6" t="s">
        <v>71</v>
      </c>
      <c r="D6" t="s">
        <v>64</v>
      </c>
    </row>
    <row r="7" spans="1:4" x14ac:dyDescent="0.2">
      <c r="A7" t="s">
        <v>44</v>
      </c>
      <c r="B7" t="s">
        <v>91</v>
      </c>
      <c r="C7" t="s">
        <v>51</v>
      </c>
    </row>
    <row r="8" spans="1:4" x14ac:dyDescent="0.2">
      <c r="A8" t="s">
        <v>70</v>
      </c>
      <c r="B8" t="s">
        <v>125</v>
      </c>
      <c r="C8" t="s">
        <v>75</v>
      </c>
    </row>
    <row r="9" spans="1:4" x14ac:dyDescent="0.2">
      <c r="B9" t="s">
        <v>124</v>
      </c>
      <c r="C9" t="s">
        <v>50</v>
      </c>
    </row>
    <row r="10" spans="1:4" x14ac:dyDescent="0.2">
      <c r="B10" t="s">
        <v>67</v>
      </c>
      <c r="C10" t="s">
        <v>76</v>
      </c>
    </row>
    <row r="11" spans="1:4" x14ac:dyDescent="0.2">
      <c r="B11" t="s">
        <v>92</v>
      </c>
      <c r="C11" t="s">
        <v>95</v>
      </c>
    </row>
    <row r="12" spans="1:4" x14ac:dyDescent="0.2">
      <c r="C12" t="s">
        <v>73</v>
      </c>
    </row>
    <row r="13" spans="1:4" x14ac:dyDescent="0.2">
      <c r="C13" t="s">
        <v>96</v>
      </c>
    </row>
    <row r="14" spans="1:4" x14ac:dyDescent="0.2">
      <c r="C14" t="s">
        <v>77</v>
      </c>
    </row>
    <row r="15" spans="1:4" x14ac:dyDescent="0.2">
      <c r="C15" t="s">
        <v>74</v>
      </c>
    </row>
    <row r="16" spans="1:4" x14ac:dyDescent="0.2">
      <c r="C16" t="s">
        <v>94</v>
      </c>
    </row>
    <row r="17" spans="3:3" x14ac:dyDescent="0.2">
      <c r="C17" t="s">
        <v>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11</vt:i4>
      </vt:variant>
    </vt:vector>
  </HeadingPairs>
  <TitlesOfParts>
    <vt:vector size="11" baseType="lpstr">
      <vt:lpstr>Instrucciones</vt:lpstr>
      <vt:lpstr>Calendario Octubre 2026</vt:lpstr>
      <vt:lpstr>Cobertura por día</vt:lpstr>
      <vt:lpstr>Resumen de guardias</vt:lpstr>
      <vt:lpstr>Mapa de bloqueos</vt:lpstr>
      <vt:lpstr>Validación H-01 a H-18</vt:lpstr>
      <vt:lpstr>Bloqueos y vacaciones</vt:lpstr>
      <vt:lpstr>Preguntas pendientes (Q)</vt:lpstr>
      <vt:lpstr>Plantilla y elegibilidad</vt:lpstr>
      <vt:lpstr>Reglas (resumen)</vt:lpstr>
      <vt:lpstr>ListaValida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Pablo Rodríguez</cp:lastModifiedBy>
  <cp:revision/>
  <dcterms:created xsi:type="dcterms:W3CDTF">2026-08-09T14:05:43Z</dcterms:created>
  <dcterms:modified xsi:type="dcterms:W3CDTF">2026-08-10T08:28:37Z</dcterms:modified>
  <cp:category/>
  <cp:contentStatus/>
</cp:coreProperties>
</file>