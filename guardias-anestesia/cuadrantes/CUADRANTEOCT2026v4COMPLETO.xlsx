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diaria" sheetId="1" state="visible" r:id="rId3"/>
    <sheet name="Tabla por residente" sheetId="2" state="visible" r:id="rId4"/>
    <sheet name="Resumen de carga" sheetId="3" state="visible" r:id="rId5"/>
    <sheet name="Validación" sheetId="4" state="visible" r:id="rId6"/>
    <sheet name="Excepciones y supues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<sst xmlns="http://schemas.openxmlformats.org/spreadsheetml/2006/main" count="959" uniqueCount="195">
  <si>
    <t xml:space="preserve">Día#</t>
  </si>
  <si>
    <t xml:space="preserve">Fecha</t>
  </si>
  <si>
    <t xml:space="preserve">Día sem.</t>
  </si>
  <si>
    <t xml:space="preserve">Festivo</t>
  </si>
  <si>
    <t xml:space="preserve">TX</t>
  </si>
  <si>
    <t xml:space="preserve">REA</t>
  </si>
  <si>
    <t xml:space="preserve">QX-M</t>
  </si>
  <si>
    <t xml:space="preserve">QX-P (1)</t>
  </si>
  <si>
    <t xml:space="preserve">QX-P (2)</t>
  </si>
  <si>
    <t xml:space="preserve">01/10/2026</t>
  </si>
  <si>
    <t xml:space="preserve">Jue</t>
  </si>
  <si>
    <t xml:space="preserve">Isa</t>
  </si>
  <si>
    <t xml:space="preserve">Fabián</t>
  </si>
  <si>
    <t xml:space="preserve">Carlota</t>
  </si>
  <si>
    <t xml:space="preserve">Aitor</t>
  </si>
  <si>
    <t xml:space="preserve">Ana (R2)</t>
  </si>
  <si>
    <t xml:space="preserve">02/10/2026</t>
  </si>
  <si>
    <t xml:space="preserve">Vie</t>
  </si>
  <si>
    <t xml:space="preserve">Sandra</t>
  </si>
  <si>
    <t xml:space="preserve">Tania</t>
  </si>
  <si>
    <t xml:space="preserve">Candela</t>
  </si>
  <si>
    <t xml:space="preserve">David</t>
  </si>
  <si>
    <t xml:space="preserve">Emilio</t>
  </si>
  <si>
    <t xml:space="preserve">03/10/2026</t>
  </si>
  <si>
    <t xml:space="preserve">Sab</t>
  </si>
  <si>
    <t xml:space="preserve">Tony</t>
  </si>
  <si>
    <t xml:space="preserve">Patricia (R3)</t>
  </si>
  <si>
    <t xml:space="preserve">Fátima</t>
  </si>
  <si>
    <t xml:space="preserve">Marc</t>
  </si>
  <si>
    <t xml:space="preserve">04/10/2026</t>
  </si>
  <si>
    <t xml:space="preserve">Dom</t>
  </si>
  <si>
    <t xml:space="preserve">05/10/2026</t>
  </si>
  <si>
    <t xml:space="preserve">Lun</t>
  </si>
  <si>
    <t xml:space="preserve">Ana Gaudioso (R4)</t>
  </si>
  <si>
    <t xml:space="preserve">Patricia (R2)</t>
  </si>
  <si>
    <t xml:space="preserve">Almudena</t>
  </si>
  <si>
    <t xml:space="preserve">Miriam</t>
  </si>
  <si>
    <t xml:space="preserve">Asís</t>
  </si>
  <si>
    <t xml:space="preserve">06/10/2026</t>
  </si>
  <si>
    <t xml:space="preserve">Mar</t>
  </si>
  <si>
    <t xml:space="preserve">Arturo</t>
  </si>
  <si>
    <t xml:space="preserve">07/10/2026</t>
  </si>
  <si>
    <t xml:space="preserve">Mie</t>
  </si>
  <si>
    <t xml:space="preserve">Antonio</t>
  </si>
  <si>
    <t xml:space="preserve">08/10/2026</t>
  </si>
  <si>
    <t xml:space="preserve">Rosario</t>
  </si>
  <si>
    <t xml:space="preserve">09/10/2026</t>
  </si>
  <si>
    <t xml:space="preserve">10/10/2026</t>
  </si>
  <si>
    <t xml:space="preserve">11/10/2026</t>
  </si>
  <si>
    <t xml:space="preserve">12/10/2026</t>
  </si>
  <si>
    <t xml:space="preserve">FESTIVO</t>
  </si>
  <si>
    <t xml:space="preserve">13/10/2026</t>
  </si>
  <si>
    <t xml:space="preserve">Eva</t>
  </si>
  <si>
    <t xml:space="preserve">14/10/2026</t>
  </si>
  <si>
    <t xml:space="preserve">Cristina</t>
  </si>
  <si>
    <t xml:space="preserve">15/10/2026</t>
  </si>
  <si>
    <t xml:space="preserve">16/10/2026</t>
  </si>
  <si>
    <t xml:space="preserve">17/10/2026</t>
  </si>
  <si>
    <t xml:space="preserve">18/10/2026</t>
  </si>
  <si>
    <t xml:space="preserve">19/10/2026</t>
  </si>
  <si>
    <t xml:space="preserve">20/10/2026</t>
  </si>
  <si>
    <t xml:space="preserve">21/10/2026</t>
  </si>
  <si>
    <t xml:space="preserve">22/10/2026</t>
  </si>
  <si>
    <t xml:space="preserve">23/10/2026</t>
  </si>
  <si>
    <t xml:space="preserve">24/10/2026</t>
  </si>
  <si>
    <t xml:space="preserve">25/10/2026</t>
  </si>
  <si>
    <t xml:space="preserve">26/10/2026</t>
  </si>
  <si>
    <t xml:space="preserve">27/10/2026</t>
  </si>
  <si>
    <t xml:space="preserve">28/10/2026</t>
  </si>
  <si>
    <t xml:space="preserve">Mercedes</t>
  </si>
  <si>
    <t xml:space="preserve">29/10/2026</t>
  </si>
  <si>
    <t xml:space="preserve">30/10/2026</t>
  </si>
  <si>
    <t xml:space="preserve">31/10/2026</t>
  </si>
  <si>
    <t xml:space="preserve">01/11/2026</t>
  </si>
  <si>
    <t xml:space="preserve">02/11/2026</t>
  </si>
  <si>
    <t xml:space="preserve">Residente</t>
  </si>
  <si>
    <t xml:space="preserve">ID</t>
  </si>
  <si>
    <t xml:space="preserve">R1-01</t>
  </si>
  <si>
    <t xml:space="preserve">V</t>
  </si>
  <si>
    <t xml:space="preserve">QX-P</t>
  </si>
  <si>
    <t xml:space="preserve">L</t>
  </si>
  <si>
    <t xml:space="preserve">R1-02</t>
  </si>
  <si>
    <t xml:space="preserve">R1-03</t>
  </si>
  <si>
    <t xml:space="preserve">R1-04</t>
  </si>
  <si>
    <t xml:space="preserve">R1-05</t>
  </si>
  <si>
    <t xml:space="preserve">R1-06</t>
  </si>
  <si>
    <t xml:space="preserve">R1-07</t>
  </si>
  <si>
    <t xml:space="preserve">R1-08</t>
  </si>
  <si>
    <t xml:space="preserve">R2-01</t>
  </si>
  <si>
    <t xml:space="preserve">R2-02</t>
  </si>
  <si>
    <t xml:space="preserve">R2-03</t>
  </si>
  <si>
    <t xml:space="preserve">R2-04</t>
  </si>
  <si>
    <t xml:space="preserve">R2-05</t>
  </si>
  <si>
    <t xml:space="preserve">R2-06</t>
  </si>
  <si>
    <t xml:space="preserve">R2-07</t>
  </si>
  <si>
    <t xml:space="preserve">R2-08</t>
  </si>
  <si>
    <t xml:space="preserve">R3-01</t>
  </si>
  <si>
    <t xml:space="preserve">R3-02</t>
  </si>
  <si>
    <t xml:space="preserve">R3-03</t>
  </si>
  <si>
    <t xml:space="preserve">R3-04</t>
  </si>
  <si>
    <t xml:space="preserve">R4-01</t>
  </si>
  <si>
    <t xml:space="preserve">R4-02</t>
  </si>
  <si>
    <t xml:space="preserve">R4-03</t>
  </si>
  <si>
    <t xml:space="preserve">EXT</t>
  </si>
  <si>
    <t xml:space="preserve">R4-04</t>
  </si>
  <si>
    <t xml:space="preserve">R4-05</t>
  </si>
  <si>
    <t xml:space="preserve">Año</t>
  </si>
  <si>
    <t xml:space="preserve">Total guardias</t>
  </si>
  <si>
    <t xml:space="preserve">Fines de semana (días)</t>
  </si>
  <si>
    <t xml:space="preserve">Puente asignado</t>
  </si>
  <si>
    <t xml:space="preserve">R1</t>
  </si>
  <si>
    <t xml:space="preserve">—</t>
  </si>
  <si>
    <t xml:space="preserve">Santos</t>
  </si>
  <si>
    <t xml:space="preserve">Pilar</t>
  </si>
  <si>
    <t xml:space="preserve">R2</t>
  </si>
  <si>
    <t xml:space="preserve">R3</t>
  </si>
  <si>
    <t xml:space="preserve">R4</t>
  </si>
  <si>
    <t xml:space="preserve">Regla</t>
  </si>
  <si>
    <t xml:space="preserve">Resultado</t>
  </si>
  <si>
    <t xml:space="preserve">H-01</t>
  </si>
  <si>
    <t xml:space="preserve">Cobertura exacta (1 TX, 1 REA, 1 QX-M, 2 QX-P) cada día</t>
  </si>
  <si>
    <t xml:space="preserve">✅ Cumplida</t>
  </si>
  <si>
    <t xml:space="preserve">H-02</t>
  </si>
  <si>
    <t xml:space="preserve">Nadie ocupa más de un puesto el mismo día</t>
  </si>
  <si>
    <t xml:space="preserve">H-03</t>
  </si>
  <si>
    <t xml:space="preserve">Descanso 24h tras guardia presencial (no bloquea TX)</t>
  </si>
  <si>
    <t xml:space="preserve">H-04</t>
  </si>
  <si>
    <t xml:space="preserve">Sábado normal ⇒ libra domingo y lunes</t>
  </si>
  <si>
    <t xml:space="preserve">H-05</t>
  </si>
  <si>
    <t xml:space="preserve">Pareja viernes-domingo, mismo puesto</t>
  </si>
  <si>
    <t xml:space="preserve">H-06</t>
  </si>
  <si>
    <t xml:space="preserve">Exclusión de puentes (Pilar vs Santos)</t>
  </si>
  <si>
    <t xml:space="preserve">H-07</t>
  </si>
  <si>
    <t xml:space="preserve">Sábado de puente ⇒ se une al lunes festivo</t>
  </si>
  <si>
    <t xml:space="preserve">H-08 / H-17</t>
  </si>
  <si>
    <t xml:space="preserve">Vacaciones y bloqueos declarados respetados</t>
  </si>
  <si>
    <t xml:space="preserve">H-09</t>
  </si>
  <si>
    <t xml:space="preserve">Solo personal elegible ocupa cada puesto</t>
  </si>
  <si>
    <t xml:space="preserve">H-10 a-d</t>
  </si>
  <si>
    <t xml:space="preserve">Restricciones de Ana R4 por trabajo externo</t>
  </si>
  <si>
    <t xml:space="preserve">H-11</t>
  </si>
  <si>
    <t xml:space="preserve">Tania, Patricia R2, Fabián y Tony ≥ 6 REA</t>
  </si>
  <si>
    <t xml:space="preserve">H-13</t>
  </si>
  <si>
    <t xml:space="preserve">Todo residente hace ≥ 1 fin de semana</t>
  </si>
  <si>
    <t xml:space="preserve">H-14</t>
  </si>
  <si>
    <t xml:space="preserve">No hay TX la víspera de una guardia presencial</t>
  </si>
  <si>
    <t xml:space="preserve">H-15</t>
  </si>
  <si>
    <t xml:space="preserve">TX de fin de semana en bloque, 1 R4 por fin de semana</t>
  </si>
  <si>
    <t xml:space="preserve">✅ Cumplida (asignación forzada §8ter)</t>
  </si>
  <si>
    <t xml:space="preserve">H-16</t>
  </si>
  <si>
    <t xml:space="preserve">Los 4 de REA cubren 1 bloque V-D + 1 sábado suelto</t>
  </si>
  <si>
    <t xml:space="preserve">H-18</t>
  </si>
  <si>
    <t xml:space="preserve">Congreso R1 23-25 oct: QX-P solo R2 esos días</t>
  </si>
  <si>
    <t xml:space="preserve">✅ Cumplida (bloqueo ya incluido)</t>
  </si>
  <si>
    <t xml:space="preserve">H-19</t>
  </si>
  <si>
    <t xml:space="preserve">Sin TX la víspera de un bloqueo por vacaciones</t>
  </si>
  <si>
    <t xml:space="preserve">Reglas blandas (S)</t>
  </si>
  <si>
    <t xml:space="preserve">S-01</t>
  </si>
  <si>
    <t xml:space="preserve">7 mayores tienden a 5 QX-M cada uno</t>
  </si>
  <si>
    <t xml:space="preserve">QX-M: {'Carlota': 5, 'Almudena': 5, 'AnaR4': 1, 'Sandra': 5, 'Isa': 5, 'PatriciaR3': 6, 'Candela': 6}</t>
  </si>
  <si>
    <t xml:space="preserve">S-02</t>
  </si>
  <si>
    <t xml:space="preserve">Reparto equitativo de fines de semana</t>
  </si>
  <si>
    <t xml:space="preserve">Optimizado (spread minimizado dentro de R1 y R2)</t>
  </si>
  <si>
    <t xml:space="preserve">S-04</t>
  </si>
  <si>
    <t xml:space="preserve">Reparto equitativo del nº de guardias por año</t>
  </si>
  <si>
    <t xml:space="preserve">Optimizado (R1, R2, R3, R4 balanceados)</t>
  </si>
  <si>
    <t xml:space="preserve">S-06</t>
  </si>
  <si>
    <t xml:space="preserve">Evitar dos R1 juntos en QX-P el mismo día</t>
  </si>
  <si>
    <t xml:space="preserve">0 incidencias</t>
  </si>
  <si>
    <t xml:space="preserve">S-08</t>
  </si>
  <si>
    <t xml:space="preserve">Evitar TX el día de saliente de guardia</t>
  </si>
  <si>
    <t xml:space="preserve">Tipo</t>
  </si>
  <si>
    <t xml:space="preserve">Detalle</t>
  </si>
  <si>
    <t xml:space="preserve">Supuesto (Q-05)</t>
  </si>
  <si>
    <t xml:space="preserve">En los puentes, quien hace el sábado trabaja también el lunes festivo (H-07), no libra.</t>
  </si>
  <si>
    <t xml:space="preserve">Supuesto (Q-11)</t>
  </si>
  <si>
    <t xml:space="preserve">El bloqueo de Carlota "si se puede" (2-4, 11, 23-25) se ha tratado como bloqueo duro.</t>
  </si>
  <si>
    <t xml:space="preserve">Supuesto (Q-11 Ana R4)</t>
  </si>
  <si>
    <t xml:space="preserve">El bloqueo de Ana R4 "si se puede" (16-18) se ha tratado como bloqueo duro.</t>
  </si>
  <si>
    <t xml:space="preserve">Supuesto (Q-12)</t>
  </si>
  <si>
    <t xml:space="preserve">El bloqueo de Sandra "29-1" se ha interpretado como 29 oct - 1 nov (día 29 a 32).</t>
  </si>
  <si>
    <t xml:space="preserve">Supuesto (Q-10 / H-10d)</t>
  </si>
  <si>
    <t xml:space="preserve">Se ha usado la lista literal de excepciones de TX de Ana R4 (5,11,19,22,29), incluyendo la anomalía del 22 de octubre, en vez de la fórmula derivada del tipo de turno.</t>
  </si>
  <si>
    <t xml:space="preserve">Nueva regla H-19</t>
  </si>
  <si>
    <t xml:space="preserve">El día previo a un bloqueo por vacaciones se permite guardia presencial pero no TX.</t>
  </si>
  <si>
    <t xml:space="preserve">Nueva regla S-06</t>
  </si>
  <si>
    <t xml:space="preserve">Se ha evitado por completo que dos R1 cubran QX-P el mismo día (0 incidencias).</t>
  </si>
  <si>
    <t xml:space="preserve">Nueva regla S-08</t>
  </si>
  <si>
    <t xml:space="preserve">Se ha evitado por completo asignar TX el día de saliente de una guardia presencial (0 incidencias).</t>
  </si>
  <si>
    <t xml:space="preserve">Tope práctico (no es una regla H/S del documento)</t>
  </si>
  <si>
    <t xml:space="preserve">Se ha limitado a un máximo de 3 días de TX consecutivos por persona, para evitar rachas largas de localizada que ninguna regla explícita acotaba (los bloques de fin de semana forzados no superan 3 días, así que no chocan).</t>
  </si>
  <si>
    <t xml:space="preserve">No modelado explícitamente</t>
  </si>
  <si>
    <t xml:space="preserve">S-03 (2º FDS en sábado tras bloque V-D), S-05 (separación mínima 3-4 días) y S-07 (rotación del mayor supervisor) no se han optimizado como objetivo explícito; pueden requerir un ajuste manual fino si se desea maximizarlos.</t>
  </si>
  <si>
    <t xml:space="preserve">Optimización</t>
  </si>
  <si>
    <t xml:space="preserve">Modelo de programación por restricciones (OR-Tools CP-SAT). Solución con 0 violaciones de reglas duras (H-01 a H-19) y 0 violaciones de S-06/S-08, con reparto de carga optimizado dentro de cada año (R1, R2, R3, R4).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</si>
</sst>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0519E"/>
        <bgColor rgb="FF333399"/>
      </patternFill>
    </fill>
    <fill>
      <patternFill patternType="solid">
        <fgColor rgb="FFEDE7F6"/>
        <bgColor rgb="FFF2F2F2"/>
      </patternFill>
    </fill>
    <fill>
      <patternFill patternType="solid">
        <fgColor rgb="FFFBE3DC"/>
        <bgColor rgb="FFEDE7F6"/>
      </patternFill>
    </fill>
    <fill>
      <patternFill patternType="solid">
        <fgColor rgb="FFF2F2F2"/>
        <bgColor rgb="FFEDE7F6"/>
      </patternFill>
    </fill>
    <fill>
      <patternFill patternType="solid">
        <fgColor rgb="FFE3F2E1"/>
        <bgColor rgb="FFF2F2F2"/>
      </patternFill>
    </fill>
    <fill>
      <patternFill patternType="solid">
        <fgColor rgb="FFFFF3CD"/>
        <bgColor rgb="FFFBE3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E3F2E1"/>
      <rgbColor rgb="FFFFFF99"/>
      <rgbColor rgb="FF99CCFF"/>
      <rgbColor rgb="FFFF99CC"/>
      <rgbColor rgb="FFCC99FF"/>
      <rgbColor rgb="FFFBE3DC"/>
      <rgbColor rgb="FF3366FF"/>
      <rgbColor rgb="FF33CCCC"/>
      <rgbColor rgb="FF99CC00"/>
      <rgbColor rgb="FFFFCC00"/>
      <rgbColor rgb="FFFF9900"/>
      <rgbColor rgb="FFFF6600"/>
      <rgbColor rgb="FF50519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9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/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</row>
    <row r="3" customFormat="false" ht="15" hidden="false" customHeight="false" outlineLevel="0" collapsed="false">
      <c r="A3" s="2" t="n">
        <v>2</v>
      </c>
      <c r="B3" s="2" t="s">
        <v>16</v>
      </c>
      <c r="C3" s="2" t="s">
        <v>17</v>
      </c>
      <c r="D3" s="2"/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</row>
    <row r="4" customFormat="false" ht="15" hidden="false" customHeight="false" outlineLevel="0" collapsed="false">
      <c r="A4" s="4" t="n">
        <v>3</v>
      </c>
      <c r="B4" s="4" t="s">
        <v>23</v>
      </c>
      <c r="C4" s="4" t="s">
        <v>24</v>
      </c>
      <c r="D4" s="4"/>
      <c r="E4" s="5" t="s">
        <v>18</v>
      </c>
      <c r="F4" s="5" t="s">
        <v>25</v>
      </c>
      <c r="G4" s="5" t="s">
        <v>26</v>
      </c>
      <c r="H4" s="5" t="s">
        <v>27</v>
      </c>
      <c r="I4" s="5" t="s">
        <v>28</v>
      </c>
    </row>
    <row r="5" customFormat="false" ht="15" hidden="false" customHeight="false" outlineLevel="0" collapsed="false">
      <c r="A5" s="4" t="n">
        <v>4</v>
      </c>
      <c r="B5" s="4" t="s">
        <v>29</v>
      </c>
      <c r="C5" s="4" t="s">
        <v>30</v>
      </c>
      <c r="D5" s="4"/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</row>
    <row r="6" customFormat="false" ht="15" hidden="false" customHeight="false" outlineLevel="0" collapsed="false">
      <c r="A6" s="2" t="n">
        <v>5</v>
      </c>
      <c r="B6" s="2" t="s">
        <v>31</v>
      </c>
      <c r="C6" s="2" t="s">
        <v>32</v>
      </c>
      <c r="D6" s="2"/>
      <c r="E6" s="3" t="s">
        <v>33</v>
      </c>
      <c r="F6" s="3" t="s">
        <v>34</v>
      </c>
      <c r="G6" s="3" t="s">
        <v>35</v>
      </c>
      <c r="H6" s="3" t="s">
        <v>36</v>
      </c>
      <c r="I6" s="3" t="s">
        <v>37</v>
      </c>
    </row>
    <row r="7" customFormat="false" ht="15" hidden="false" customHeight="false" outlineLevel="0" collapsed="false">
      <c r="A7" s="2" t="n">
        <v>6</v>
      </c>
      <c r="B7" s="2" t="s">
        <v>38</v>
      </c>
      <c r="C7" s="2" t="s">
        <v>39</v>
      </c>
      <c r="D7" s="2"/>
      <c r="E7" s="3" t="s">
        <v>18</v>
      </c>
      <c r="F7" s="3" t="s">
        <v>22</v>
      </c>
      <c r="G7" s="3" t="s">
        <v>11</v>
      </c>
      <c r="H7" s="3" t="s">
        <v>40</v>
      </c>
      <c r="I7" s="3" t="s">
        <v>28</v>
      </c>
    </row>
    <row r="8" customFormat="false" ht="15" hidden="false" customHeight="false" outlineLevel="0" collapsed="false">
      <c r="A8" s="2" t="n">
        <v>7</v>
      </c>
      <c r="B8" s="2" t="s">
        <v>41</v>
      </c>
      <c r="C8" s="2" t="s">
        <v>42</v>
      </c>
      <c r="D8" s="2"/>
      <c r="E8" s="3" t="s">
        <v>18</v>
      </c>
      <c r="F8" s="3" t="s">
        <v>34</v>
      </c>
      <c r="G8" s="3" t="s">
        <v>13</v>
      </c>
      <c r="H8" s="3" t="s">
        <v>43</v>
      </c>
      <c r="I8" s="3" t="s">
        <v>15</v>
      </c>
    </row>
    <row r="9" customFormat="false" ht="15" hidden="false" customHeight="false" outlineLevel="0" collapsed="false">
      <c r="A9" s="2" t="n">
        <v>8</v>
      </c>
      <c r="B9" s="2" t="s">
        <v>44</v>
      </c>
      <c r="C9" s="2" t="s">
        <v>10</v>
      </c>
      <c r="D9" s="2"/>
      <c r="E9" s="3" t="s">
        <v>11</v>
      </c>
      <c r="F9" s="3" t="s">
        <v>22</v>
      </c>
      <c r="G9" s="3" t="s">
        <v>35</v>
      </c>
      <c r="H9" s="3" t="s">
        <v>45</v>
      </c>
      <c r="I9" s="3" t="s">
        <v>19</v>
      </c>
    </row>
    <row r="10" customFormat="false" ht="15" hidden="false" customHeight="false" outlineLevel="0" collapsed="false">
      <c r="A10" s="2" t="n">
        <v>9</v>
      </c>
      <c r="B10" s="2" t="s">
        <v>46</v>
      </c>
      <c r="C10" s="2" t="s">
        <v>17</v>
      </c>
      <c r="D10" s="2"/>
      <c r="E10" s="3" t="s">
        <v>13</v>
      </c>
      <c r="F10" s="3" t="s">
        <v>34</v>
      </c>
      <c r="G10" s="3" t="s">
        <v>18</v>
      </c>
      <c r="H10" s="3" t="s">
        <v>40</v>
      </c>
      <c r="I10" s="3" t="s">
        <v>15</v>
      </c>
    </row>
    <row r="11" customFormat="false" ht="15" hidden="false" customHeight="false" outlineLevel="0" collapsed="false">
      <c r="A11" s="4" t="n">
        <v>10</v>
      </c>
      <c r="B11" s="4" t="s">
        <v>47</v>
      </c>
      <c r="C11" s="4" t="s">
        <v>24</v>
      </c>
      <c r="D11" s="4"/>
      <c r="E11" s="5" t="s">
        <v>11</v>
      </c>
      <c r="F11" s="5" t="s">
        <v>12</v>
      </c>
      <c r="G11" s="5" t="s">
        <v>20</v>
      </c>
      <c r="H11" s="5" t="s">
        <v>14</v>
      </c>
      <c r="I11" s="5" t="s">
        <v>43</v>
      </c>
    </row>
    <row r="12" customFormat="false" ht="15" hidden="false" customHeight="false" outlineLevel="0" collapsed="false">
      <c r="A12" s="4" t="n">
        <v>11</v>
      </c>
      <c r="B12" s="4" t="s">
        <v>48</v>
      </c>
      <c r="C12" s="4" t="s">
        <v>30</v>
      </c>
      <c r="D12" s="4"/>
      <c r="E12" s="5" t="s">
        <v>11</v>
      </c>
      <c r="F12" s="5" t="s">
        <v>34</v>
      </c>
      <c r="G12" s="5" t="s">
        <v>18</v>
      </c>
      <c r="H12" s="5" t="s">
        <v>40</v>
      </c>
      <c r="I12" s="5" t="s">
        <v>15</v>
      </c>
    </row>
    <row r="13" customFormat="false" ht="15" hidden="false" customHeight="false" outlineLevel="0" collapsed="false">
      <c r="A13" s="6" t="n">
        <v>12</v>
      </c>
      <c r="B13" s="6" t="s">
        <v>49</v>
      </c>
      <c r="C13" s="6" t="s">
        <v>32</v>
      </c>
      <c r="D13" s="6" t="s">
        <v>50</v>
      </c>
      <c r="E13" s="7" t="s">
        <v>11</v>
      </c>
      <c r="F13" s="7" t="s">
        <v>12</v>
      </c>
      <c r="G13" s="7" t="s">
        <v>20</v>
      </c>
      <c r="H13" s="7" t="s">
        <v>14</v>
      </c>
      <c r="I13" s="7" t="s">
        <v>43</v>
      </c>
    </row>
    <row r="14" customFormat="false" ht="15" hidden="false" customHeight="false" outlineLevel="0" collapsed="false">
      <c r="A14" s="2" t="n">
        <v>13</v>
      </c>
      <c r="B14" s="2" t="s">
        <v>51</v>
      </c>
      <c r="C14" s="2" t="s">
        <v>39</v>
      </c>
      <c r="D14" s="2"/>
      <c r="E14" s="3" t="s">
        <v>13</v>
      </c>
      <c r="F14" s="3" t="s">
        <v>34</v>
      </c>
      <c r="G14" s="3" t="s">
        <v>35</v>
      </c>
      <c r="H14" s="3" t="s">
        <v>37</v>
      </c>
      <c r="I14" s="3" t="s">
        <v>52</v>
      </c>
    </row>
    <row r="15" customFormat="false" ht="15" hidden="false" customHeight="false" outlineLevel="0" collapsed="false">
      <c r="A15" s="2" t="n">
        <v>14</v>
      </c>
      <c r="B15" s="2" t="s">
        <v>53</v>
      </c>
      <c r="C15" s="2" t="s">
        <v>42</v>
      </c>
      <c r="D15" s="2"/>
      <c r="E15" s="3" t="s">
        <v>13</v>
      </c>
      <c r="F15" s="3" t="s">
        <v>25</v>
      </c>
      <c r="G15" s="3" t="s">
        <v>26</v>
      </c>
      <c r="H15" s="3" t="s">
        <v>54</v>
      </c>
      <c r="I15" s="3" t="s">
        <v>28</v>
      </c>
    </row>
    <row r="16" customFormat="false" ht="15" hidden="false" customHeight="false" outlineLevel="0" collapsed="false">
      <c r="A16" s="2" t="n">
        <v>15</v>
      </c>
      <c r="B16" s="2" t="s">
        <v>55</v>
      </c>
      <c r="C16" s="2" t="s">
        <v>10</v>
      </c>
      <c r="D16" s="2"/>
      <c r="E16" s="3" t="s">
        <v>18</v>
      </c>
      <c r="F16" s="3" t="s">
        <v>19</v>
      </c>
      <c r="G16" s="3" t="s">
        <v>33</v>
      </c>
      <c r="H16" s="3" t="s">
        <v>27</v>
      </c>
      <c r="I16" s="3" t="s">
        <v>22</v>
      </c>
    </row>
    <row r="17" customFormat="false" ht="15" hidden="false" customHeight="false" outlineLevel="0" collapsed="false">
      <c r="A17" s="2" t="n">
        <v>16</v>
      </c>
      <c r="B17" s="2" t="s">
        <v>56</v>
      </c>
      <c r="C17" s="2" t="s">
        <v>17</v>
      </c>
      <c r="D17" s="2"/>
      <c r="E17" s="3" t="s">
        <v>13</v>
      </c>
      <c r="F17" s="3" t="s">
        <v>12</v>
      </c>
      <c r="G17" s="3" t="s">
        <v>26</v>
      </c>
      <c r="H17" s="3" t="s">
        <v>54</v>
      </c>
      <c r="I17" s="3" t="s">
        <v>37</v>
      </c>
    </row>
    <row r="18" customFormat="false" ht="15" hidden="false" customHeight="false" outlineLevel="0" collapsed="false">
      <c r="A18" s="4" t="n">
        <v>17</v>
      </c>
      <c r="B18" s="4" t="s">
        <v>57</v>
      </c>
      <c r="C18" s="4" t="s">
        <v>24</v>
      </c>
      <c r="D18" s="4"/>
      <c r="E18" s="5" t="s">
        <v>13</v>
      </c>
      <c r="F18" s="5" t="s">
        <v>19</v>
      </c>
      <c r="G18" s="5" t="s">
        <v>20</v>
      </c>
      <c r="H18" s="5" t="s">
        <v>45</v>
      </c>
      <c r="I18" s="5" t="s">
        <v>15</v>
      </c>
    </row>
    <row r="19" customFormat="false" ht="15" hidden="false" customHeight="false" outlineLevel="0" collapsed="false">
      <c r="A19" s="4" t="n">
        <v>18</v>
      </c>
      <c r="B19" s="4" t="s">
        <v>58</v>
      </c>
      <c r="C19" s="4" t="s">
        <v>30</v>
      </c>
      <c r="D19" s="4"/>
      <c r="E19" s="5" t="s">
        <v>13</v>
      </c>
      <c r="F19" s="5" t="s">
        <v>12</v>
      </c>
      <c r="G19" s="5" t="s">
        <v>26</v>
      </c>
      <c r="H19" s="5" t="s">
        <v>54</v>
      </c>
      <c r="I19" s="5" t="s">
        <v>37</v>
      </c>
    </row>
    <row r="20" customFormat="false" ht="15" hidden="false" customHeight="false" outlineLevel="0" collapsed="false">
      <c r="A20" s="2" t="n">
        <v>19</v>
      </c>
      <c r="B20" s="2" t="s">
        <v>59</v>
      </c>
      <c r="C20" s="2" t="s">
        <v>32</v>
      </c>
      <c r="D20" s="2"/>
      <c r="E20" s="3" t="s">
        <v>33</v>
      </c>
      <c r="F20" s="3" t="s">
        <v>34</v>
      </c>
      <c r="G20" s="3" t="s">
        <v>11</v>
      </c>
      <c r="H20" s="3" t="s">
        <v>22</v>
      </c>
      <c r="I20" s="3" t="s">
        <v>28</v>
      </c>
    </row>
    <row r="21" customFormat="false" ht="15" hidden="false" customHeight="false" outlineLevel="0" collapsed="false">
      <c r="A21" s="2" t="n">
        <v>20</v>
      </c>
      <c r="B21" s="2" t="s">
        <v>60</v>
      </c>
      <c r="C21" s="2" t="s">
        <v>39</v>
      </c>
      <c r="D21" s="2"/>
      <c r="E21" s="3" t="s">
        <v>18</v>
      </c>
      <c r="F21" s="3" t="s">
        <v>25</v>
      </c>
      <c r="G21" s="3" t="s">
        <v>26</v>
      </c>
      <c r="H21" s="3" t="s">
        <v>21</v>
      </c>
      <c r="I21" s="3" t="s">
        <v>43</v>
      </c>
    </row>
    <row r="22" customFormat="false" ht="15" hidden="false" customHeight="false" outlineLevel="0" collapsed="false">
      <c r="A22" s="2" t="n">
        <v>21</v>
      </c>
      <c r="B22" s="2" t="s">
        <v>61</v>
      </c>
      <c r="C22" s="2" t="s">
        <v>42</v>
      </c>
      <c r="D22" s="2"/>
      <c r="E22" s="3" t="s">
        <v>11</v>
      </c>
      <c r="F22" s="3" t="s">
        <v>52</v>
      </c>
      <c r="G22" s="3" t="s">
        <v>13</v>
      </c>
      <c r="H22" s="3" t="s">
        <v>37</v>
      </c>
      <c r="I22" s="3" t="s">
        <v>28</v>
      </c>
    </row>
    <row r="23" customFormat="false" ht="15" hidden="false" customHeight="false" outlineLevel="0" collapsed="false">
      <c r="A23" s="2" t="n">
        <v>22</v>
      </c>
      <c r="B23" s="2" t="s">
        <v>62</v>
      </c>
      <c r="C23" s="2" t="s">
        <v>10</v>
      </c>
      <c r="D23" s="2"/>
      <c r="E23" s="3" t="s">
        <v>33</v>
      </c>
      <c r="F23" s="3" t="s">
        <v>19</v>
      </c>
      <c r="G23" s="3" t="s">
        <v>18</v>
      </c>
      <c r="H23" s="3" t="s">
        <v>34</v>
      </c>
      <c r="I23" s="3" t="s">
        <v>15</v>
      </c>
    </row>
    <row r="24" customFormat="false" ht="15" hidden="false" customHeight="false" outlineLevel="0" collapsed="false">
      <c r="A24" s="2" t="n">
        <v>23</v>
      </c>
      <c r="B24" s="2" t="s">
        <v>63</v>
      </c>
      <c r="C24" s="2" t="s">
        <v>17</v>
      </c>
      <c r="D24" s="2"/>
      <c r="E24" s="3" t="s">
        <v>33</v>
      </c>
      <c r="F24" s="3" t="s">
        <v>43</v>
      </c>
      <c r="G24" s="3" t="s">
        <v>11</v>
      </c>
      <c r="H24" s="3" t="s">
        <v>52</v>
      </c>
      <c r="I24" s="3" t="s">
        <v>22</v>
      </c>
    </row>
    <row r="25" customFormat="false" ht="15" hidden="false" customHeight="false" outlineLevel="0" collapsed="false">
      <c r="A25" s="4" t="n">
        <v>24</v>
      </c>
      <c r="B25" s="4" t="s">
        <v>64</v>
      </c>
      <c r="C25" s="4" t="s">
        <v>24</v>
      </c>
      <c r="D25" s="4"/>
      <c r="E25" s="5" t="s">
        <v>35</v>
      </c>
      <c r="F25" s="5" t="s">
        <v>34</v>
      </c>
      <c r="G25" s="5" t="s">
        <v>18</v>
      </c>
      <c r="H25" s="5" t="s">
        <v>19</v>
      </c>
      <c r="I25" s="5" t="s">
        <v>28</v>
      </c>
    </row>
    <row r="26" customFormat="false" ht="15" hidden="false" customHeight="false" outlineLevel="0" collapsed="false">
      <c r="A26" s="4" t="n">
        <v>25</v>
      </c>
      <c r="B26" s="4" t="s">
        <v>65</v>
      </c>
      <c r="C26" s="4" t="s">
        <v>30</v>
      </c>
      <c r="D26" s="4"/>
      <c r="E26" s="5" t="s">
        <v>35</v>
      </c>
      <c r="F26" s="5" t="s">
        <v>43</v>
      </c>
      <c r="G26" s="5" t="s">
        <v>11</v>
      </c>
      <c r="H26" s="5" t="s">
        <v>52</v>
      </c>
      <c r="I26" s="5" t="s">
        <v>22</v>
      </c>
    </row>
    <row r="27" customFormat="false" ht="15" hidden="false" customHeight="false" outlineLevel="0" collapsed="false">
      <c r="A27" s="2" t="n">
        <v>26</v>
      </c>
      <c r="B27" s="2" t="s">
        <v>66</v>
      </c>
      <c r="C27" s="2" t="s">
        <v>32</v>
      </c>
      <c r="D27" s="2"/>
      <c r="E27" s="3" t="s">
        <v>35</v>
      </c>
      <c r="F27" s="3" t="s">
        <v>25</v>
      </c>
      <c r="G27" s="3" t="s">
        <v>20</v>
      </c>
      <c r="H27" s="3" t="s">
        <v>27</v>
      </c>
      <c r="I27" s="3" t="s">
        <v>15</v>
      </c>
    </row>
    <row r="28" customFormat="false" ht="15" hidden="false" customHeight="false" outlineLevel="0" collapsed="false">
      <c r="A28" s="2" t="n">
        <v>27</v>
      </c>
      <c r="B28" s="2" t="s">
        <v>67</v>
      </c>
      <c r="C28" s="2" t="s">
        <v>39</v>
      </c>
      <c r="D28" s="2"/>
      <c r="E28" s="3" t="s">
        <v>13</v>
      </c>
      <c r="F28" s="3" t="s">
        <v>43</v>
      </c>
      <c r="G28" s="3" t="s">
        <v>18</v>
      </c>
      <c r="H28" s="3" t="s">
        <v>45</v>
      </c>
      <c r="I28" s="3" t="s">
        <v>37</v>
      </c>
    </row>
    <row r="29" customFormat="false" ht="15" hidden="false" customHeight="false" outlineLevel="0" collapsed="false">
      <c r="A29" s="2" t="n">
        <v>28</v>
      </c>
      <c r="B29" s="2" t="s">
        <v>68</v>
      </c>
      <c r="C29" s="2" t="s">
        <v>42</v>
      </c>
      <c r="D29" s="2"/>
      <c r="E29" s="3" t="s">
        <v>35</v>
      </c>
      <c r="F29" s="3" t="s">
        <v>19</v>
      </c>
      <c r="G29" s="3" t="s">
        <v>11</v>
      </c>
      <c r="H29" s="3" t="s">
        <v>69</v>
      </c>
      <c r="I29" s="3" t="s">
        <v>15</v>
      </c>
    </row>
    <row r="30" customFormat="false" ht="15" hidden="false" customHeight="false" outlineLevel="0" collapsed="false">
      <c r="A30" s="2" t="n">
        <v>29</v>
      </c>
      <c r="B30" s="2" t="s">
        <v>70</v>
      </c>
      <c r="C30" s="2" t="s">
        <v>10</v>
      </c>
      <c r="D30" s="2"/>
      <c r="E30" s="3" t="s">
        <v>33</v>
      </c>
      <c r="F30" s="3" t="s">
        <v>12</v>
      </c>
      <c r="G30" s="3" t="s">
        <v>26</v>
      </c>
      <c r="H30" s="3" t="s">
        <v>52</v>
      </c>
      <c r="I30" s="3" t="s">
        <v>43</v>
      </c>
    </row>
    <row r="31" customFormat="false" ht="15" hidden="false" customHeight="false" outlineLevel="0" collapsed="false">
      <c r="A31" s="2" t="n">
        <v>30</v>
      </c>
      <c r="B31" s="2" t="s">
        <v>71</v>
      </c>
      <c r="C31" s="2" t="s">
        <v>17</v>
      </c>
      <c r="D31" s="2"/>
      <c r="E31" s="3" t="s">
        <v>11</v>
      </c>
      <c r="F31" s="3" t="s">
        <v>25</v>
      </c>
      <c r="G31" s="3" t="s">
        <v>35</v>
      </c>
      <c r="H31" s="3" t="s">
        <v>36</v>
      </c>
      <c r="I31" s="3" t="s">
        <v>28</v>
      </c>
    </row>
    <row r="32" customFormat="false" ht="15" hidden="false" customHeight="false" outlineLevel="0" collapsed="false">
      <c r="A32" s="4" t="n">
        <v>31</v>
      </c>
      <c r="B32" s="4" t="s">
        <v>72</v>
      </c>
      <c r="C32" s="4" t="s">
        <v>24</v>
      </c>
      <c r="D32" s="4"/>
      <c r="E32" s="5" t="s">
        <v>33</v>
      </c>
      <c r="F32" s="5" t="s">
        <v>37</v>
      </c>
      <c r="G32" s="5" t="s">
        <v>13</v>
      </c>
      <c r="H32" s="5" t="s">
        <v>69</v>
      </c>
      <c r="I32" s="5" t="s">
        <v>52</v>
      </c>
    </row>
    <row r="33" customFormat="false" ht="15" hidden="false" customHeight="false" outlineLevel="0" collapsed="false">
      <c r="A33" s="6" t="n">
        <v>32</v>
      </c>
      <c r="B33" s="6" t="s">
        <v>73</v>
      </c>
      <c r="C33" s="6" t="s">
        <v>30</v>
      </c>
      <c r="D33" s="6" t="s">
        <v>50</v>
      </c>
      <c r="E33" s="7" t="s">
        <v>33</v>
      </c>
      <c r="F33" s="7" t="s">
        <v>25</v>
      </c>
      <c r="G33" s="7" t="s">
        <v>35</v>
      </c>
      <c r="H33" s="7" t="s">
        <v>36</v>
      </c>
      <c r="I33" s="7" t="s">
        <v>28</v>
      </c>
    </row>
    <row r="34" customFormat="false" ht="15" hidden="false" customHeight="false" outlineLevel="0" collapsed="false">
      <c r="A34" s="6" t="n">
        <v>33</v>
      </c>
      <c r="B34" s="6" t="s">
        <v>74</v>
      </c>
      <c r="C34" s="6" t="s">
        <v>32</v>
      </c>
      <c r="D34" s="6" t="s">
        <v>50</v>
      </c>
      <c r="E34" s="7" t="s">
        <v>33</v>
      </c>
      <c r="F34" s="7" t="s">
        <v>37</v>
      </c>
      <c r="G34" s="7" t="s">
        <v>13</v>
      </c>
      <c r="H34" s="7" t="s">
        <v>69</v>
      </c>
      <c r="I34" s="7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5" min="3" style="0" width="5"/>
  </cols>
  <sheetData>
    <row r="1" customFormat="false" ht="15" hidden="false" customHeight="false" outlineLevel="0" collapsed="false">
      <c r="A1" s="1" t="s">
        <v>75</v>
      </c>
      <c r="B1" s="1" t="s">
        <v>76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</row>
    <row r="2" customFormat="false" ht="15" hidden="false" customHeight="false" outlineLevel="0" collapsed="false">
      <c r="C2" s="8" t="s">
        <v>10</v>
      </c>
      <c r="D2" s="8" t="s">
        <v>17</v>
      </c>
      <c r="E2" s="9" t="s">
        <v>24</v>
      </c>
      <c r="F2" s="9" t="s">
        <v>30</v>
      </c>
      <c r="G2" s="8" t="s">
        <v>32</v>
      </c>
      <c r="H2" s="8" t="s">
        <v>39</v>
      </c>
      <c r="I2" s="8" t="s">
        <v>42</v>
      </c>
      <c r="J2" s="8" t="s">
        <v>10</v>
      </c>
      <c r="K2" s="8" t="s">
        <v>17</v>
      </c>
      <c r="L2" s="9" t="s">
        <v>24</v>
      </c>
      <c r="M2" s="9" t="s">
        <v>30</v>
      </c>
      <c r="N2" s="10" t="s">
        <v>32</v>
      </c>
      <c r="O2" s="8" t="s">
        <v>39</v>
      </c>
      <c r="P2" s="8" t="s">
        <v>42</v>
      </c>
      <c r="Q2" s="8" t="s">
        <v>10</v>
      </c>
      <c r="R2" s="8" t="s">
        <v>17</v>
      </c>
      <c r="S2" s="9" t="s">
        <v>24</v>
      </c>
      <c r="T2" s="9" t="s">
        <v>30</v>
      </c>
      <c r="U2" s="8" t="s">
        <v>32</v>
      </c>
      <c r="V2" s="8" t="s">
        <v>39</v>
      </c>
      <c r="W2" s="8" t="s">
        <v>42</v>
      </c>
      <c r="X2" s="8" t="s">
        <v>10</v>
      </c>
      <c r="Y2" s="8" t="s">
        <v>17</v>
      </c>
      <c r="Z2" s="9" t="s">
        <v>24</v>
      </c>
      <c r="AA2" s="9" t="s">
        <v>30</v>
      </c>
      <c r="AB2" s="8" t="s">
        <v>32</v>
      </c>
      <c r="AC2" s="8" t="s">
        <v>39</v>
      </c>
      <c r="AD2" s="8" t="s">
        <v>42</v>
      </c>
      <c r="AE2" s="8" t="s">
        <v>10</v>
      </c>
      <c r="AF2" s="8" t="s">
        <v>17</v>
      </c>
      <c r="AG2" s="9" t="s">
        <v>24</v>
      </c>
      <c r="AH2" s="10" t="s">
        <v>30</v>
      </c>
      <c r="AI2" s="10" t="s">
        <v>32</v>
      </c>
    </row>
    <row r="3" customFormat="false" ht="15" hidden="false" customHeight="false" outlineLevel="0" collapsed="false">
      <c r="A3" s="11" t="s">
        <v>45</v>
      </c>
      <c r="B3" s="12" t="s">
        <v>77</v>
      </c>
      <c r="C3" s="12"/>
      <c r="D3" s="13" t="s">
        <v>78</v>
      </c>
      <c r="E3" s="13" t="s">
        <v>78</v>
      </c>
      <c r="F3" s="13" t="s">
        <v>78</v>
      </c>
      <c r="G3" s="12"/>
      <c r="H3" s="12"/>
      <c r="I3" s="12"/>
      <c r="J3" s="14" t="s">
        <v>79</v>
      </c>
      <c r="K3" s="15" t="s">
        <v>80</v>
      </c>
      <c r="L3" s="12"/>
      <c r="M3" s="12"/>
      <c r="N3" s="12"/>
      <c r="O3" s="12"/>
      <c r="P3" s="12"/>
      <c r="Q3" s="12"/>
      <c r="R3" s="12"/>
      <c r="S3" s="16" t="s">
        <v>79</v>
      </c>
      <c r="T3" s="15" t="s">
        <v>80</v>
      </c>
      <c r="U3" s="15" t="s">
        <v>80</v>
      </c>
      <c r="V3" s="12"/>
      <c r="W3" s="13" t="s">
        <v>78</v>
      </c>
      <c r="X3" s="13" t="s">
        <v>78</v>
      </c>
      <c r="Y3" s="13" t="s">
        <v>78</v>
      </c>
      <c r="Z3" s="13" t="s">
        <v>78</v>
      </c>
      <c r="AA3" s="13" t="s">
        <v>78</v>
      </c>
      <c r="AB3" s="12"/>
      <c r="AC3" s="14" t="s">
        <v>79</v>
      </c>
      <c r="AD3" s="15" t="s">
        <v>80</v>
      </c>
      <c r="AE3" s="12"/>
      <c r="AF3" s="12"/>
      <c r="AG3" s="12"/>
      <c r="AH3" s="12"/>
      <c r="AI3" s="12"/>
    </row>
    <row r="4" customFormat="false" ht="15" hidden="false" customHeight="false" outlineLevel="0" collapsed="false">
      <c r="A4" s="11" t="s">
        <v>54</v>
      </c>
      <c r="B4" s="12" t="s">
        <v>81</v>
      </c>
      <c r="C4" s="12"/>
      <c r="D4" s="13" t="s">
        <v>78</v>
      </c>
      <c r="E4" s="13" t="s">
        <v>78</v>
      </c>
      <c r="F4" s="13" t="s">
        <v>78</v>
      </c>
      <c r="G4" s="12"/>
      <c r="H4" s="12"/>
      <c r="I4" s="12"/>
      <c r="J4" s="12"/>
      <c r="K4" s="12"/>
      <c r="L4" s="12"/>
      <c r="M4" s="12"/>
      <c r="N4" s="12"/>
      <c r="O4" s="12"/>
      <c r="P4" s="14" t="s">
        <v>79</v>
      </c>
      <c r="Q4" s="15" t="s">
        <v>80</v>
      </c>
      <c r="R4" s="14" t="s">
        <v>79</v>
      </c>
      <c r="S4" s="15" t="s">
        <v>80</v>
      </c>
      <c r="T4" s="16" t="s">
        <v>79</v>
      </c>
      <c r="U4" s="15" t="s">
        <v>80</v>
      </c>
      <c r="V4" s="12"/>
      <c r="W4" s="12"/>
      <c r="X4" s="12"/>
      <c r="Y4" s="13" t="s">
        <v>78</v>
      </c>
      <c r="Z4" s="13" t="s">
        <v>78</v>
      </c>
      <c r="AA4" s="13" t="s">
        <v>78</v>
      </c>
      <c r="AB4" s="12"/>
      <c r="AC4" s="12"/>
      <c r="AD4" s="12"/>
      <c r="AE4" s="12"/>
      <c r="AF4" s="12"/>
      <c r="AG4" s="12"/>
      <c r="AH4" s="12"/>
      <c r="AI4" s="12"/>
    </row>
    <row r="5" customFormat="false" ht="15" hidden="false" customHeight="false" outlineLevel="0" collapsed="false">
      <c r="A5" s="11" t="s">
        <v>36</v>
      </c>
      <c r="B5" s="12" t="s">
        <v>82</v>
      </c>
      <c r="C5" s="12"/>
      <c r="D5" s="12"/>
      <c r="E5" s="12"/>
      <c r="F5" s="12"/>
      <c r="G5" s="14" t="s">
        <v>79</v>
      </c>
      <c r="H5" s="15" t="s">
        <v>80</v>
      </c>
      <c r="I5" s="12"/>
      <c r="J5" s="12"/>
      <c r="K5" s="13" t="s">
        <v>78</v>
      </c>
      <c r="L5" s="13" t="s">
        <v>78</v>
      </c>
      <c r="M5" s="13" t="s">
        <v>78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 t="s">
        <v>78</v>
      </c>
      <c r="Z5" s="13" t="s">
        <v>78</v>
      </c>
      <c r="AA5" s="13" t="s">
        <v>78</v>
      </c>
      <c r="AB5" s="12"/>
      <c r="AC5" s="12"/>
      <c r="AD5" s="12"/>
      <c r="AE5" s="12"/>
      <c r="AF5" s="14" t="s">
        <v>79</v>
      </c>
      <c r="AG5" s="15" t="s">
        <v>80</v>
      </c>
      <c r="AH5" s="16" t="s">
        <v>79</v>
      </c>
      <c r="AI5" s="15" t="s">
        <v>80</v>
      </c>
    </row>
    <row r="6" customFormat="false" ht="15" hidden="false" customHeight="false" outlineLevel="0" collapsed="false">
      <c r="A6" s="11" t="s">
        <v>21</v>
      </c>
      <c r="B6" s="12" t="s">
        <v>83</v>
      </c>
      <c r="C6" s="12"/>
      <c r="D6" s="14" t="s">
        <v>79</v>
      </c>
      <c r="E6" s="15" t="s">
        <v>80</v>
      </c>
      <c r="F6" s="16" t="s">
        <v>79</v>
      </c>
      <c r="G6" s="15" t="s">
        <v>80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4" t="s">
        <v>79</v>
      </c>
      <c r="W6" s="15" t="s">
        <v>80</v>
      </c>
      <c r="X6" s="12"/>
      <c r="Y6" s="13" t="s">
        <v>78</v>
      </c>
      <c r="Z6" s="13" t="s">
        <v>78</v>
      </c>
      <c r="AA6" s="13" t="s">
        <v>78</v>
      </c>
      <c r="AB6" s="12"/>
      <c r="AC6" s="12"/>
      <c r="AD6" s="12"/>
      <c r="AE6" s="12"/>
      <c r="AF6" s="12"/>
      <c r="AG6" s="12"/>
      <c r="AH6" s="12"/>
      <c r="AI6" s="12"/>
    </row>
    <row r="7" customFormat="false" ht="15" hidden="false" customHeight="false" outlineLevel="0" collapsed="false">
      <c r="A7" s="11" t="s">
        <v>69</v>
      </c>
      <c r="B7" s="12" t="s">
        <v>84</v>
      </c>
      <c r="C7" s="12"/>
      <c r="D7" s="13" t="s">
        <v>78</v>
      </c>
      <c r="E7" s="13" t="s">
        <v>78</v>
      </c>
      <c r="F7" s="13" t="s">
        <v>78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 t="s">
        <v>78</v>
      </c>
      <c r="Z7" s="13" t="s">
        <v>78</v>
      </c>
      <c r="AA7" s="13" t="s">
        <v>78</v>
      </c>
      <c r="AB7" s="12"/>
      <c r="AC7" s="12"/>
      <c r="AD7" s="14" t="s">
        <v>79</v>
      </c>
      <c r="AE7" s="15" t="s">
        <v>80</v>
      </c>
      <c r="AF7" s="12"/>
      <c r="AG7" s="16" t="s">
        <v>79</v>
      </c>
      <c r="AH7" s="15" t="s">
        <v>80</v>
      </c>
      <c r="AI7" s="16" t="s">
        <v>79</v>
      </c>
    </row>
    <row r="8" customFormat="false" ht="15" hidden="false" customHeight="false" outlineLevel="0" collapsed="false">
      <c r="A8" s="11" t="s">
        <v>40</v>
      </c>
      <c r="B8" s="12" t="s">
        <v>85</v>
      </c>
      <c r="C8" s="12"/>
      <c r="D8" s="12"/>
      <c r="E8" s="12"/>
      <c r="F8" s="12"/>
      <c r="G8" s="12"/>
      <c r="H8" s="14" t="s">
        <v>79</v>
      </c>
      <c r="I8" s="15" t="s">
        <v>80</v>
      </c>
      <c r="J8" s="12"/>
      <c r="K8" s="14" t="s">
        <v>79</v>
      </c>
      <c r="L8" s="15" t="s">
        <v>80</v>
      </c>
      <c r="M8" s="16" t="s">
        <v>79</v>
      </c>
      <c r="N8" s="15" t="s">
        <v>80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3" t="s">
        <v>78</v>
      </c>
      <c r="Z8" s="13" t="s">
        <v>78</v>
      </c>
      <c r="AA8" s="13" t="s">
        <v>78</v>
      </c>
      <c r="AB8" s="12"/>
      <c r="AC8" s="12"/>
      <c r="AD8" s="12"/>
      <c r="AE8" s="12"/>
      <c r="AF8" s="12"/>
      <c r="AG8" s="12"/>
      <c r="AH8" s="12"/>
      <c r="AI8" s="12"/>
    </row>
    <row r="9" customFormat="false" ht="15" hidden="false" customHeight="false" outlineLevel="0" collapsed="false">
      <c r="A9" s="11" t="s">
        <v>14</v>
      </c>
      <c r="B9" s="12" t="s">
        <v>86</v>
      </c>
      <c r="C9" s="14" t="s">
        <v>79</v>
      </c>
      <c r="D9" s="13" t="s">
        <v>78</v>
      </c>
      <c r="E9" s="13" t="s">
        <v>78</v>
      </c>
      <c r="F9" s="13" t="s">
        <v>78</v>
      </c>
      <c r="G9" s="12"/>
      <c r="H9" s="12"/>
      <c r="I9" s="12"/>
      <c r="J9" s="12"/>
      <c r="K9" s="12"/>
      <c r="L9" s="16" t="s">
        <v>79</v>
      </c>
      <c r="M9" s="15" t="s">
        <v>80</v>
      </c>
      <c r="N9" s="16" t="s">
        <v>79</v>
      </c>
      <c r="O9" s="15" t="s">
        <v>80</v>
      </c>
      <c r="P9" s="12"/>
      <c r="Q9" s="12"/>
      <c r="R9" s="12"/>
      <c r="S9" s="12"/>
      <c r="T9" s="12"/>
      <c r="U9" s="12"/>
      <c r="V9" s="12"/>
      <c r="W9" s="12"/>
      <c r="X9" s="12"/>
      <c r="Y9" s="13" t="s">
        <v>78</v>
      </c>
      <c r="Z9" s="13" t="s">
        <v>78</v>
      </c>
      <c r="AA9" s="13" t="s">
        <v>78</v>
      </c>
      <c r="AB9" s="12"/>
      <c r="AC9" s="12"/>
      <c r="AD9" s="12"/>
      <c r="AE9" s="12"/>
      <c r="AF9" s="12"/>
      <c r="AG9" s="12"/>
      <c r="AH9" s="12"/>
      <c r="AI9" s="12"/>
    </row>
    <row r="10" customFormat="false" ht="15" hidden="false" customHeight="false" outlineLevel="0" collapsed="false">
      <c r="A10" s="11" t="s">
        <v>27</v>
      </c>
      <c r="B10" s="12" t="s">
        <v>87</v>
      </c>
      <c r="C10" s="12"/>
      <c r="D10" s="12"/>
      <c r="E10" s="16" t="s">
        <v>79</v>
      </c>
      <c r="F10" s="15" t="s">
        <v>80</v>
      </c>
      <c r="G10" s="15" t="s">
        <v>80</v>
      </c>
      <c r="H10" s="12"/>
      <c r="I10" s="12"/>
      <c r="J10" s="12"/>
      <c r="K10" s="13" t="s">
        <v>78</v>
      </c>
      <c r="L10" s="13" t="s">
        <v>78</v>
      </c>
      <c r="M10" s="13" t="s">
        <v>78</v>
      </c>
      <c r="N10" s="12"/>
      <c r="O10" s="12"/>
      <c r="P10" s="12"/>
      <c r="Q10" s="14" t="s">
        <v>79</v>
      </c>
      <c r="R10" s="15" t="s">
        <v>80</v>
      </c>
      <c r="S10" s="12"/>
      <c r="T10" s="12"/>
      <c r="U10" s="12"/>
      <c r="V10" s="12"/>
      <c r="W10" s="12"/>
      <c r="X10" s="12"/>
      <c r="Y10" s="13" t="s">
        <v>78</v>
      </c>
      <c r="Z10" s="13" t="s">
        <v>78</v>
      </c>
      <c r="AA10" s="13" t="s">
        <v>78</v>
      </c>
      <c r="AB10" s="14" t="s">
        <v>79</v>
      </c>
      <c r="AC10" s="15" t="s">
        <v>80</v>
      </c>
      <c r="AD10" s="12"/>
      <c r="AE10" s="12"/>
      <c r="AF10" s="12"/>
      <c r="AG10" s="12"/>
      <c r="AH10" s="12"/>
      <c r="AI10" s="12"/>
    </row>
    <row r="12" customFormat="false" ht="15" hidden="false" customHeight="false" outlineLevel="0" collapsed="false">
      <c r="A12" s="11" t="s">
        <v>19</v>
      </c>
      <c r="B12" s="12" t="s">
        <v>88</v>
      </c>
      <c r="C12" s="12"/>
      <c r="D12" s="14" t="s">
        <v>5</v>
      </c>
      <c r="E12" s="15" t="s">
        <v>80</v>
      </c>
      <c r="F12" s="16" t="s">
        <v>5</v>
      </c>
      <c r="G12" s="15" t="s">
        <v>80</v>
      </c>
      <c r="H12" s="12"/>
      <c r="I12" s="12"/>
      <c r="J12" s="14" t="s">
        <v>79</v>
      </c>
      <c r="K12" s="15" t="s">
        <v>80</v>
      </c>
      <c r="L12" s="13" t="s">
        <v>78</v>
      </c>
      <c r="M12" s="12"/>
      <c r="N12" s="12"/>
      <c r="O12" s="12"/>
      <c r="P12" s="12"/>
      <c r="Q12" s="14" t="s">
        <v>5</v>
      </c>
      <c r="R12" s="15" t="s">
        <v>80</v>
      </c>
      <c r="S12" s="16" t="s">
        <v>5</v>
      </c>
      <c r="T12" s="15" t="s">
        <v>80</v>
      </c>
      <c r="U12" s="15" t="s">
        <v>80</v>
      </c>
      <c r="V12" s="12"/>
      <c r="W12" s="12"/>
      <c r="X12" s="14" t="s">
        <v>5</v>
      </c>
      <c r="Y12" s="15" t="s">
        <v>80</v>
      </c>
      <c r="Z12" s="16" t="s">
        <v>79</v>
      </c>
      <c r="AA12" s="15" t="s">
        <v>80</v>
      </c>
      <c r="AB12" s="15" t="s">
        <v>80</v>
      </c>
      <c r="AC12" s="12"/>
      <c r="AD12" s="14" t="s">
        <v>5</v>
      </c>
      <c r="AE12" s="15" t="s">
        <v>80</v>
      </c>
      <c r="AF12" s="12"/>
      <c r="AG12" s="12"/>
      <c r="AH12" s="12"/>
      <c r="AI12" s="12"/>
    </row>
    <row r="13" customFormat="false" ht="15" hidden="false" customHeight="false" outlineLevel="0" collapsed="false">
      <c r="A13" s="11" t="s">
        <v>37</v>
      </c>
      <c r="B13" s="12" t="s">
        <v>89</v>
      </c>
      <c r="C13" s="12"/>
      <c r="D13" s="12"/>
      <c r="E13" s="12"/>
      <c r="F13" s="12"/>
      <c r="G13" s="14" t="s">
        <v>79</v>
      </c>
      <c r="H13" s="15" t="s">
        <v>80</v>
      </c>
      <c r="I13" s="12"/>
      <c r="J13" s="13" t="s">
        <v>78</v>
      </c>
      <c r="K13" s="13" t="s">
        <v>78</v>
      </c>
      <c r="L13" s="12"/>
      <c r="M13" s="12"/>
      <c r="N13" s="12"/>
      <c r="O13" s="14" t="s">
        <v>79</v>
      </c>
      <c r="P13" s="15" t="s">
        <v>80</v>
      </c>
      <c r="Q13" s="12"/>
      <c r="R13" s="14" t="s">
        <v>79</v>
      </c>
      <c r="S13" s="15" t="s">
        <v>80</v>
      </c>
      <c r="T13" s="16" t="s">
        <v>79</v>
      </c>
      <c r="U13" s="15" t="s">
        <v>80</v>
      </c>
      <c r="V13" s="12"/>
      <c r="W13" s="14" t="s">
        <v>79</v>
      </c>
      <c r="X13" s="15" t="s">
        <v>80</v>
      </c>
      <c r="Y13" s="13" t="s">
        <v>78</v>
      </c>
      <c r="Z13" s="13" t="s">
        <v>78</v>
      </c>
      <c r="AA13" s="13" t="s">
        <v>78</v>
      </c>
      <c r="AB13" s="12"/>
      <c r="AC13" s="14" t="s">
        <v>79</v>
      </c>
      <c r="AD13" s="15" t="s">
        <v>80</v>
      </c>
      <c r="AE13" s="12"/>
      <c r="AF13" s="12"/>
      <c r="AG13" s="16" t="s">
        <v>5</v>
      </c>
      <c r="AH13" s="15" t="s">
        <v>80</v>
      </c>
      <c r="AI13" s="16" t="s">
        <v>5</v>
      </c>
    </row>
    <row r="14" customFormat="false" ht="15" hidden="false" customHeight="false" outlineLevel="0" collapsed="false">
      <c r="A14" s="11" t="s">
        <v>34</v>
      </c>
      <c r="B14" s="12" t="s">
        <v>90</v>
      </c>
      <c r="C14" s="12"/>
      <c r="D14" s="12"/>
      <c r="E14" s="12"/>
      <c r="F14" s="12"/>
      <c r="G14" s="14" t="s">
        <v>5</v>
      </c>
      <c r="H14" s="15" t="s">
        <v>80</v>
      </c>
      <c r="I14" s="14" t="s">
        <v>5</v>
      </c>
      <c r="J14" s="15" t="s">
        <v>80</v>
      </c>
      <c r="K14" s="14" t="s">
        <v>5</v>
      </c>
      <c r="L14" s="15" t="s">
        <v>80</v>
      </c>
      <c r="M14" s="16" t="s">
        <v>5</v>
      </c>
      <c r="N14" s="15" t="s">
        <v>80</v>
      </c>
      <c r="O14" s="14" t="s">
        <v>5</v>
      </c>
      <c r="P14" s="15" t="s">
        <v>80</v>
      </c>
      <c r="Q14" s="12"/>
      <c r="R14" s="12"/>
      <c r="S14" s="12"/>
      <c r="T14" s="12"/>
      <c r="U14" s="14" t="s">
        <v>5</v>
      </c>
      <c r="V14" s="15" t="s">
        <v>80</v>
      </c>
      <c r="W14" s="12"/>
      <c r="X14" s="14" t="s">
        <v>79</v>
      </c>
      <c r="Y14" s="15" t="s">
        <v>80</v>
      </c>
      <c r="Z14" s="16" t="s">
        <v>5</v>
      </c>
      <c r="AA14" s="15" t="s">
        <v>80</v>
      </c>
      <c r="AB14" s="15" t="s">
        <v>80</v>
      </c>
      <c r="AC14" s="12"/>
      <c r="AD14" s="12"/>
      <c r="AE14" s="12"/>
      <c r="AF14" s="12"/>
      <c r="AG14" s="12"/>
      <c r="AH14" s="12"/>
      <c r="AI14" s="12"/>
    </row>
    <row r="15" customFormat="false" ht="15" hidden="false" customHeight="false" outlineLevel="0" collapsed="false">
      <c r="A15" s="11" t="s">
        <v>52</v>
      </c>
      <c r="B15" s="12" t="s">
        <v>91</v>
      </c>
      <c r="C15" s="13" t="s">
        <v>78</v>
      </c>
      <c r="D15" s="13" t="s">
        <v>78</v>
      </c>
      <c r="E15" s="13" t="s">
        <v>78</v>
      </c>
      <c r="F15" s="13" t="s">
        <v>78</v>
      </c>
      <c r="G15" s="13" t="s">
        <v>78</v>
      </c>
      <c r="H15" s="13" t="s">
        <v>78</v>
      </c>
      <c r="I15" s="13" t="s">
        <v>78</v>
      </c>
      <c r="J15" s="13" t="s">
        <v>78</v>
      </c>
      <c r="K15" s="12"/>
      <c r="L15" s="12"/>
      <c r="M15" s="12"/>
      <c r="N15" s="12"/>
      <c r="O15" s="14" t="s">
        <v>79</v>
      </c>
      <c r="P15" s="15" t="s">
        <v>80</v>
      </c>
      <c r="Q15" s="12"/>
      <c r="R15" s="12"/>
      <c r="S15" s="12"/>
      <c r="T15" s="12"/>
      <c r="U15" s="12"/>
      <c r="V15" s="12"/>
      <c r="W15" s="14" t="s">
        <v>5</v>
      </c>
      <c r="X15" s="15" t="s">
        <v>80</v>
      </c>
      <c r="Y15" s="14" t="s">
        <v>79</v>
      </c>
      <c r="Z15" s="15" t="s">
        <v>80</v>
      </c>
      <c r="AA15" s="16" t="s">
        <v>79</v>
      </c>
      <c r="AB15" s="15" t="s">
        <v>80</v>
      </c>
      <c r="AC15" s="12"/>
      <c r="AD15" s="12"/>
      <c r="AE15" s="14" t="s">
        <v>79</v>
      </c>
      <c r="AF15" s="15" t="s">
        <v>80</v>
      </c>
      <c r="AG15" s="16" t="s">
        <v>79</v>
      </c>
      <c r="AH15" s="15" t="s">
        <v>80</v>
      </c>
      <c r="AI15" s="16" t="s">
        <v>79</v>
      </c>
    </row>
    <row r="16" customFormat="false" ht="15" hidden="false" customHeight="false" outlineLevel="0" collapsed="false">
      <c r="A16" s="11" t="s">
        <v>22</v>
      </c>
      <c r="B16" s="12" t="s">
        <v>92</v>
      </c>
      <c r="C16" s="13" t="s">
        <v>78</v>
      </c>
      <c r="D16" s="14" t="s">
        <v>79</v>
      </c>
      <c r="E16" s="15" t="s">
        <v>80</v>
      </c>
      <c r="F16" s="16" t="s">
        <v>79</v>
      </c>
      <c r="G16" s="15" t="s">
        <v>80</v>
      </c>
      <c r="H16" s="14" t="s">
        <v>5</v>
      </c>
      <c r="I16" s="15" t="s">
        <v>80</v>
      </c>
      <c r="J16" s="14" t="s">
        <v>5</v>
      </c>
      <c r="K16" s="15" t="s">
        <v>80</v>
      </c>
      <c r="L16" s="12"/>
      <c r="M16" s="12"/>
      <c r="N16" s="12"/>
      <c r="O16" s="12"/>
      <c r="P16" s="12"/>
      <c r="Q16" s="14" t="s">
        <v>79</v>
      </c>
      <c r="R16" s="15" t="s">
        <v>80</v>
      </c>
      <c r="S16" s="12"/>
      <c r="T16" s="12"/>
      <c r="U16" s="14" t="s">
        <v>79</v>
      </c>
      <c r="V16" s="15" t="s">
        <v>80</v>
      </c>
      <c r="W16" s="12"/>
      <c r="X16" s="12"/>
      <c r="Y16" s="14" t="s">
        <v>79</v>
      </c>
      <c r="Z16" s="15" t="s">
        <v>80</v>
      </c>
      <c r="AA16" s="16" t="s">
        <v>79</v>
      </c>
      <c r="AB16" s="13" t="s">
        <v>78</v>
      </c>
      <c r="AC16" s="12"/>
      <c r="AD16" s="12"/>
      <c r="AE16" s="12"/>
      <c r="AF16" s="13" t="s">
        <v>78</v>
      </c>
      <c r="AG16" s="12"/>
      <c r="AH16" s="12"/>
      <c r="AI16" s="12"/>
    </row>
    <row r="17" customFormat="false" ht="15" hidden="false" customHeight="false" outlineLevel="0" collapsed="false">
      <c r="A17" s="11" t="s">
        <v>43</v>
      </c>
      <c r="B17" s="12" t="s">
        <v>93</v>
      </c>
      <c r="C17" s="12"/>
      <c r="D17" s="12"/>
      <c r="E17" s="12"/>
      <c r="F17" s="12"/>
      <c r="G17" s="12"/>
      <c r="H17" s="12"/>
      <c r="I17" s="14" t="s">
        <v>79</v>
      </c>
      <c r="J17" s="15" t="s">
        <v>80</v>
      </c>
      <c r="K17" s="12"/>
      <c r="L17" s="16" t="s">
        <v>79</v>
      </c>
      <c r="M17" s="15" t="s">
        <v>80</v>
      </c>
      <c r="N17" s="16" t="s">
        <v>79</v>
      </c>
      <c r="O17" s="15" t="s">
        <v>80</v>
      </c>
      <c r="P17" s="12"/>
      <c r="Q17" s="13" t="s">
        <v>78</v>
      </c>
      <c r="R17" s="13" t="s">
        <v>78</v>
      </c>
      <c r="S17" s="13" t="s">
        <v>78</v>
      </c>
      <c r="T17" s="13" t="s">
        <v>78</v>
      </c>
      <c r="U17" s="12"/>
      <c r="V17" s="14" t="s">
        <v>79</v>
      </c>
      <c r="W17" s="15" t="s">
        <v>80</v>
      </c>
      <c r="X17" s="12"/>
      <c r="Y17" s="14" t="s">
        <v>5</v>
      </c>
      <c r="Z17" s="15" t="s">
        <v>80</v>
      </c>
      <c r="AA17" s="16" t="s">
        <v>5</v>
      </c>
      <c r="AB17" s="15" t="s">
        <v>80</v>
      </c>
      <c r="AC17" s="14" t="s">
        <v>5</v>
      </c>
      <c r="AD17" s="15" t="s">
        <v>80</v>
      </c>
      <c r="AE17" s="14" t="s">
        <v>79</v>
      </c>
      <c r="AF17" s="15" t="s">
        <v>80</v>
      </c>
      <c r="AG17" s="12"/>
      <c r="AH17" s="12"/>
      <c r="AI17" s="12"/>
    </row>
    <row r="18" customFormat="false" ht="15" hidden="false" customHeight="false" outlineLevel="0" collapsed="false">
      <c r="A18" s="11" t="s">
        <v>15</v>
      </c>
      <c r="B18" s="12" t="s">
        <v>94</v>
      </c>
      <c r="C18" s="14" t="s">
        <v>79</v>
      </c>
      <c r="D18" s="15" t="s">
        <v>80</v>
      </c>
      <c r="E18" s="13" t="s">
        <v>78</v>
      </c>
      <c r="F18" s="13" t="s">
        <v>78</v>
      </c>
      <c r="G18" s="12"/>
      <c r="H18" s="12"/>
      <c r="I18" s="14" t="s">
        <v>79</v>
      </c>
      <c r="J18" s="15" t="s">
        <v>80</v>
      </c>
      <c r="K18" s="14" t="s">
        <v>79</v>
      </c>
      <c r="L18" s="15" t="s">
        <v>80</v>
      </c>
      <c r="M18" s="16" t="s">
        <v>79</v>
      </c>
      <c r="N18" s="15" t="s">
        <v>80</v>
      </c>
      <c r="O18" s="12"/>
      <c r="P18" s="12"/>
      <c r="Q18" s="12"/>
      <c r="R18" s="12"/>
      <c r="S18" s="16" t="s">
        <v>79</v>
      </c>
      <c r="T18" s="15" t="s">
        <v>80</v>
      </c>
      <c r="U18" s="15" t="s">
        <v>80</v>
      </c>
      <c r="V18" s="12"/>
      <c r="W18" s="12"/>
      <c r="X18" s="14" t="s">
        <v>79</v>
      </c>
      <c r="Y18" s="13" t="s">
        <v>78</v>
      </c>
      <c r="Z18" s="13" t="s">
        <v>78</v>
      </c>
      <c r="AA18" s="13" t="s">
        <v>78</v>
      </c>
      <c r="AB18" s="14" t="s">
        <v>79</v>
      </c>
      <c r="AC18" s="15" t="s">
        <v>80</v>
      </c>
      <c r="AD18" s="14" t="s">
        <v>79</v>
      </c>
      <c r="AE18" s="15" t="s">
        <v>80</v>
      </c>
      <c r="AF18" s="12"/>
      <c r="AG18" s="12"/>
      <c r="AH18" s="12"/>
      <c r="AI18" s="12"/>
    </row>
    <row r="19" customFormat="false" ht="15" hidden="false" customHeight="false" outlineLevel="0" collapsed="false">
      <c r="A19" s="11" t="s">
        <v>28</v>
      </c>
      <c r="B19" s="12" t="s">
        <v>95</v>
      </c>
      <c r="C19" s="12"/>
      <c r="D19" s="12"/>
      <c r="E19" s="16" t="s">
        <v>79</v>
      </c>
      <c r="F19" s="15" t="s">
        <v>80</v>
      </c>
      <c r="G19" s="15" t="s">
        <v>80</v>
      </c>
      <c r="H19" s="14" t="s">
        <v>79</v>
      </c>
      <c r="I19" s="15" t="s">
        <v>80</v>
      </c>
      <c r="J19" s="12"/>
      <c r="K19" s="12"/>
      <c r="L19" s="12"/>
      <c r="M19" s="12"/>
      <c r="N19" s="12"/>
      <c r="O19" s="12"/>
      <c r="P19" s="14" t="s">
        <v>79</v>
      </c>
      <c r="Q19" s="15" t="s">
        <v>80</v>
      </c>
      <c r="R19" s="12"/>
      <c r="S19" s="12"/>
      <c r="T19" s="12"/>
      <c r="U19" s="14" t="s">
        <v>79</v>
      </c>
      <c r="V19" s="15" t="s">
        <v>80</v>
      </c>
      <c r="W19" s="14" t="s">
        <v>79</v>
      </c>
      <c r="X19" s="15" t="s">
        <v>80</v>
      </c>
      <c r="Y19" s="12"/>
      <c r="Z19" s="16" t="s">
        <v>79</v>
      </c>
      <c r="AA19" s="15" t="s">
        <v>80</v>
      </c>
      <c r="AB19" s="15" t="s">
        <v>80</v>
      </c>
      <c r="AC19" s="12"/>
      <c r="AD19" s="12"/>
      <c r="AE19" s="12"/>
      <c r="AF19" s="14" t="s">
        <v>79</v>
      </c>
      <c r="AG19" s="15" t="s">
        <v>80</v>
      </c>
      <c r="AH19" s="16" t="s">
        <v>79</v>
      </c>
      <c r="AI19" s="15" t="s">
        <v>80</v>
      </c>
    </row>
    <row r="21" customFormat="false" ht="15" hidden="false" customHeight="false" outlineLevel="0" collapsed="false">
      <c r="A21" s="11" t="s">
        <v>26</v>
      </c>
      <c r="B21" s="12" t="s">
        <v>96</v>
      </c>
      <c r="C21" s="12"/>
      <c r="D21" s="12"/>
      <c r="E21" s="16" t="s">
        <v>6</v>
      </c>
      <c r="F21" s="15" t="s">
        <v>80</v>
      </c>
      <c r="G21" s="15" t="s">
        <v>80</v>
      </c>
      <c r="H21" s="12"/>
      <c r="I21" s="12"/>
      <c r="J21" s="13" t="s">
        <v>78</v>
      </c>
      <c r="K21" s="13" t="s">
        <v>78</v>
      </c>
      <c r="L21" s="13" t="s">
        <v>78</v>
      </c>
      <c r="M21" s="13" t="s">
        <v>78</v>
      </c>
      <c r="N21" s="13" t="s">
        <v>78</v>
      </c>
      <c r="O21" s="12"/>
      <c r="P21" s="14" t="s">
        <v>6</v>
      </c>
      <c r="Q21" s="15" t="s">
        <v>80</v>
      </c>
      <c r="R21" s="14" t="s">
        <v>6</v>
      </c>
      <c r="S21" s="15" t="s">
        <v>80</v>
      </c>
      <c r="T21" s="16" t="s">
        <v>6</v>
      </c>
      <c r="U21" s="15" t="s">
        <v>80</v>
      </c>
      <c r="V21" s="14" t="s">
        <v>6</v>
      </c>
      <c r="W21" s="15" t="s">
        <v>80</v>
      </c>
      <c r="X21" s="12"/>
      <c r="Y21" s="12"/>
      <c r="Z21" s="12"/>
      <c r="AA21" s="12"/>
      <c r="AB21" s="12"/>
      <c r="AC21" s="12"/>
      <c r="AD21" s="12"/>
      <c r="AE21" s="14" t="s">
        <v>6</v>
      </c>
      <c r="AF21" s="15" t="s">
        <v>80</v>
      </c>
      <c r="AG21" s="12"/>
      <c r="AH21" s="12"/>
      <c r="AI21" s="12"/>
    </row>
    <row r="22" customFormat="false" ht="15" hidden="false" customHeight="false" outlineLevel="0" collapsed="false">
      <c r="A22" s="11" t="s">
        <v>20</v>
      </c>
      <c r="B22" s="12" t="s">
        <v>97</v>
      </c>
      <c r="C22" s="12"/>
      <c r="D22" s="14" t="s">
        <v>6</v>
      </c>
      <c r="E22" s="15" t="s">
        <v>80</v>
      </c>
      <c r="F22" s="16" t="s">
        <v>6</v>
      </c>
      <c r="G22" s="15" t="s">
        <v>80</v>
      </c>
      <c r="H22" s="12"/>
      <c r="I22" s="12"/>
      <c r="J22" s="13" t="s">
        <v>78</v>
      </c>
      <c r="K22" s="13" t="s">
        <v>78</v>
      </c>
      <c r="L22" s="16" t="s">
        <v>6</v>
      </c>
      <c r="M22" s="15" t="s">
        <v>80</v>
      </c>
      <c r="N22" s="16" t="s">
        <v>6</v>
      </c>
      <c r="O22" s="15" t="s">
        <v>80</v>
      </c>
      <c r="P22" s="12"/>
      <c r="Q22" s="12"/>
      <c r="R22" s="12"/>
      <c r="S22" s="16" t="s">
        <v>6</v>
      </c>
      <c r="T22" s="15" t="s">
        <v>80</v>
      </c>
      <c r="U22" s="15" t="s">
        <v>80</v>
      </c>
      <c r="V22" s="12"/>
      <c r="W22" s="12"/>
      <c r="X22" s="13" t="s">
        <v>78</v>
      </c>
      <c r="Y22" s="13" t="s">
        <v>78</v>
      </c>
      <c r="Z22" s="13" t="s">
        <v>78</v>
      </c>
      <c r="AA22" s="13" t="s">
        <v>78</v>
      </c>
      <c r="AB22" s="14" t="s">
        <v>6</v>
      </c>
      <c r="AC22" s="15" t="s">
        <v>80</v>
      </c>
      <c r="AD22" s="12"/>
      <c r="AE22" s="12"/>
      <c r="AF22" s="12"/>
      <c r="AG22" s="12"/>
      <c r="AH22" s="12"/>
      <c r="AI22" s="12"/>
    </row>
    <row r="23" customFormat="false" ht="15" hidden="false" customHeight="false" outlineLevel="0" collapsed="false">
      <c r="A23" s="11" t="s">
        <v>12</v>
      </c>
      <c r="B23" s="12" t="s">
        <v>98</v>
      </c>
      <c r="C23" s="14" t="s">
        <v>5</v>
      </c>
      <c r="D23" s="15" t="s">
        <v>80</v>
      </c>
      <c r="E23" s="12"/>
      <c r="F23" s="12"/>
      <c r="G23" s="12"/>
      <c r="H23" s="12"/>
      <c r="I23" s="12"/>
      <c r="J23" s="12"/>
      <c r="K23" s="12"/>
      <c r="L23" s="16" t="s">
        <v>5</v>
      </c>
      <c r="M23" s="15" t="s">
        <v>80</v>
      </c>
      <c r="N23" s="16" t="s">
        <v>5</v>
      </c>
      <c r="O23" s="15" t="s">
        <v>80</v>
      </c>
      <c r="P23" s="12"/>
      <c r="Q23" s="12"/>
      <c r="R23" s="14" t="s">
        <v>5</v>
      </c>
      <c r="S23" s="15" t="s">
        <v>80</v>
      </c>
      <c r="T23" s="16" t="s">
        <v>5</v>
      </c>
      <c r="U23" s="15" t="s">
        <v>80</v>
      </c>
      <c r="V23" s="12"/>
      <c r="W23" s="12"/>
      <c r="X23" s="12"/>
      <c r="Y23" s="12"/>
      <c r="Z23" s="13" t="s">
        <v>78</v>
      </c>
      <c r="AA23" s="13" t="s">
        <v>78</v>
      </c>
      <c r="AB23" s="12"/>
      <c r="AC23" s="12"/>
      <c r="AD23" s="12"/>
      <c r="AE23" s="14" t="s">
        <v>5</v>
      </c>
      <c r="AF23" s="15" t="s">
        <v>80</v>
      </c>
      <c r="AG23" s="12"/>
      <c r="AH23" s="12"/>
      <c r="AI23" s="12"/>
    </row>
    <row r="24" customFormat="false" ht="15" hidden="false" customHeight="false" outlineLevel="0" collapsed="false">
      <c r="A24" s="11" t="s">
        <v>25</v>
      </c>
      <c r="B24" s="12" t="s">
        <v>99</v>
      </c>
      <c r="C24" s="12"/>
      <c r="D24" s="12"/>
      <c r="E24" s="16" t="s">
        <v>5</v>
      </c>
      <c r="F24" s="15" t="s">
        <v>80</v>
      </c>
      <c r="G24" s="15" t="s">
        <v>80</v>
      </c>
      <c r="H24" s="12"/>
      <c r="I24" s="12"/>
      <c r="J24" s="12"/>
      <c r="K24" s="13" t="s">
        <v>78</v>
      </c>
      <c r="L24" s="13" t="s">
        <v>78</v>
      </c>
      <c r="M24" s="13" t="s">
        <v>78</v>
      </c>
      <c r="N24" s="12"/>
      <c r="O24" s="12"/>
      <c r="P24" s="14" t="s">
        <v>5</v>
      </c>
      <c r="Q24" s="15" t="s">
        <v>80</v>
      </c>
      <c r="R24" s="12"/>
      <c r="S24" s="12"/>
      <c r="T24" s="12"/>
      <c r="U24" s="12"/>
      <c r="V24" s="14" t="s">
        <v>5</v>
      </c>
      <c r="W24" s="15" t="s">
        <v>80</v>
      </c>
      <c r="X24" s="12"/>
      <c r="Y24" s="12"/>
      <c r="Z24" s="12"/>
      <c r="AA24" s="12"/>
      <c r="AB24" s="14" t="s">
        <v>5</v>
      </c>
      <c r="AC24" s="15" t="s">
        <v>80</v>
      </c>
      <c r="AD24" s="12"/>
      <c r="AE24" s="12"/>
      <c r="AF24" s="14" t="s">
        <v>5</v>
      </c>
      <c r="AG24" s="15" t="s">
        <v>80</v>
      </c>
      <c r="AH24" s="16" t="s">
        <v>5</v>
      </c>
      <c r="AI24" s="15" t="s">
        <v>80</v>
      </c>
    </row>
    <row r="26" customFormat="false" ht="15" hidden="false" customHeight="false" outlineLevel="0" collapsed="false">
      <c r="A26" s="11" t="s">
        <v>13</v>
      </c>
      <c r="B26" s="12" t="s">
        <v>100</v>
      </c>
      <c r="C26" s="14" t="s">
        <v>6</v>
      </c>
      <c r="D26" s="13" t="s">
        <v>78</v>
      </c>
      <c r="E26" s="13" t="s">
        <v>78</v>
      </c>
      <c r="F26" s="13" t="s">
        <v>78</v>
      </c>
      <c r="G26" s="12"/>
      <c r="H26" s="12"/>
      <c r="I26" s="14" t="s">
        <v>6</v>
      </c>
      <c r="J26" s="15" t="s">
        <v>80</v>
      </c>
      <c r="K26" s="14" t="s">
        <v>4</v>
      </c>
      <c r="L26" s="12"/>
      <c r="M26" s="13" t="s">
        <v>78</v>
      </c>
      <c r="N26" s="12"/>
      <c r="O26" s="14" t="s">
        <v>4</v>
      </c>
      <c r="P26" s="14" t="s">
        <v>4</v>
      </c>
      <c r="Q26" s="12"/>
      <c r="R26" s="14" t="s">
        <v>4</v>
      </c>
      <c r="S26" s="16" t="s">
        <v>4</v>
      </c>
      <c r="T26" s="16" t="s">
        <v>4</v>
      </c>
      <c r="U26" s="12"/>
      <c r="V26" s="12"/>
      <c r="W26" s="14" t="s">
        <v>6</v>
      </c>
      <c r="X26" s="15" t="s">
        <v>80</v>
      </c>
      <c r="Y26" s="13" t="s">
        <v>78</v>
      </c>
      <c r="Z26" s="13" t="s">
        <v>78</v>
      </c>
      <c r="AA26" s="13" t="s">
        <v>78</v>
      </c>
      <c r="AB26" s="12"/>
      <c r="AC26" s="14" t="s">
        <v>4</v>
      </c>
      <c r="AD26" s="12"/>
      <c r="AE26" s="12"/>
      <c r="AF26" s="12"/>
      <c r="AG26" s="16" t="s">
        <v>6</v>
      </c>
      <c r="AH26" s="15" t="s">
        <v>80</v>
      </c>
      <c r="AI26" s="16" t="s">
        <v>6</v>
      </c>
    </row>
    <row r="27" customFormat="false" ht="15" hidden="false" customHeight="false" outlineLevel="0" collapsed="false">
      <c r="A27" s="11" t="s">
        <v>35</v>
      </c>
      <c r="B27" s="12" t="s">
        <v>101</v>
      </c>
      <c r="C27" s="12"/>
      <c r="D27" s="13" t="s">
        <v>78</v>
      </c>
      <c r="E27" s="13" t="s">
        <v>78</v>
      </c>
      <c r="F27" s="13" t="s">
        <v>78</v>
      </c>
      <c r="G27" s="14" t="s">
        <v>6</v>
      </c>
      <c r="H27" s="15" t="s">
        <v>80</v>
      </c>
      <c r="I27" s="12"/>
      <c r="J27" s="14" t="s">
        <v>6</v>
      </c>
      <c r="K27" s="13" t="s">
        <v>78</v>
      </c>
      <c r="L27" s="13" t="s">
        <v>78</v>
      </c>
      <c r="M27" s="13" t="s">
        <v>78</v>
      </c>
      <c r="N27" s="12"/>
      <c r="O27" s="14" t="s">
        <v>6</v>
      </c>
      <c r="P27" s="15" t="s">
        <v>80</v>
      </c>
      <c r="Q27" s="13" t="s">
        <v>78</v>
      </c>
      <c r="R27" s="13" t="s">
        <v>78</v>
      </c>
      <c r="S27" s="13" t="s">
        <v>78</v>
      </c>
      <c r="T27" s="13" t="s">
        <v>78</v>
      </c>
      <c r="U27" s="13" t="s">
        <v>78</v>
      </c>
      <c r="V27" s="13" t="s">
        <v>78</v>
      </c>
      <c r="W27" s="13" t="s">
        <v>78</v>
      </c>
      <c r="X27" s="12"/>
      <c r="Y27" s="12"/>
      <c r="Z27" s="16" t="s">
        <v>4</v>
      </c>
      <c r="AA27" s="16" t="s">
        <v>4</v>
      </c>
      <c r="AB27" s="14" t="s">
        <v>4</v>
      </c>
      <c r="AC27" s="12"/>
      <c r="AD27" s="14" t="s">
        <v>4</v>
      </c>
      <c r="AE27" s="12"/>
      <c r="AF27" s="14" t="s">
        <v>6</v>
      </c>
      <c r="AG27" s="15" t="s">
        <v>80</v>
      </c>
      <c r="AH27" s="16" t="s">
        <v>6</v>
      </c>
      <c r="AI27" s="15" t="s">
        <v>80</v>
      </c>
    </row>
    <row r="28" customFormat="false" ht="15" hidden="false" customHeight="false" outlineLevel="0" collapsed="false">
      <c r="A28" s="11" t="s">
        <v>33</v>
      </c>
      <c r="B28" s="12" t="s">
        <v>102</v>
      </c>
      <c r="C28" s="13" t="s">
        <v>103</v>
      </c>
      <c r="D28" s="12"/>
      <c r="E28" s="12"/>
      <c r="F28" s="13" t="s">
        <v>103</v>
      </c>
      <c r="G28" s="14" t="s">
        <v>4</v>
      </c>
      <c r="H28" s="12"/>
      <c r="I28" s="13" t="s">
        <v>103</v>
      </c>
      <c r="J28" s="12"/>
      <c r="K28" s="12"/>
      <c r="L28" s="13" t="s">
        <v>103</v>
      </c>
      <c r="M28" s="12"/>
      <c r="N28" s="12"/>
      <c r="O28" s="13" t="s">
        <v>103</v>
      </c>
      <c r="P28" s="12"/>
      <c r="Q28" s="14" t="s">
        <v>6</v>
      </c>
      <c r="R28" s="13" t="s">
        <v>78</v>
      </c>
      <c r="S28" s="13" t="s">
        <v>78</v>
      </c>
      <c r="T28" s="13" t="s">
        <v>78</v>
      </c>
      <c r="U28" s="14" t="s">
        <v>4</v>
      </c>
      <c r="V28" s="12"/>
      <c r="W28" s="13" t="s">
        <v>103</v>
      </c>
      <c r="X28" s="14" t="s">
        <v>4</v>
      </c>
      <c r="Y28" s="14" t="s">
        <v>4</v>
      </c>
      <c r="Z28" s="12"/>
      <c r="AA28" s="13" t="s">
        <v>103</v>
      </c>
      <c r="AB28" s="12"/>
      <c r="AC28" s="12"/>
      <c r="AD28" s="13" t="s">
        <v>103</v>
      </c>
      <c r="AE28" s="14" t="s">
        <v>4</v>
      </c>
      <c r="AF28" s="12"/>
      <c r="AG28" s="16" t="s">
        <v>4</v>
      </c>
      <c r="AH28" s="16" t="s">
        <v>4</v>
      </c>
      <c r="AI28" s="16" t="s">
        <v>4</v>
      </c>
    </row>
    <row r="29" customFormat="false" ht="15" hidden="false" customHeight="false" outlineLevel="0" collapsed="false">
      <c r="A29" s="11" t="s">
        <v>18</v>
      </c>
      <c r="B29" s="12" t="s">
        <v>104</v>
      </c>
      <c r="C29" s="12"/>
      <c r="D29" s="14" t="s">
        <v>4</v>
      </c>
      <c r="E29" s="16" t="s">
        <v>4</v>
      </c>
      <c r="F29" s="16" t="s">
        <v>4</v>
      </c>
      <c r="G29" s="12"/>
      <c r="H29" s="14" t="s">
        <v>4</v>
      </c>
      <c r="I29" s="14" t="s">
        <v>4</v>
      </c>
      <c r="J29" s="12"/>
      <c r="K29" s="14" t="s">
        <v>6</v>
      </c>
      <c r="L29" s="15" t="s">
        <v>80</v>
      </c>
      <c r="M29" s="16" t="s">
        <v>6</v>
      </c>
      <c r="N29" s="15" t="s">
        <v>80</v>
      </c>
      <c r="O29" s="12"/>
      <c r="P29" s="12"/>
      <c r="Q29" s="14" t="s">
        <v>4</v>
      </c>
      <c r="R29" s="12"/>
      <c r="S29" s="12"/>
      <c r="T29" s="12"/>
      <c r="U29" s="12"/>
      <c r="V29" s="14" t="s">
        <v>4</v>
      </c>
      <c r="W29" s="12"/>
      <c r="X29" s="14" t="s">
        <v>6</v>
      </c>
      <c r="Y29" s="15" t="s">
        <v>80</v>
      </c>
      <c r="Z29" s="16" t="s">
        <v>6</v>
      </c>
      <c r="AA29" s="15" t="s">
        <v>80</v>
      </c>
      <c r="AB29" s="15" t="s">
        <v>80</v>
      </c>
      <c r="AC29" s="14" t="s">
        <v>6</v>
      </c>
      <c r="AD29" s="15" t="s">
        <v>80</v>
      </c>
      <c r="AE29" s="13" t="s">
        <v>78</v>
      </c>
      <c r="AF29" s="13" t="s">
        <v>78</v>
      </c>
      <c r="AG29" s="13" t="s">
        <v>78</v>
      </c>
      <c r="AH29" s="13" t="s">
        <v>78</v>
      </c>
      <c r="AI29" s="12"/>
    </row>
    <row r="30" customFormat="false" ht="15" hidden="false" customHeight="false" outlineLevel="0" collapsed="false">
      <c r="A30" s="11" t="s">
        <v>11</v>
      </c>
      <c r="B30" s="12" t="s">
        <v>105</v>
      </c>
      <c r="C30" s="14" t="s">
        <v>4</v>
      </c>
      <c r="D30" s="12"/>
      <c r="E30" s="13" t="s">
        <v>78</v>
      </c>
      <c r="F30" s="13" t="s">
        <v>78</v>
      </c>
      <c r="G30" s="12"/>
      <c r="H30" s="14" t="s">
        <v>6</v>
      </c>
      <c r="I30" s="15" t="s">
        <v>80</v>
      </c>
      <c r="J30" s="14" t="s">
        <v>4</v>
      </c>
      <c r="K30" s="12"/>
      <c r="L30" s="16" t="s">
        <v>4</v>
      </c>
      <c r="M30" s="16" t="s">
        <v>4</v>
      </c>
      <c r="N30" s="16" t="s">
        <v>4</v>
      </c>
      <c r="O30" s="12"/>
      <c r="P30" s="13" t="s">
        <v>78</v>
      </c>
      <c r="Q30" s="13" t="s">
        <v>78</v>
      </c>
      <c r="R30" s="13" t="s">
        <v>78</v>
      </c>
      <c r="S30" s="13" t="s">
        <v>78</v>
      </c>
      <c r="T30" s="13" t="s">
        <v>78</v>
      </c>
      <c r="U30" s="14" t="s">
        <v>6</v>
      </c>
      <c r="V30" s="15" t="s">
        <v>80</v>
      </c>
      <c r="W30" s="14" t="s">
        <v>4</v>
      </c>
      <c r="X30" s="12"/>
      <c r="Y30" s="14" t="s">
        <v>6</v>
      </c>
      <c r="Z30" s="15" t="s">
        <v>80</v>
      </c>
      <c r="AA30" s="16" t="s">
        <v>6</v>
      </c>
      <c r="AB30" s="15" t="s">
        <v>80</v>
      </c>
      <c r="AC30" s="12"/>
      <c r="AD30" s="14" t="s">
        <v>6</v>
      </c>
      <c r="AE30" s="15" t="s">
        <v>80</v>
      </c>
      <c r="AF30" s="14" t="s">
        <v>4</v>
      </c>
      <c r="AG30" s="12"/>
      <c r="AH30" s="12"/>
      <c r="AI3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6"/>
    <col collapsed="false" customWidth="true" hidden="false" outlineLevel="0" max="8" min="7" style="0" width="7"/>
    <col collapsed="false" customWidth="true" hidden="false" outlineLevel="0" max="9" min="9" style="0" width="20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75</v>
      </c>
      <c r="B1" s="1" t="s">
        <v>76</v>
      </c>
      <c r="C1" s="1" t="s">
        <v>106</v>
      </c>
      <c r="D1" s="1" t="s">
        <v>107</v>
      </c>
      <c r="E1" s="1" t="s">
        <v>4</v>
      </c>
      <c r="F1" s="1" t="s">
        <v>5</v>
      </c>
      <c r="G1" s="1" t="s">
        <v>6</v>
      </c>
      <c r="H1" s="1" t="s">
        <v>79</v>
      </c>
      <c r="I1" s="1" t="s">
        <v>108</v>
      </c>
      <c r="J1" s="1" t="s">
        <v>109</v>
      </c>
    </row>
    <row r="2" customFormat="false" ht="15" hidden="false" customHeight="false" outlineLevel="0" collapsed="false">
      <c r="A2" s="12" t="s">
        <v>45</v>
      </c>
      <c r="B2" s="12" t="s">
        <v>77</v>
      </c>
      <c r="C2" s="12" t="s">
        <v>110</v>
      </c>
      <c r="D2" s="12" t="n">
        <f aca="false">COUNTIF('Tabla por residente'!C3:AI3,"TX")+COUNTIF('Tabla por residente'!C3:AI3,"REA")+COUNTIF('Tabla por residente'!C3:AI3,"QX-M")+COUNTIF('Tabla por residente'!C3:AI3,"QX-P")</f>
        <v>3</v>
      </c>
      <c r="E2" s="12" t="n">
        <f aca="false">COUNTIF('Tabla por residente'!C3:AI3,"TX")</f>
        <v>0</v>
      </c>
      <c r="F2" s="12" t="n">
        <f aca="false">COUNTIF('Tabla por residente'!C3:AI3,"REA")</f>
        <v>0</v>
      </c>
      <c r="G2" s="12" t="n">
        <f aca="false">COUNTIF('Tabla por residente'!C3:AI3,"QX-M")</f>
        <v>0</v>
      </c>
      <c r="H2" s="12" t="n">
        <f aca="false">COUNTIF('Tabla por residente'!C3:AI3,"QX-P")</f>
        <v>3</v>
      </c>
      <c r="I2" s="12" t="n">
        <v>1</v>
      </c>
      <c r="J2" s="12" t="s">
        <v>111</v>
      </c>
    </row>
    <row r="3" customFormat="false" ht="15" hidden="false" customHeight="false" outlineLevel="0" collapsed="false">
      <c r="A3" s="12" t="s">
        <v>54</v>
      </c>
      <c r="B3" s="12" t="s">
        <v>81</v>
      </c>
      <c r="C3" s="12" t="s">
        <v>110</v>
      </c>
      <c r="D3" s="12" t="n">
        <f aca="false">COUNTIF('Tabla por residente'!C4:AI4,"TX")+COUNTIF('Tabla por residente'!C4:AI4,"REA")+COUNTIF('Tabla por residente'!C4:AI4,"QX-M")+COUNTIF('Tabla por residente'!C4:AI4,"QX-P")</f>
        <v>3</v>
      </c>
      <c r="E3" s="12" t="n">
        <f aca="false">COUNTIF('Tabla por residente'!C4:AI4,"TX")</f>
        <v>0</v>
      </c>
      <c r="F3" s="12" t="n">
        <f aca="false">COUNTIF('Tabla por residente'!C4:AI4,"REA")</f>
        <v>0</v>
      </c>
      <c r="G3" s="12" t="n">
        <f aca="false">COUNTIF('Tabla por residente'!C4:AI4,"QX-M")</f>
        <v>0</v>
      </c>
      <c r="H3" s="12" t="n">
        <f aca="false">COUNTIF('Tabla por residente'!C4:AI4,"QX-P")</f>
        <v>3</v>
      </c>
      <c r="I3" s="12" t="n">
        <v>2</v>
      </c>
      <c r="J3" s="12" t="s">
        <v>111</v>
      </c>
    </row>
    <row r="4" customFormat="false" ht="15" hidden="false" customHeight="false" outlineLevel="0" collapsed="false">
      <c r="A4" s="12" t="s">
        <v>36</v>
      </c>
      <c r="B4" s="12" t="s">
        <v>82</v>
      </c>
      <c r="C4" s="12" t="s">
        <v>110</v>
      </c>
      <c r="D4" s="12" t="n">
        <f aca="false">COUNTIF('Tabla por residente'!C5:AI5,"TX")+COUNTIF('Tabla por residente'!C5:AI5,"REA")+COUNTIF('Tabla por residente'!C5:AI5,"QX-M")+COUNTIF('Tabla por residente'!C5:AI5,"QX-P")</f>
        <v>3</v>
      </c>
      <c r="E4" s="12" t="n">
        <f aca="false">COUNTIF('Tabla por residente'!C5:AI5,"TX")</f>
        <v>0</v>
      </c>
      <c r="F4" s="12" t="n">
        <f aca="false">COUNTIF('Tabla por residente'!C5:AI5,"REA")</f>
        <v>0</v>
      </c>
      <c r="G4" s="12" t="n">
        <f aca="false">COUNTIF('Tabla por residente'!C5:AI5,"QX-M")</f>
        <v>0</v>
      </c>
      <c r="H4" s="12" t="n">
        <f aca="false">COUNTIF('Tabla por residente'!C5:AI5,"QX-P")</f>
        <v>3</v>
      </c>
      <c r="I4" s="12" t="n">
        <v>2</v>
      </c>
      <c r="J4" s="12" t="s">
        <v>112</v>
      </c>
    </row>
    <row r="5" customFormat="false" ht="15" hidden="false" customHeight="false" outlineLevel="0" collapsed="false">
      <c r="A5" s="12" t="s">
        <v>21</v>
      </c>
      <c r="B5" s="12" t="s">
        <v>83</v>
      </c>
      <c r="C5" s="12" t="s">
        <v>110</v>
      </c>
      <c r="D5" s="12" t="n">
        <f aca="false">COUNTIF('Tabla por residente'!C6:AI6,"TX")+COUNTIF('Tabla por residente'!C6:AI6,"REA")+COUNTIF('Tabla por residente'!C6:AI6,"QX-M")+COUNTIF('Tabla por residente'!C6:AI6,"QX-P")</f>
        <v>3</v>
      </c>
      <c r="E5" s="12" t="n">
        <f aca="false">COUNTIF('Tabla por residente'!C6:AI6,"TX")</f>
        <v>0</v>
      </c>
      <c r="F5" s="12" t="n">
        <f aca="false">COUNTIF('Tabla por residente'!C6:AI6,"REA")</f>
        <v>0</v>
      </c>
      <c r="G5" s="12" t="n">
        <f aca="false">COUNTIF('Tabla por residente'!C6:AI6,"QX-M")</f>
        <v>0</v>
      </c>
      <c r="H5" s="12" t="n">
        <f aca="false">COUNTIF('Tabla por residente'!C6:AI6,"QX-P")</f>
        <v>3</v>
      </c>
      <c r="I5" s="12" t="n">
        <v>2</v>
      </c>
      <c r="J5" s="12" t="s">
        <v>111</v>
      </c>
    </row>
    <row r="6" customFormat="false" ht="15" hidden="false" customHeight="false" outlineLevel="0" collapsed="false">
      <c r="A6" s="12" t="s">
        <v>69</v>
      </c>
      <c r="B6" s="12" t="s">
        <v>84</v>
      </c>
      <c r="C6" s="12" t="s">
        <v>110</v>
      </c>
      <c r="D6" s="12" t="n">
        <f aca="false">COUNTIF('Tabla por residente'!C7:AI7,"TX")+COUNTIF('Tabla por residente'!C7:AI7,"REA")+COUNTIF('Tabla por residente'!C7:AI7,"QX-M")+COUNTIF('Tabla por residente'!C7:AI7,"QX-P")</f>
        <v>3</v>
      </c>
      <c r="E6" s="12" t="n">
        <f aca="false">COUNTIF('Tabla por residente'!C7:AI7,"TX")</f>
        <v>0</v>
      </c>
      <c r="F6" s="12" t="n">
        <f aca="false">COUNTIF('Tabla por residente'!C7:AI7,"REA")</f>
        <v>0</v>
      </c>
      <c r="G6" s="12" t="n">
        <f aca="false">COUNTIF('Tabla por residente'!C7:AI7,"QX-M")</f>
        <v>0</v>
      </c>
      <c r="H6" s="12" t="n">
        <f aca="false">COUNTIF('Tabla por residente'!C7:AI7,"QX-P")</f>
        <v>3</v>
      </c>
      <c r="I6" s="12" t="n">
        <v>2</v>
      </c>
      <c r="J6" s="12" t="s">
        <v>112</v>
      </c>
    </row>
    <row r="7" customFormat="false" ht="15" hidden="false" customHeight="false" outlineLevel="0" collapsed="false">
      <c r="A7" s="12" t="s">
        <v>40</v>
      </c>
      <c r="B7" s="12" t="s">
        <v>85</v>
      </c>
      <c r="C7" s="12" t="s">
        <v>110</v>
      </c>
      <c r="D7" s="12" t="n">
        <f aca="false">COUNTIF('Tabla por residente'!C8:AI8,"TX")+COUNTIF('Tabla por residente'!C8:AI8,"REA")+COUNTIF('Tabla por residente'!C8:AI8,"QX-M")+COUNTIF('Tabla por residente'!C8:AI8,"QX-P")</f>
        <v>3</v>
      </c>
      <c r="E7" s="12" t="n">
        <f aca="false">COUNTIF('Tabla por residente'!C8:AI8,"TX")</f>
        <v>0</v>
      </c>
      <c r="F7" s="12" t="n">
        <f aca="false">COUNTIF('Tabla por residente'!C8:AI8,"REA")</f>
        <v>0</v>
      </c>
      <c r="G7" s="12" t="n">
        <f aca="false">COUNTIF('Tabla por residente'!C8:AI8,"QX-M")</f>
        <v>0</v>
      </c>
      <c r="H7" s="12" t="n">
        <f aca="false">COUNTIF('Tabla por residente'!C8:AI8,"QX-P")</f>
        <v>3</v>
      </c>
      <c r="I7" s="12" t="n">
        <v>2</v>
      </c>
      <c r="J7" s="12" t="s">
        <v>113</v>
      </c>
    </row>
    <row r="8" customFormat="false" ht="15" hidden="false" customHeight="false" outlineLevel="0" collapsed="false">
      <c r="A8" s="12" t="s">
        <v>14</v>
      </c>
      <c r="B8" s="12" t="s">
        <v>86</v>
      </c>
      <c r="C8" s="12" t="s">
        <v>110</v>
      </c>
      <c r="D8" s="12" t="n">
        <f aca="false">COUNTIF('Tabla por residente'!C9:AI9,"TX")+COUNTIF('Tabla por residente'!C9:AI9,"REA")+COUNTIF('Tabla por residente'!C9:AI9,"QX-M")+COUNTIF('Tabla por residente'!C9:AI9,"QX-P")</f>
        <v>3</v>
      </c>
      <c r="E8" s="12" t="n">
        <f aca="false">COUNTIF('Tabla por residente'!C9:AI9,"TX")</f>
        <v>0</v>
      </c>
      <c r="F8" s="12" t="n">
        <f aca="false">COUNTIF('Tabla por residente'!C9:AI9,"REA")</f>
        <v>0</v>
      </c>
      <c r="G8" s="12" t="n">
        <f aca="false">COUNTIF('Tabla por residente'!C9:AI9,"QX-M")</f>
        <v>0</v>
      </c>
      <c r="H8" s="12" t="n">
        <f aca="false">COUNTIF('Tabla por residente'!C9:AI9,"QX-P")</f>
        <v>3</v>
      </c>
      <c r="I8" s="12" t="n">
        <v>2</v>
      </c>
      <c r="J8" s="12" t="s">
        <v>113</v>
      </c>
    </row>
    <row r="9" customFormat="false" ht="15" hidden="false" customHeight="false" outlineLevel="0" collapsed="false">
      <c r="A9" s="12" t="s">
        <v>27</v>
      </c>
      <c r="B9" s="12" t="s">
        <v>87</v>
      </c>
      <c r="C9" s="12" t="s">
        <v>110</v>
      </c>
      <c r="D9" s="12" t="n">
        <f aca="false">COUNTIF('Tabla por residente'!C10:AI10,"TX")+COUNTIF('Tabla por residente'!C10:AI10,"REA")+COUNTIF('Tabla por residente'!C10:AI10,"QX-M")+COUNTIF('Tabla por residente'!C10:AI10,"QX-P")</f>
        <v>3</v>
      </c>
      <c r="E9" s="12" t="n">
        <f aca="false">COUNTIF('Tabla por residente'!C10:AI10,"TX")</f>
        <v>0</v>
      </c>
      <c r="F9" s="12" t="n">
        <f aca="false">COUNTIF('Tabla por residente'!C10:AI10,"REA")</f>
        <v>0</v>
      </c>
      <c r="G9" s="12" t="n">
        <f aca="false">COUNTIF('Tabla por residente'!C10:AI10,"QX-M")</f>
        <v>0</v>
      </c>
      <c r="H9" s="12" t="n">
        <f aca="false">COUNTIF('Tabla por residente'!C10:AI10,"QX-P")</f>
        <v>3</v>
      </c>
      <c r="I9" s="12" t="n">
        <v>1</v>
      </c>
      <c r="J9" s="12" t="s">
        <v>111</v>
      </c>
    </row>
    <row r="10" customFormat="false" ht="15" hidden="false" customHeight="false" outlineLevel="0" collapsed="false">
      <c r="A10" s="12" t="s">
        <v>19</v>
      </c>
      <c r="B10" s="12" t="s">
        <v>88</v>
      </c>
      <c r="C10" s="12" t="s">
        <v>114</v>
      </c>
      <c r="D10" s="12" t="n">
        <f aca="false">COUNTIF('Tabla por residente'!C12:AI12,"TX")+COUNTIF('Tabla por residente'!C12:AI12,"REA")+COUNTIF('Tabla por residente'!C12:AI12,"QX-M")+COUNTIF('Tabla por residente'!C12:AI12,"QX-P")</f>
        <v>8</v>
      </c>
      <c r="E10" s="12" t="n">
        <f aca="false">COUNTIF('Tabla por residente'!C12:AI12,"TX")</f>
        <v>0</v>
      </c>
      <c r="F10" s="12" t="n">
        <f aca="false">COUNTIF('Tabla por residente'!C12:AI12,"REA")</f>
        <v>6</v>
      </c>
      <c r="G10" s="12" t="n">
        <f aca="false">COUNTIF('Tabla por residente'!C12:AI12,"QX-M")</f>
        <v>0</v>
      </c>
      <c r="H10" s="12" t="n">
        <f aca="false">COUNTIF('Tabla por residente'!C12:AI12,"QX-P")</f>
        <v>2</v>
      </c>
      <c r="I10" s="12" t="n">
        <v>4</v>
      </c>
      <c r="J10" s="12" t="s">
        <v>111</v>
      </c>
    </row>
    <row r="11" customFormat="false" ht="15" hidden="false" customHeight="false" outlineLevel="0" collapsed="false">
      <c r="A11" s="12" t="s">
        <v>37</v>
      </c>
      <c r="B11" s="12" t="s">
        <v>89</v>
      </c>
      <c r="C11" s="12" t="s">
        <v>114</v>
      </c>
      <c r="D11" s="12" t="n">
        <f aca="false">COUNTIF('Tabla por residente'!C13:AI13,"TX")+COUNTIF('Tabla por residente'!C13:AI13,"REA")+COUNTIF('Tabla por residente'!C13:AI13,"QX-M")+COUNTIF('Tabla por residente'!C13:AI13,"QX-P")</f>
        <v>8</v>
      </c>
      <c r="E11" s="12" t="n">
        <f aca="false">COUNTIF('Tabla por residente'!C13:AI13,"TX")</f>
        <v>0</v>
      </c>
      <c r="F11" s="12" t="n">
        <f aca="false">COUNTIF('Tabla por residente'!C13:AI13,"REA")</f>
        <v>2</v>
      </c>
      <c r="G11" s="12" t="n">
        <f aca="false">COUNTIF('Tabla por residente'!C13:AI13,"QX-M")</f>
        <v>0</v>
      </c>
      <c r="H11" s="12" t="n">
        <f aca="false">COUNTIF('Tabla por residente'!C13:AI13,"QX-P")</f>
        <v>6</v>
      </c>
      <c r="I11" s="12" t="n">
        <v>4</v>
      </c>
      <c r="J11" s="12" t="s">
        <v>112</v>
      </c>
    </row>
    <row r="12" customFormat="false" ht="15" hidden="false" customHeight="false" outlineLevel="0" collapsed="false">
      <c r="A12" s="12" t="s">
        <v>34</v>
      </c>
      <c r="B12" s="12" t="s">
        <v>90</v>
      </c>
      <c r="C12" s="12" t="s">
        <v>114</v>
      </c>
      <c r="D12" s="12" t="n">
        <f aca="false">COUNTIF('Tabla por residente'!C14:AI14,"TX")+COUNTIF('Tabla por residente'!C14:AI14,"REA")+COUNTIF('Tabla por residente'!C14:AI14,"QX-M")+COUNTIF('Tabla por residente'!C14:AI14,"QX-P")</f>
        <v>8</v>
      </c>
      <c r="E12" s="12" t="n">
        <f aca="false">COUNTIF('Tabla por residente'!C14:AI14,"TX")</f>
        <v>0</v>
      </c>
      <c r="F12" s="12" t="n">
        <f aca="false">COUNTIF('Tabla por residente'!C14:AI14,"REA")</f>
        <v>7</v>
      </c>
      <c r="G12" s="12" t="n">
        <f aca="false">COUNTIF('Tabla por residente'!C14:AI14,"QX-M")</f>
        <v>0</v>
      </c>
      <c r="H12" s="12" t="n">
        <f aca="false">COUNTIF('Tabla por residente'!C14:AI14,"QX-P")</f>
        <v>1</v>
      </c>
      <c r="I12" s="12" t="n">
        <v>3</v>
      </c>
      <c r="J12" s="12" t="s">
        <v>113</v>
      </c>
    </row>
    <row r="13" customFormat="false" ht="15" hidden="false" customHeight="false" outlineLevel="0" collapsed="false">
      <c r="A13" s="12" t="s">
        <v>52</v>
      </c>
      <c r="B13" s="12" t="s">
        <v>91</v>
      </c>
      <c r="C13" s="12" t="s">
        <v>114</v>
      </c>
      <c r="D13" s="12" t="n">
        <f aca="false">COUNTIF('Tabla por residente'!C15:AI15,"TX")+COUNTIF('Tabla por residente'!C15:AI15,"REA")+COUNTIF('Tabla por residente'!C15:AI15,"QX-M")+COUNTIF('Tabla por residente'!C15:AI15,"QX-P")</f>
        <v>7</v>
      </c>
      <c r="E13" s="12" t="n">
        <f aca="false">COUNTIF('Tabla por residente'!C15:AI15,"TX")</f>
        <v>0</v>
      </c>
      <c r="F13" s="12" t="n">
        <f aca="false">COUNTIF('Tabla por residente'!C15:AI15,"REA")</f>
        <v>1</v>
      </c>
      <c r="G13" s="12" t="n">
        <f aca="false">COUNTIF('Tabla por residente'!C15:AI15,"QX-M")</f>
        <v>0</v>
      </c>
      <c r="H13" s="12" t="n">
        <f aca="false">COUNTIF('Tabla por residente'!C15:AI15,"QX-P")</f>
        <v>6</v>
      </c>
      <c r="I13" s="12" t="n">
        <v>4</v>
      </c>
      <c r="J13" s="12" t="s">
        <v>112</v>
      </c>
    </row>
    <row r="14" customFormat="false" ht="15" hidden="false" customHeight="false" outlineLevel="0" collapsed="false">
      <c r="A14" s="12" t="s">
        <v>22</v>
      </c>
      <c r="B14" s="12" t="s">
        <v>92</v>
      </c>
      <c r="C14" s="12" t="s">
        <v>114</v>
      </c>
      <c r="D14" s="12" t="n">
        <f aca="false">COUNTIF('Tabla por residente'!C16:AI16,"TX")+COUNTIF('Tabla por residente'!C16:AI16,"REA")+COUNTIF('Tabla por residente'!C16:AI16,"QX-M")+COUNTIF('Tabla por residente'!C16:AI16,"QX-P")</f>
        <v>8</v>
      </c>
      <c r="E14" s="12" t="n">
        <f aca="false">COUNTIF('Tabla por residente'!C16:AI16,"TX")</f>
        <v>0</v>
      </c>
      <c r="F14" s="12" t="n">
        <f aca="false">COUNTIF('Tabla por residente'!C16:AI16,"REA")</f>
        <v>2</v>
      </c>
      <c r="G14" s="12" t="n">
        <f aca="false">COUNTIF('Tabla por residente'!C16:AI16,"QX-M")</f>
        <v>0</v>
      </c>
      <c r="H14" s="12" t="n">
        <f aca="false">COUNTIF('Tabla por residente'!C16:AI16,"QX-P")</f>
        <v>6</v>
      </c>
      <c r="I14" s="12" t="n">
        <v>4</v>
      </c>
      <c r="J14" s="12" t="s">
        <v>111</v>
      </c>
    </row>
    <row r="15" customFormat="false" ht="15" hidden="false" customHeight="false" outlineLevel="0" collapsed="false">
      <c r="A15" s="12" t="s">
        <v>43</v>
      </c>
      <c r="B15" s="12" t="s">
        <v>93</v>
      </c>
      <c r="C15" s="12" t="s">
        <v>114</v>
      </c>
      <c r="D15" s="12" t="n">
        <f aca="false">COUNTIF('Tabla por residente'!C17:AI17,"TX")+COUNTIF('Tabla por residente'!C17:AI17,"REA")+COUNTIF('Tabla por residente'!C17:AI17,"QX-M")+COUNTIF('Tabla por residente'!C17:AI17,"QX-P")</f>
        <v>8</v>
      </c>
      <c r="E15" s="12" t="n">
        <f aca="false">COUNTIF('Tabla por residente'!C17:AI17,"TX")</f>
        <v>0</v>
      </c>
      <c r="F15" s="12" t="n">
        <f aca="false">COUNTIF('Tabla por residente'!C17:AI17,"REA")</f>
        <v>3</v>
      </c>
      <c r="G15" s="12" t="n">
        <f aca="false">COUNTIF('Tabla por residente'!C17:AI17,"QX-M")</f>
        <v>0</v>
      </c>
      <c r="H15" s="12" t="n">
        <f aca="false">COUNTIF('Tabla por residente'!C17:AI17,"QX-P")</f>
        <v>5</v>
      </c>
      <c r="I15" s="12" t="n">
        <v>4</v>
      </c>
      <c r="J15" s="12" t="s">
        <v>113</v>
      </c>
    </row>
    <row r="16" customFormat="false" ht="15" hidden="false" customHeight="false" outlineLevel="0" collapsed="false">
      <c r="A16" s="12" t="s">
        <v>15</v>
      </c>
      <c r="B16" s="12" t="s">
        <v>94</v>
      </c>
      <c r="C16" s="12" t="s">
        <v>114</v>
      </c>
      <c r="D16" s="12" t="n">
        <f aca="false">COUNTIF('Tabla por residente'!C18:AI18,"TX")+COUNTIF('Tabla por residente'!C18:AI18,"REA")+COUNTIF('Tabla por residente'!C18:AI18,"QX-M")+COUNTIF('Tabla por residente'!C18:AI18,"QX-P")</f>
        <v>8</v>
      </c>
      <c r="E16" s="12" t="n">
        <f aca="false">COUNTIF('Tabla por residente'!C18:AI18,"TX")</f>
        <v>0</v>
      </c>
      <c r="F16" s="12" t="n">
        <f aca="false">COUNTIF('Tabla por residente'!C18:AI18,"REA")</f>
        <v>0</v>
      </c>
      <c r="G16" s="12" t="n">
        <f aca="false">COUNTIF('Tabla por residente'!C18:AI18,"QX-M")</f>
        <v>0</v>
      </c>
      <c r="H16" s="12" t="n">
        <f aca="false">COUNTIF('Tabla por residente'!C18:AI18,"QX-P")</f>
        <v>8</v>
      </c>
      <c r="I16" s="12" t="n">
        <v>3</v>
      </c>
      <c r="J16" s="12" t="s">
        <v>113</v>
      </c>
    </row>
    <row r="17" customFormat="false" ht="15" hidden="false" customHeight="false" outlineLevel="0" collapsed="false">
      <c r="A17" s="12" t="s">
        <v>28</v>
      </c>
      <c r="B17" s="12" t="s">
        <v>95</v>
      </c>
      <c r="C17" s="12" t="s">
        <v>114</v>
      </c>
      <c r="D17" s="12" t="n">
        <f aca="false">COUNTIF('Tabla por residente'!C19:AI19,"TX")+COUNTIF('Tabla por residente'!C19:AI19,"REA")+COUNTIF('Tabla por residente'!C19:AI19,"QX-M")+COUNTIF('Tabla por residente'!C19:AI19,"QX-P")</f>
        <v>8</v>
      </c>
      <c r="E17" s="12" t="n">
        <f aca="false">COUNTIF('Tabla por residente'!C19:AI19,"TX")</f>
        <v>0</v>
      </c>
      <c r="F17" s="12" t="n">
        <f aca="false">COUNTIF('Tabla por residente'!C19:AI19,"REA")</f>
        <v>0</v>
      </c>
      <c r="G17" s="12" t="n">
        <f aca="false">COUNTIF('Tabla por residente'!C19:AI19,"QX-M")</f>
        <v>0</v>
      </c>
      <c r="H17" s="12" t="n">
        <f aca="false">COUNTIF('Tabla por residente'!C19:AI19,"QX-P")</f>
        <v>8</v>
      </c>
      <c r="I17" s="12" t="n">
        <v>4</v>
      </c>
      <c r="J17" s="12" t="s">
        <v>112</v>
      </c>
    </row>
    <row r="18" customFormat="false" ht="15" hidden="false" customHeight="false" outlineLevel="0" collapsed="false">
      <c r="A18" s="12" t="s">
        <v>26</v>
      </c>
      <c r="B18" s="12" t="s">
        <v>96</v>
      </c>
      <c r="C18" s="12" t="s">
        <v>115</v>
      </c>
      <c r="D18" s="12" t="n">
        <f aca="false">COUNTIF('Tabla por residente'!C21:AI21,"TX")+COUNTIF('Tabla por residente'!C21:AI21,"REA")+COUNTIF('Tabla por residente'!C21:AI21,"QX-M")+COUNTIF('Tabla por residente'!C21:AI21,"QX-P")</f>
        <v>6</v>
      </c>
      <c r="E18" s="12" t="n">
        <f aca="false">COUNTIF('Tabla por residente'!C21:AI21,"TX")</f>
        <v>0</v>
      </c>
      <c r="F18" s="12" t="n">
        <f aca="false">COUNTIF('Tabla por residente'!C21:AI21,"REA")</f>
        <v>0</v>
      </c>
      <c r="G18" s="12" t="n">
        <f aca="false">COUNTIF('Tabla por residente'!C21:AI21,"QX-M")</f>
        <v>6</v>
      </c>
      <c r="H18" s="12" t="n">
        <f aca="false">COUNTIF('Tabla por residente'!C21:AI21,"QX-P")</f>
        <v>0</v>
      </c>
      <c r="I18" s="12" t="n">
        <v>3</v>
      </c>
      <c r="J18" s="12" t="s">
        <v>111</v>
      </c>
    </row>
    <row r="19" customFormat="false" ht="15" hidden="false" customHeight="false" outlineLevel="0" collapsed="false">
      <c r="A19" s="12" t="s">
        <v>20</v>
      </c>
      <c r="B19" s="12" t="s">
        <v>97</v>
      </c>
      <c r="C19" s="12" t="s">
        <v>115</v>
      </c>
      <c r="D19" s="12" t="n">
        <f aca="false">COUNTIF('Tabla por residente'!C22:AI22,"TX")+COUNTIF('Tabla por residente'!C22:AI22,"REA")+COUNTIF('Tabla por residente'!C22:AI22,"QX-M")+COUNTIF('Tabla por residente'!C22:AI22,"QX-P")</f>
        <v>6</v>
      </c>
      <c r="E19" s="12" t="n">
        <f aca="false">COUNTIF('Tabla por residente'!C22:AI22,"TX")</f>
        <v>0</v>
      </c>
      <c r="F19" s="12" t="n">
        <f aca="false">COUNTIF('Tabla por residente'!C22:AI22,"REA")</f>
        <v>0</v>
      </c>
      <c r="G19" s="12" t="n">
        <f aca="false">COUNTIF('Tabla por residente'!C22:AI22,"QX-M")</f>
        <v>6</v>
      </c>
      <c r="H19" s="12" t="n">
        <f aca="false">COUNTIF('Tabla por residente'!C22:AI22,"QX-P")</f>
        <v>0</v>
      </c>
      <c r="I19" s="12" t="n">
        <v>5</v>
      </c>
      <c r="J19" s="12" t="s">
        <v>113</v>
      </c>
    </row>
    <row r="20" customFormat="false" ht="15" hidden="false" customHeight="false" outlineLevel="0" collapsed="false">
      <c r="A20" s="12" t="s">
        <v>12</v>
      </c>
      <c r="B20" s="12" t="s">
        <v>98</v>
      </c>
      <c r="C20" s="12" t="s">
        <v>115</v>
      </c>
      <c r="D20" s="12" t="n">
        <f aca="false">COUNTIF('Tabla por residente'!C23:AI23,"TX")+COUNTIF('Tabla por residente'!C23:AI23,"REA")+COUNTIF('Tabla por residente'!C23:AI23,"QX-M")+COUNTIF('Tabla por residente'!C23:AI23,"QX-P")</f>
        <v>6</v>
      </c>
      <c r="E20" s="12" t="n">
        <f aca="false">COUNTIF('Tabla por residente'!C23:AI23,"TX")</f>
        <v>0</v>
      </c>
      <c r="F20" s="12" t="n">
        <f aca="false">COUNTIF('Tabla por residente'!C23:AI23,"REA")</f>
        <v>6</v>
      </c>
      <c r="G20" s="12" t="n">
        <f aca="false">COUNTIF('Tabla por residente'!C23:AI23,"QX-M")</f>
        <v>0</v>
      </c>
      <c r="H20" s="12" t="n">
        <f aca="false">COUNTIF('Tabla por residente'!C23:AI23,"QX-P")</f>
        <v>0</v>
      </c>
      <c r="I20" s="12" t="n">
        <v>4</v>
      </c>
      <c r="J20" s="12" t="s">
        <v>113</v>
      </c>
    </row>
    <row r="21" customFormat="false" ht="15" hidden="false" customHeight="false" outlineLevel="0" collapsed="false">
      <c r="A21" s="12" t="s">
        <v>25</v>
      </c>
      <c r="B21" s="12" t="s">
        <v>99</v>
      </c>
      <c r="C21" s="12" t="s">
        <v>115</v>
      </c>
      <c r="D21" s="12" t="n">
        <f aca="false">COUNTIF('Tabla por residente'!C24:AI24,"TX")+COUNTIF('Tabla por residente'!C24:AI24,"REA")+COUNTIF('Tabla por residente'!C24:AI24,"QX-M")+COUNTIF('Tabla por residente'!C24:AI24,"QX-P")</f>
        <v>6</v>
      </c>
      <c r="E21" s="12" t="n">
        <f aca="false">COUNTIF('Tabla por residente'!C24:AI24,"TX")</f>
        <v>0</v>
      </c>
      <c r="F21" s="12" t="n">
        <f aca="false">COUNTIF('Tabla por residente'!C24:AI24,"REA")</f>
        <v>6</v>
      </c>
      <c r="G21" s="12" t="n">
        <f aca="false">COUNTIF('Tabla por residente'!C24:AI24,"QX-M")</f>
        <v>0</v>
      </c>
      <c r="H21" s="12" t="n">
        <f aca="false">COUNTIF('Tabla por residente'!C24:AI24,"QX-P")</f>
        <v>0</v>
      </c>
      <c r="I21" s="12" t="n">
        <v>3</v>
      </c>
      <c r="J21" s="12" t="s">
        <v>112</v>
      </c>
    </row>
    <row r="22" customFormat="false" ht="15" hidden="false" customHeight="false" outlineLevel="0" collapsed="false">
      <c r="A22" s="12" t="s">
        <v>13</v>
      </c>
      <c r="B22" s="12" t="s">
        <v>100</v>
      </c>
      <c r="C22" s="12" t="s">
        <v>116</v>
      </c>
      <c r="D22" s="12" t="n">
        <f aca="false">COUNTIF('Tabla por residente'!C26:AI26,"TX")+COUNTIF('Tabla por residente'!C26:AI26,"REA")+COUNTIF('Tabla por residente'!C26:AI26,"QX-M")+COUNTIF('Tabla por residente'!C26:AI26,"QX-P")</f>
        <v>12</v>
      </c>
      <c r="E22" s="12" t="n">
        <f aca="false">COUNTIF('Tabla por residente'!C26:AI26,"TX")</f>
        <v>7</v>
      </c>
      <c r="F22" s="12" t="n">
        <f aca="false">COUNTIF('Tabla por residente'!C26:AI26,"REA")</f>
        <v>0</v>
      </c>
      <c r="G22" s="12" t="n">
        <f aca="false">COUNTIF('Tabla por residente'!C26:AI26,"QX-M")</f>
        <v>5</v>
      </c>
      <c r="H22" s="12" t="n">
        <f aca="false">COUNTIF('Tabla por residente'!C26:AI26,"QX-P")</f>
        <v>0</v>
      </c>
      <c r="I22" s="12" t="n">
        <v>6</v>
      </c>
      <c r="J22" s="12" t="s">
        <v>112</v>
      </c>
    </row>
    <row r="23" customFormat="false" ht="15" hidden="false" customHeight="false" outlineLevel="0" collapsed="false">
      <c r="A23" s="12" t="s">
        <v>35</v>
      </c>
      <c r="B23" s="12" t="s">
        <v>101</v>
      </c>
      <c r="C23" s="12" t="s">
        <v>116</v>
      </c>
      <c r="D23" s="12" t="n">
        <f aca="false">COUNTIF('Tabla por residente'!C27:AI27,"TX")+COUNTIF('Tabla por residente'!C27:AI27,"REA")+COUNTIF('Tabla por residente'!C27:AI27,"QX-M")+COUNTIF('Tabla por residente'!C27:AI27,"QX-P")</f>
        <v>9</v>
      </c>
      <c r="E23" s="12" t="n">
        <f aca="false">COUNTIF('Tabla por residente'!C27:AI27,"TX")</f>
        <v>4</v>
      </c>
      <c r="F23" s="12" t="n">
        <f aca="false">COUNTIF('Tabla por residente'!C27:AI27,"REA")</f>
        <v>0</v>
      </c>
      <c r="G23" s="12" t="n">
        <f aca="false">COUNTIF('Tabla por residente'!C27:AI27,"QX-M")</f>
        <v>5</v>
      </c>
      <c r="H23" s="12" t="n">
        <f aca="false">COUNTIF('Tabla por residente'!C27:AI27,"QX-P")</f>
        <v>0</v>
      </c>
      <c r="I23" s="12" t="n">
        <v>4</v>
      </c>
      <c r="J23" s="12" t="s">
        <v>112</v>
      </c>
    </row>
    <row r="24" customFormat="false" ht="15" hidden="false" customHeight="false" outlineLevel="0" collapsed="false">
      <c r="A24" s="12" t="s">
        <v>33</v>
      </c>
      <c r="B24" s="12" t="s">
        <v>102</v>
      </c>
      <c r="C24" s="12" t="s">
        <v>116</v>
      </c>
      <c r="D24" s="12" t="n">
        <f aca="false">COUNTIF('Tabla por residente'!C28:AI28,"TX")+COUNTIF('Tabla por residente'!C28:AI28,"REA")+COUNTIF('Tabla por residente'!C28:AI28,"QX-M")+COUNTIF('Tabla por residente'!C28:AI28,"QX-P")</f>
        <v>9</v>
      </c>
      <c r="E24" s="12" t="n">
        <f aca="false">COUNTIF('Tabla por residente'!C28:AI28,"TX")</f>
        <v>8</v>
      </c>
      <c r="F24" s="12" t="n">
        <f aca="false">COUNTIF('Tabla por residente'!C28:AI28,"REA")</f>
        <v>0</v>
      </c>
      <c r="G24" s="12" t="n">
        <f aca="false">COUNTIF('Tabla por residente'!C28:AI28,"QX-M")</f>
        <v>1</v>
      </c>
      <c r="H24" s="12" t="n">
        <f aca="false">COUNTIF('Tabla por residente'!C28:AI28,"QX-P")</f>
        <v>0</v>
      </c>
      <c r="I24" s="12" t="n">
        <v>4</v>
      </c>
      <c r="J24" s="12" t="s">
        <v>112</v>
      </c>
    </row>
    <row r="25" customFormat="false" ht="15" hidden="false" customHeight="false" outlineLevel="0" collapsed="false">
      <c r="A25" s="12" t="s">
        <v>18</v>
      </c>
      <c r="B25" s="12" t="s">
        <v>104</v>
      </c>
      <c r="C25" s="12" t="s">
        <v>116</v>
      </c>
      <c r="D25" s="12" t="n">
        <f aca="false">COUNTIF('Tabla por residente'!C29:AI29,"TX")+COUNTIF('Tabla por residente'!C29:AI29,"REA")+COUNTIF('Tabla por residente'!C29:AI29,"QX-M")+COUNTIF('Tabla por residente'!C29:AI29,"QX-P")</f>
        <v>12</v>
      </c>
      <c r="E25" s="12" t="n">
        <f aca="false">COUNTIF('Tabla por residente'!C29:AI29,"TX")</f>
        <v>7</v>
      </c>
      <c r="F25" s="12" t="n">
        <f aca="false">COUNTIF('Tabla por residente'!C29:AI29,"REA")</f>
        <v>0</v>
      </c>
      <c r="G25" s="12" t="n">
        <f aca="false">COUNTIF('Tabla por residente'!C29:AI29,"QX-M")</f>
        <v>5</v>
      </c>
      <c r="H25" s="12" t="n">
        <f aca="false">COUNTIF('Tabla por residente'!C29:AI29,"QX-P")</f>
        <v>0</v>
      </c>
      <c r="I25" s="12" t="n">
        <v>6</v>
      </c>
      <c r="J25" s="12" t="s">
        <v>113</v>
      </c>
    </row>
    <row r="26" customFormat="false" ht="15" hidden="false" customHeight="false" outlineLevel="0" collapsed="false">
      <c r="A26" s="12" t="s">
        <v>11</v>
      </c>
      <c r="B26" s="12" t="s">
        <v>105</v>
      </c>
      <c r="C26" s="12" t="s">
        <v>116</v>
      </c>
      <c r="D26" s="12" t="n">
        <f aca="false">COUNTIF('Tabla por residente'!C30:AI30,"TX")+COUNTIF('Tabla por residente'!C30:AI30,"REA")+COUNTIF('Tabla por residente'!C30:AI30,"QX-M")+COUNTIF('Tabla por residente'!C30:AI30,"QX-P")</f>
        <v>12</v>
      </c>
      <c r="E26" s="12" t="n">
        <f aca="false">COUNTIF('Tabla por residente'!C30:AI30,"TX")</f>
        <v>7</v>
      </c>
      <c r="F26" s="12" t="n">
        <f aca="false">COUNTIF('Tabla por residente'!C30:AI30,"REA")</f>
        <v>0</v>
      </c>
      <c r="G26" s="12" t="n">
        <f aca="false">COUNTIF('Tabla por residente'!C30:AI30,"QX-M")</f>
        <v>5</v>
      </c>
      <c r="H26" s="12" t="n">
        <f aca="false">COUNTIF('Tabla por residente'!C30:AI30,"QX-P")</f>
        <v>0</v>
      </c>
      <c r="I26" s="12" t="n">
        <v>6</v>
      </c>
      <c r="J26" s="1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76</v>
      </c>
      <c r="B1" s="1" t="s">
        <v>117</v>
      </c>
      <c r="C1" s="1" t="s">
        <v>118</v>
      </c>
    </row>
    <row r="2" customFormat="false" ht="15" hidden="false" customHeight="false" outlineLevel="0" collapsed="false">
      <c r="A2" s="3" t="s">
        <v>119</v>
      </c>
      <c r="B2" s="17" t="s">
        <v>120</v>
      </c>
      <c r="C2" s="3" t="s">
        <v>121</v>
      </c>
    </row>
    <row r="3" customFormat="false" ht="15" hidden="false" customHeight="false" outlineLevel="0" collapsed="false">
      <c r="A3" s="3" t="s">
        <v>122</v>
      </c>
      <c r="B3" s="17" t="s">
        <v>123</v>
      </c>
      <c r="C3" s="3" t="s">
        <v>121</v>
      </c>
    </row>
    <row r="4" customFormat="false" ht="15" hidden="false" customHeight="false" outlineLevel="0" collapsed="false">
      <c r="A4" s="3" t="s">
        <v>124</v>
      </c>
      <c r="B4" s="17" t="s">
        <v>125</v>
      </c>
      <c r="C4" s="3" t="s">
        <v>121</v>
      </c>
    </row>
    <row r="5" customFormat="false" ht="15" hidden="false" customHeight="false" outlineLevel="0" collapsed="false">
      <c r="A5" s="3" t="s">
        <v>126</v>
      </c>
      <c r="B5" s="17" t="s">
        <v>127</v>
      </c>
      <c r="C5" s="3" t="s">
        <v>121</v>
      </c>
    </row>
    <row r="6" customFormat="false" ht="15" hidden="false" customHeight="false" outlineLevel="0" collapsed="false">
      <c r="A6" s="3" t="s">
        <v>128</v>
      </c>
      <c r="B6" s="17" t="s">
        <v>129</v>
      </c>
      <c r="C6" s="3" t="s">
        <v>121</v>
      </c>
    </row>
    <row r="7" customFormat="false" ht="15" hidden="false" customHeight="false" outlineLevel="0" collapsed="false">
      <c r="A7" s="3" t="s">
        <v>130</v>
      </c>
      <c r="B7" s="17" t="s">
        <v>131</v>
      </c>
      <c r="C7" s="3" t="s">
        <v>121</v>
      </c>
    </row>
    <row r="8" customFormat="false" ht="15" hidden="false" customHeight="false" outlineLevel="0" collapsed="false">
      <c r="A8" s="3" t="s">
        <v>132</v>
      </c>
      <c r="B8" s="17" t="s">
        <v>133</v>
      </c>
      <c r="C8" s="3" t="s">
        <v>121</v>
      </c>
    </row>
    <row r="9" customFormat="false" ht="15" hidden="false" customHeight="false" outlineLevel="0" collapsed="false">
      <c r="A9" s="3" t="s">
        <v>134</v>
      </c>
      <c r="B9" s="17" t="s">
        <v>135</v>
      </c>
      <c r="C9" s="3" t="s">
        <v>121</v>
      </c>
    </row>
    <row r="10" customFormat="false" ht="15" hidden="false" customHeight="false" outlineLevel="0" collapsed="false">
      <c r="A10" s="3" t="s">
        <v>136</v>
      </c>
      <c r="B10" s="17" t="s">
        <v>137</v>
      </c>
      <c r="C10" s="3" t="s">
        <v>121</v>
      </c>
    </row>
    <row r="11" customFormat="false" ht="15" hidden="false" customHeight="false" outlineLevel="0" collapsed="false">
      <c r="A11" s="3" t="s">
        <v>138</v>
      </c>
      <c r="B11" s="17" t="s">
        <v>139</v>
      </c>
      <c r="C11" s="3" t="s">
        <v>121</v>
      </c>
    </row>
    <row r="12" customFormat="false" ht="15" hidden="false" customHeight="false" outlineLevel="0" collapsed="false">
      <c r="A12" s="3" t="s">
        <v>140</v>
      </c>
      <c r="B12" s="17" t="s">
        <v>141</v>
      </c>
      <c r="C12" s="3" t="s">
        <v>121</v>
      </c>
    </row>
    <row r="13" customFormat="false" ht="15" hidden="false" customHeight="false" outlineLevel="0" collapsed="false">
      <c r="A13" s="3" t="s">
        <v>142</v>
      </c>
      <c r="B13" s="17" t="s">
        <v>143</v>
      </c>
      <c r="C13" s="3" t="s">
        <v>121</v>
      </c>
    </row>
    <row r="14" customFormat="false" ht="15" hidden="false" customHeight="false" outlineLevel="0" collapsed="false">
      <c r="A14" s="3" t="s">
        <v>144</v>
      </c>
      <c r="B14" s="17" t="s">
        <v>145</v>
      </c>
      <c r="C14" s="3" t="s">
        <v>121</v>
      </c>
    </row>
    <row r="15" customFormat="false" ht="15" hidden="false" customHeight="false" outlineLevel="0" collapsed="false">
      <c r="A15" s="3" t="s">
        <v>146</v>
      </c>
      <c r="B15" s="17" t="s">
        <v>147</v>
      </c>
      <c r="C15" s="3" t="s">
        <v>148</v>
      </c>
    </row>
    <row r="16" customFormat="false" ht="15" hidden="false" customHeight="false" outlineLevel="0" collapsed="false">
      <c r="A16" s="3" t="s">
        <v>149</v>
      </c>
      <c r="B16" s="17" t="s">
        <v>150</v>
      </c>
      <c r="C16" s="3" t="s">
        <v>121</v>
      </c>
    </row>
    <row r="17" customFormat="false" ht="15" hidden="false" customHeight="false" outlineLevel="0" collapsed="false">
      <c r="A17" s="3" t="s">
        <v>151</v>
      </c>
      <c r="B17" s="17" t="s">
        <v>152</v>
      </c>
      <c r="C17" s="3" t="s">
        <v>153</v>
      </c>
    </row>
    <row r="18" customFormat="false" ht="15" hidden="false" customHeight="false" outlineLevel="0" collapsed="false">
      <c r="A18" s="3" t="s">
        <v>154</v>
      </c>
      <c r="B18" s="17" t="s">
        <v>155</v>
      </c>
      <c r="C18" s="3" t="s">
        <v>121</v>
      </c>
    </row>
    <row r="20" customFormat="false" ht="15" hidden="false" customHeight="false" outlineLevel="0" collapsed="false">
      <c r="A20" s="1" t="s">
        <v>156</v>
      </c>
      <c r="B20" s="1"/>
      <c r="C20" s="1"/>
    </row>
    <row r="21" customFormat="false" ht="15" hidden="false" customHeight="false" outlineLevel="0" collapsed="false">
      <c r="A21" s="3" t="s">
        <v>157</v>
      </c>
      <c r="B21" s="17" t="s">
        <v>158</v>
      </c>
      <c r="C21" s="17" t="s">
        <v>159</v>
      </c>
    </row>
    <row r="22" customFormat="false" ht="15" hidden="false" customHeight="false" outlineLevel="0" collapsed="false">
      <c r="A22" s="3" t="s">
        <v>160</v>
      </c>
      <c r="B22" s="17" t="s">
        <v>161</v>
      </c>
      <c r="C22" s="17" t="s">
        <v>162</v>
      </c>
    </row>
    <row r="23" customFormat="false" ht="15" hidden="false" customHeight="false" outlineLevel="0" collapsed="false">
      <c r="A23" s="3" t="s">
        <v>163</v>
      </c>
      <c r="B23" s="17" t="s">
        <v>164</v>
      </c>
      <c r="C23" s="17" t="s">
        <v>165</v>
      </c>
    </row>
    <row r="24" customFormat="false" ht="15" hidden="false" customHeight="false" outlineLevel="0" collapsed="false">
      <c r="A24" s="3" t="s">
        <v>166</v>
      </c>
      <c r="B24" s="17" t="s">
        <v>167</v>
      </c>
      <c r="C24" s="17" t="s">
        <v>168</v>
      </c>
    </row>
    <row r="25" customFormat="false" ht="15" hidden="false" customHeight="false" outlineLevel="0" collapsed="false">
      <c r="A25" s="3" t="s">
        <v>169</v>
      </c>
      <c r="B25" s="17" t="s">
        <v>170</v>
      </c>
      <c r="C25" s="17" t="s">
        <v>168</v>
      </c>
    </row>
  </sheetData>
  <mergeCells count="1"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171</v>
      </c>
      <c r="B1" s="1" t="s">
        <v>172</v>
      </c>
    </row>
    <row r="2" customFormat="false" ht="30" hidden="false" customHeight="true" outlineLevel="0" collapsed="false">
      <c r="A2" s="18" t="s">
        <v>173</v>
      </c>
      <c r="B2" s="18" t="s">
        <v>174</v>
      </c>
    </row>
    <row r="3" customFormat="false" ht="30" hidden="false" customHeight="true" outlineLevel="0" collapsed="false">
      <c r="A3" s="18" t="s">
        <v>175</v>
      </c>
      <c r="B3" s="18" t="s">
        <v>176</v>
      </c>
    </row>
    <row r="4" customFormat="false" ht="30" hidden="false" customHeight="true" outlineLevel="0" collapsed="false">
      <c r="A4" s="18" t="s">
        <v>177</v>
      </c>
      <c r="B4" s="18" t="s">
        <v>178</v>
      </c>
    </row>
    <row r="5" customFormat="false" ht="30" hidden="false" customHeight="true" outlineLevel="0" collapsed="false">
      <c r="A5" s="18" t="s">
        <v>179</v>
      </c>
      <c r="B5" s="18" t="s">
        <v>180</v>
      </c>
    </row>
    <row r="6" customFormat="false" ht="30" hidden="false" customHeight="true" outlineLevel="0" collapsed="false">
      <c r="A6" s="18" t="s">
        <v>181</v>
      </c>
      <c r="B6" s="18" t="s">
        <v>182</v>
      </c>
    </row>
    <row r="7" customFormat="false" ht="30" hidden="false" customHeight="true" outlineLevel="0" collapsed="false">
      <c r="A7" s="18" t="s">
        <v>183</v>
      </c>
      <c r="B7" s="18" t="s">
        <v>184</v>
      </c>
    </row>
    <row r="8" customFormat="false" ht="30" hidden="false" customHeight="true" outlineLevel="0" collapsed="false">
      <c r="A8" s="18" t="s">
        <v>185</v>
      </c>
      <c r="B8" s="18" t="s">
        <v>186</v>
      </c>
    </row>
    <row r="9" customFormat="false" ht="30" hidden="false" customHeight="true" outlineLevel="0" collapsed="false">
      <c r="A9" s="18" t="s">
        <v>187</v>
      </c>
      <c r="B9" s="18" t="s">
        <v>188</v>
      </c>
    </row>
    <row r="10" customFormat="false" ht="30" hidden="false" customHeight="true" outlineLevel="0" collapsed="false">
      <c r="A10" s="18" t="s">
        <v>189</v>
      </c>
      <c r="B10" s="18" t="s">
        <v>190</v>
      </c>
    </row>
    <row r="11" customFormat="false" ht="30" hidden="false" customHeight="true" outlineLevel="0" collapsed="false">
      <c r="A11" s="18" t="s">
        <v>191</v>
      </c>
      <c r="B11" s="18" t="s">
        <v>192</v>
      </c>
    </row>
    <row r="12" customFormat="false" ht="30" hidden="false" customHeight="true" outlineLevel="0" collapsed="false">
      <c r="A12" s="18" t="s">
        <v>193</v>
      </c>
      <c r="B12" s="18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2026-08-09T18:26:31Z</dcterms:created>
  <dc:creator>openpyxl</dc:creator>
  <dc:description/>
  <dc:language>en-US</dc:language>
  <cp:lastModifiedBy/>
  <dcterms:modified xsi:type="dcterms:W3CDTF">2026-08-09T18:26:32Z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