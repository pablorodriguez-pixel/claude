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Instrucciones" sheetId="1" state="visible" r:id="rId3"/>
    <sheet name="Calendario Octubre 2026" sheetId="2" state="visible" r:id="rId4"/>
    <sheet name="Cobertura por día" sheetId="3" state="visible" r:id="rId5"/>
    <sheet name="Resumen de guardias" sheetId="4" state="visible" r:id="rId6"/>
    <sheet name="Mapa de bloqueos" sheetId="5" state="visible" r:id="rId7"/>
    <sheet name="Validación H-01 a H-18" sheetId="6" state="visible" r:id="rId8"/>
    <sheet name="Bloqueos y vacaciones" sheetId="7" state="visible" r:id="rId9"/>
    <sheet name="Preguntas pendientes (Q)" sheetId="8" state="visible" r:id="rId10"/>
    <sheet name="Plantilla y elegibilidad" sheetId="9" state="visible" r:id="rId11"/>
    <sheet name="Reglas (resumen)" sheetId="10" state="visible" r:id="rId12"/>
    <sheet name="ListaValida" sheetId="11" state="hidden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1" authorId="0">
      <text>
        <r>
          <rPr>
            <sz val="10"/>
            <rFont val="Arial"/>
            <family val="2"/>
          </rPr>
          <t xml:space="preserve">No disponibles el 5 oct (1):
- Eva [R2-04]</t>
        </r>
      </text>
    </comment>
    <comment ref="A23" authorId="0">
      <text>
        <r>
          <rPr>
            <sz val="10"/>
            <rFont val="Arial"/>
            <family val="2"/>
          </rPr>
          <t xml:space="preserve">Festivo: Fiesta Nacional (El Pilar)</t>
        </r>
      </text>
    </comment>
    <comment ref="A30" authorId="0">
      <text>
        <r>
          <rPr>
            <sz val="10"/>
            <rFont val="Arial"/>
            <family val="2"/>
          </rPr>
          <t xml:space="preserve">No disponibles el 12 oct (1):
- Patricia R3 [R3-01]</t>
        </r>
      </text>
    </comment>
    <comment ref="A39" authorId="0">
      <text>
        <r>
          <rPr>
            <sz val="10"/>
            <rFont val="Arial"/>
            <family val="2"/>
          </rPr>
          <t xml:space="preserve">No disponibles el 19 oct (1):
- Almudena [R4-02]</t>
        </r>
      </text>
    </comment>
    <comment ref="A48" authorId="0">
      <text>
        <r>
          <rPr>
            <sz val="10"/>
            <rFont val="Arial"/>
            <family val="2"/>
          </rPr>
          <t xml:space="preserve">No disponibles el 26 oct (1):
- Emilio [R2-05]</t>
        </r>
      </text>
    </comment>
    <comment ref="A50" authorId="0">
      <text>
        <r>
          <rPr>
            <sz val="10"/>
            <rFont val="Arial"/>
            <family val="2"/>
          </rPr>
          <t xml:space="preserve">Festivo: Traslado festivo</t>
        </r>
      </text>
    </comment>
    <comment ref="B27" authorId="0">
      <text>
        <r>
          <rPr>
            <sz val="10"/>
            <rFont val="Arial"/>
            <family val="2"/>
          </rPr>
          <t xml:space="preserve">Compromiso confirmado con Pablo (Q-08): Sandra cubre sábado 10 + lunes 12 de MAY.</t>
        </r>
      </text>
    </comment>
    <comment ref="C21" authorId="0">
      <text>
        <r>
          <rPr>
            <sz val="10"/>
            <rFont val="Arial"/>
            <family val="2"/>
          </rPr>
          <t xml:space="preserve">No disponibles el 6 oct (1):
- Eva [R2-04]</t>
        </r>
      </text>
    </comment>
    <comment ref="C23" authorId="0">
      <text>
        <r>
          <rPr>
            <sz val="10"/>
            <rFont val="Arial"/>
            <family val="2"/>
          </rPr>
          <t xml:space="preserve">Ana R4 en turno externo (24(T2) CHA) — bloqueada H-10a; ver H-10b/c/d para TX y QX-M/QX-P adyacentes.</t>
        </r>
      </text>
    </comment>
    <comment ref="C30" authorId="0">
      <text>
        <r>
          <rPr>
            <sz val="10"/>
            <rFont val="Arial"/>
            <family val="2"/>
          </rPr>
          <t xml:space="preserve">No disponibles el 13 oct (1):
- Ana R4 (Gaudioso) [R4-03] (trabajo externo 24(T2) CHA)</t>
        </r>
      </text>
    </comment>
    <comment ref="C39" authorId="0">
      <text>
        <r>
          <rPr>
            <sz val="10"/>
            <rFont val="Arial"/>
            <family val="2"/>
          </rPr>
          <t xml:space="preserve">No disponibles el 20 oct (1):
- Almudena [R4-02]</t>
        </r>
      </text>
    </comment>
    <comment ref="E14" authorId="0">
      <text>
        <r>
          <rPr>
            <sz val="10"/>
            <rFont val="Arial"/>
            <family val="2"/>
          </rPr>
          <t xml:space="preserve">Ana R4 en turno externo (24(T2) CHA) — bloqueada H-10a; ver H-10b/c/d para TX y QX-M/QX-P adyacentes.</t>
        </r>
      </text>
    </comment>
    <comment ref="E21" authorId="0">
      <text>
        <r>
          <rPr>
            <sz val="10"/>
            <rFont val="Arial"/>
            <family val="2"/>
          </rPr>
          <t xml:space="preserve">No disponibles el 7 oct (2):
- Ana R4 (Gaudioso) [R4-03] (trabajo externo 24(T2) CHA)
- Eva [R2-04]</t>
        </r>
      </text>
    </comment>
    <comment ref="E30" authorId="0">
      <text>
        <r>
          <rPr>
            <sz val="10"/>
            <rFont val="Arial"/>
            <family val="2"/>
          </rPr>
          <t xml:space="preserve">No disponibles el 14 oct (1):
- Isa [R4-05]</t>
        </r>
      </text>
    </comment>
    <comment ref="E32" authorId="0">
      <text>
        <r>
          <rPr>
            <sz val="10"/>
            <rFont val="Arial"/>
            <family val="2"/>
          </rPr>
          <t xml:space="preserve">Ana R4 en turno externo (24(T2) CHA) — bloqueada H-10a; ver H-10b/c/d para TX y QX-M/QX-P adyacentes.</t>
        </r>
      </text>
    </comment>
    <comment ref="E39" authorId="0">
      <text>
        <r>
          <rPr>
            <sz val="10"/>
            <rFont val="Arial"/>
            <family val="2"/>
          </rPr>
          <t xml:space="preserve">No disponibles el 21 oct (3):
- Almudena [R4-02]
- Ana R4 (Gaudioso) [R4-03] (trabajo externo 24(T2) CHA)
- Rosario [R1-01]</t>
        </r>
      </text>
    </comment>
    <comment ref="E41" authorId="0">
      <text>
        <r>
          <rPr>
            <sz val="10"/>
            <rFont val="Arial"/>
            <family val="2"/>
          </rPr>
          <t xml:space="preserve">Ana R4 en turno externo (MT SVA) — bloqueada H-10a; ver H-10b/c/d para TX y QX-M/QX-P adyacentes.</t>
        </r>
      </text>
    </comment>
    <comment ref="E48" authorId="0">
      <text>
        <r>
          <rPr>
            <sz val="10"/>
            <rFont val="Arial"/>
            <family val="2"/>
          </rPr>
          <t xml:space="preserve">No disponibles el 28 oct (1):
- Ana R4 (Gaudioso) [R4-03] (trabajo externo MT SVA)</t>
        </r>
      </text>
    </comment>
    <comment ref="G5" authorId="0">
      <text>
        <r>
          <rPr>
            <sz val="10"/>
            <rFont val="Arial"/>
            <family val="2"/>
          </rPr>
          <t xml:space="preserve">Ana R4 en turno externo (24(T2) CHA) — bloqueada H-10a; ver H-10b/c/d para TX y QX-M/QX-P adyacentes.</t>
        </r>
      </text>
    </comment>
    <comment ref="G12" authorId="0">
      <text>
        <r>
          <rPr>
            <sz val="10"/>
            <rFont val="Arial"/>
            <family val="2"/>
          </rPr>
          <t xml:space="preserve">No disponibles el 1 oct (3):
- Ana R4 (Gaudioso) [R4-03] (trabajo externo 24(T2) CHA)
- Emilio [R2-05]
- Eva [R2-04]</t>
        </r>
      </text>
    </comment>
    <comment ref="G21" authorId="0">
      <text>
        <r>
          <rPr>
            <sz val="10"/>
            <rFont val="Arial"/>
            <family val="2"/>
          </rPr>
          <t xml:space="preserve">No disponibles el 8 oct (4):
- Asis [R2-02]
- Candela [R3-02]
- Eva [R2-04]
- Patricia R3 [R3-01]</t>
        </r>
      </text>
    </comment>
    <comment ref="G30" authorId="0">
      <text>
        <r>
          <rPr>
            <sz val="10"/>
            <rFont val="Arial"/>
            <family val="2"/>
          </rPr>
          <t xml:space="preserve">No disponibles el 15 oct (3):
- Almudena [R4-02]
- Antonio [R2-06]
- Isa [R4-05]</t>
        </r>
      </text>
    </comment>
    <comment ref="G39" authorId="0">
      <text>
        <r>
          <rPr>
            <sz val="10"/>
            <rFont val="Arial"/>
            <family val="2"/>
          </rPr>
          <t xml:space="preserve">No disponibles el 22 oct (2):
- Candela [R3-02]
- Rosario [R1-01]</t>
        </r>
      </text>
    </comment>
    <comment ref="G48" authorId="0">
      <text>
        <r>
          <rPr>
            <sz val="10"/>
            <rFont val="Arial"/>
            <family val="2"/>
          </rPr>
          <t xml:space="preserve">No disponibles el 29 oct (1):
- Sandra [R4-04]</t>
        </r>
      </text>
    </comment>
    <comment ref="I12" authorId="0">
      <text>
        <r>
          <rPr>
            <sz val="10"/>
            <rFont val="Arial"/>
            <family val="2"/>
          </rPr>
          <t xml:space="preserve">No disponibles el 2 oct (7):
- Aitor [R1-07]
- Almudena [R4-02]
- Carlota [R4-01] (si se puede)
- Cristina [R1-02]
- Eva [R2-04]
- Mercedes [R1-05]
- Rosario [R1-01]</t>
        </r>
      </text>
    </comment>
    <comment ref="I21" authorId="0">
      <text>
        <r>
          <rPr>
            <sz val="10"/>
            <rFont val="Arial"/>
            <family val="2"/>
          </rPr>
          <t xml:space="preserve">No disponibles el 9 oct (7):
- Almudena [R4-02]
- Asis [R2-02]
- Candela [R3-02]
- Fatima [R1-08]
- Miriam [R1-03]
- Patricia R3 [R3-01]
- Tony [R3-04]</t>
        </r>
      </text>
    </comment>
    <comment ref="I30" authorId="0">
      <text>
        <r>
          <rPr>
            <sz val="10"/>
            <rFont val="Arial"/>
            <family val="2"/>
          </rPr>
          <t xml:space="preserve">No disponibles el 16 oct (4):
- Almudena [R4-02]
- Ana R4 (Gaudioso) [R4-03] (si se puede)
- Antonio [R2-06]
- Isa [R4-05]</t>
        </r>
      </text>
    </comment>
    <comment ref="I32" authorId="0">
      <text>
        <r>
          <rPr>
            <sz val="10"/>
            <rFont val="Arial"/>
            <family val="2"/>
          </rPr>
          <t xml:space="preserve">Congreso R1 (23-25 oct, H-18): los 8 R1 bloqueados. PEQ lo cubre íntegramente R2.</t>
        </r>
      </text>
    </comment>
    <comment ref="I39" authorId="0">
      <text>
        <r>
          <rPr>
            <sz val="10"/>
            <rFont val="Arial"/>
            <family val="2"/>
          </rPr>
          <t xml:space="preserve">No disponibles el 23 oct (12):
- Aitor [R1-07]
- Ana R2 [R2-07]
- Arturo [R1-06]
- Asis [R2-02]
- Candela [R3-02]
- Carlota [R4-01] (si se puede)
- Cristina [R1-02]
- David [R1-04]
- Fatima [R1-08]
- Mercedes [R1-05]
- Miriam [R1-03]
- Rosario [R1-01]
Congreso R1 (H-18): los 8 R1 bloqueados; PEQ lo cubre íntegramente R2.</t>
        </r>
      </text>
    </comment>
    <comment ref="I48" authorId="0">
      <text>
        <r>
          <rPr>
            <sz val="10"/>
            <rFont val="Arial"/>
            <family val="2"/>
          </rPr>
          <t xml:space="preserve">No disponibles el 30 oct (2):
- Emilio [R2-05]
- Sandra [R4-04]</t>
        </r>
      </text>
    </comment>
    <comment ref="J18" authorId="0">
      <text>
        <r>
          <rPr>
            <sz val="10"/>
            <rFont val="Arial"/>
            <family val="2"/>
          </rPr>
          <t xml:space="preserve">SIN CUBRIR: pareja viernes 9 + domingo 11 de MAY. Por bloqueos, solo Sandra podía cubrir ambos días; el compromiso de sábado 10 + lunes 12 (Q-08) le impide H-03 (no presencial el domingo justo después del sábado). No hay otra persona elegible confirmada — pendiente de decisión.</t>
        </r>
      </text>
    </comment>
    <comment ref="K12" authorId="0">
      <text>
        <r>
          <rPr>
            <sz val="10"/>
            <rFont val="Arial"/>
            <family val="2"/>
          </rPr>
          <t xml:space="preserve">No disponibles el 3 oct (8):
- Aitor [R1-07]
- Almudena [R4-02]
- Ana R2 [R2-07]
- Carlota [R4-01] (si se puede)
- Cristina [R1-02]
- Eva [R2-04]
- Mercedes [R1-05]
- Rosario [R1-01]</t>
        </r>
      </text>
    </comment>
    <comment ref="K14" authorId="0">
      <text>
        <r>
          <rPr>
            <sz val="10"/>
            <rFont val="Arial"/>
            <family val="2"/>
          </rPr>
          <t xml:space="preserve">Ana R4 en turno externo (MT SVA) — bloqueada H-10a; ver H-10b/c/d para TX y QX-M/QX-P adyacentes.</t>
        </r>
      </text>
    </comment>
    <comment ref="K21" authorId="0">
      <text>
        <r>
          <rPr>
            <sz val="10"/>
            <rFont val="Arial"/>
            <family val="2"/>
          </rPr>
          <t xml:space="preserve">No disponibles el 10 oct (7):
- Almudena [R4-02]
- Ana R4 (Gaudioso) [R4-03] (trabajo externo MT SVA)
- Fatima [R1-08]
- Miriam [R1-03]
- Patricia R3 [R3-01]
- Tania [R2-01]
- Tony [R3-04]</t>
        </r>
      </text>
    </comment>
    <comment ref="K30" authorId="0">
      <text>
        <r>
          <rPr>
            <sz val="10"/>
            <rFont val="Arial"/>
            <family val="2"/>
          </rPr>
          <t xml:space="preserve">No disponibles el 17 oct (4):
- Almudena [R4-02]
- Ana R4 (Gaudioso) [R4-03] (si se puede)
- Antonio [R2-06]
- Isa [R4-05]</t>
        </r>
      </text>
    </comment>
    <comment ref="K32" authorId="0">
      <text>
        <r>
          <rPr>
            <sz val="10"/>
            <rFont val="Arial"/>
            <family val="2"/>
          </rPr>
          <t xml:space="preserve">Congreso R1 (23-25 oct, H-18): los 8 R1 bloqueados. PEQ lo cubre íntegramente R2.</t>
        </r>
      </text>
    </comment>
    <comment ref="K39" authorId="0">
      <text>
        <r>
          <rPr>
            <sz val="10"/>
            <rFont val="Arial"/>
            <family val="2"/>
          </rPr>
          <t xml:space="preserve">No disponibles el 24 oct (13):
- Aitor [R1-07]
- Ana R2 [R2-07]
- Arturo [R1-06]
- Asis [R2-02]
- Candela [R3-02]
- Carlota [R4-01] (si se puede)
- Cristina [R1-02]
- David [R1-04]
- Fabian [R3-03]
- Fatima [R1-08]
- Mercedes [R1-05]
- Miriam [R1-03]
- Rosario [R1-01]
Congreso R1 (H-18): los 8 R1 bloqueados; PEQ lo cubre íntegramente R2.</t>
        </r>
      </text>
    </comment>
    <comment ref="K48" authorId="0">
      <text>
        <r>
          <rPr>
            <sz val="10"/>
            <rFont val="Arial"/>
            <family val="2"/>
          </rPr>
          <t xml:space="preserve">No disponibles el 31 oct (1):
- Sandra [R4-04]</t>
        </r>
      </text>
    </comment>
    <comment ref="L18" authorId="0">
      <text>
        <r>
          <rPr>
            <sz val="10"/>
            <rFont val="Arial"/>
            <family val="2"/>
          </rPr>
          <t xml:space="preserve">Compromiso confirmado con Pablo (Q-08): Sandra cubre sábado 10 + lunes 12 de MAY.</t>
        </r>
      </text>
    </comment>
    <comment ref="M5" authorId="0">
      <text>
        <r>
          <rPr>
            <sz val="10"/>
            <rFont val="Arial"/>
            <family val="2"/>
          </rPr>
          <t xml:space="preserve">Ana R4 en turno externo (MT SVA) — bloqueada H-10a; ver H-10b/c/d para TX y QX-M/QX-P adyacentes.</t>
        </r>
      </text>
    </comment>
    <comment ref="M12" authorId="0">
      <text>
        <r>
          <rPr>
            <sz val="10"/>
            <rFont val="Arial"/>
            <family val="2"/>
          </rPr>
          <t xml:space="preserve">No disponibles el 4 oct (10):
- Aitor [R1-07]
- Almudena [R4-02]
- Ana R2 [R2-07]
- Ana R4 (Gaudioso) [R4-03] (trabajo externo MT SVA)
- Carlota [R4-01] (si se puede)
- Cristina [R1-02]
- Eva [R2-04]
- Isa [R4-05]
- Mercedes [R1-05]
- Rosario [R1-01]</t>
        </r>
      </text>
    </comment>
    <comment ref="M21" authorId="0">
      <text>
        <r>
          <rPr>
            <sz val="10"/>
            <rFont val="Arial"/>
            <family val="2"/>
          </rPr>
          <t xml:space="preserve">No disponibles el 11 oct (6):
- Almudena [R4-02]
- Carlota [R4-01] (si se puede)
- Fatima [R1-08]
- Miriam [R1-03]
- Patricia R3 [R3-01]
- Tony [R3-04]</t>
        </r>
      </text>
    </comment>
    <comment ref="M23" authorId="0">
      <text>
        <r>
          <rPr>
            <sz val="10"/>
            <rFont val="Arial"/>
            <family val="2"/>
          </rPr>
          <t xml:space="preserve">Ana R4 en turno externo (MT SVA) — bloqueada H-10a; ver H-10b/c/d para TX y QX-M/QX-P adyacentes.</t>
        </r>
      </text>
    </comment>
    <comment ref="M30" authorId="0">
      <text>
        <r>
          <rPr>
            <sz val="10"/>
            <rFont val="Arial"/>
            <family val="2"/>
          </rPr>
          <t xml:space="preserve">No disponibles el 18 oct (4):
- Almudena [R4-02]
- Ana R4 (Gaudioso) [R4-03] (trabajo externo MT SVA)
- Antonio [R2-06]
- Isa [R4-05]</t>
        </r>
      </text>
    </comment>
    <comment ref="M32" authorId="0">
      <text>
        <r>
          <rPr>
            <sz val="10"/>
            <rFont val="Arial"/>
            <family val="2"/>
          </rPr>
          <t xml:space="preserve">Ana R4 en turno externo (24(T2) CHA) — bloqueada H-10a; ver H-10b/c/d para TX y QX-M/QX-P adyacentes.
Congreso R1 (23-25 oct, H-18): los 8 R1 bloqueados. PEQ lo cubre íntegramente R2.</t>
        </r>
      </text>
    </comment>
    <comment ref="M39" authorId="0">
      <text>
        <r>
          <rPr>
            <sz val="10"/>
            <rFont val="Arial"/>
            <family val="2"/>
          </rPr>
          <t xml:space="preserve">No disponibles el 25 oct (14):
- Aitor [R1-07]
- Ana R2 [R2-07]
- Ana R4 (Gaudioso) [R4-03] (trabajo externo 24(T2) CHA)
- Arturo [R1-06]
- Asis [R2-02]
- Candela [R3-02]
- Carlota [R4-01] (si se puede)
- Cristina [R1-02]
- David [R1-04]
- Fabian [R3-03]
- Fatima [R1-08]
- Mercedes [R1-05]
- Miriam [R1-03]
- Rosario [R1-01]
Congreso R1 (H-18): los 8 R1 bloqueados; PEQ lo cubre íntegramente R2.</t>
        </r>
      </text>
    </comment>
    <comment ref="M41" authorId="0">
      <text>
        <r>
          <rPr>
            <sz val="10"/>
            <rFont val="Arial"/>
            <family val="2"/>
          </rPr>
          <t xml:space="preserve">Festivo: Todos los Santos</t>
        </r>
      </text>
    </comment>
    <comment ref="M48" authorId="0">
      <text>
        <r>
          <rPr>
            <sz val="10"/>
            <rFont val="Arial"/>
            <family val="2"/>
          </rPr>
          <t xml:space="preserve">No disponibles el 1 nov (1):
- Sandra [R4-04]</t>
        </r>
      </text>
    </comment>
    <comment ref="N18" authorId="0">
      <text>
        <r>
          <rPr>
            <sz val="10"/>
            <rFont val="Arial"/>
            <family val="2"/>
          </rPr>
          <t xml:space="preserve">SIN CUBRIR: pareja viernes 9 + domingo 11 de MAY. Por bloqueos, solo Sandra podía cubrir ambos días; el compromiso de sábado 10 + lunes 12 (Q-08) le impide H-03 (no presencial el domingo justo después del sábado). No hay otra persona elegible confirmada — pendiente de decisión.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7" authorId="0">
      <text>
        <r>
          <rPr>
            <sz val="10"/>
            <rFont val="Arial"/>
            <family val="2"/>
          </rPr>
          <t xml:space="preserve">Ana R4 — turno externo 24(T2) CHA</t>
        </r>
      </text>
    </comment>
    <comment ref="F27" authorId="0">
      <text>
        <r>
          <rPr>
            <sz val="10"/>
            <rFont val="Arial"/>
            <family val="2"/>
          </rPr>
          <t xml:space="preserve">Ana R4 — turno externo MT SVA</t>
        </r>
      </text>
    </comment>
    <comment ref="I27" authorId="0">
      <text>
        <r>
          <rPr>
            <sz val="10"/>
            <rFont val="Arial"/>
            <family val="2"/>
          </rPr>
          <t xml:space="preserve">Ana R4 — turno externo 24(T2) CHA</t>
        </r>
      </text>
    </comment>
    <comment ref="L27" authorId="0">
      <text>
        <r>
          <rPr>
            <sz val="10"/>
            <rFont val="Arial"/>
            <family val="2"/>
          </rPr>
          <t xml:space="preserve">Ana R4 — turno externo MT SVA</t>
        </r>
      </text>
    </comment>
    <comment ref="O27" authorId="0">
      <text>
        <r>
          <rPr>
            <sz val="10"/>
            <rFont val="Arial"/>
            <family val="2"/>
          </rPr>
          <t xml:space="preserve">Ana R4 — turno externo 24(T2) CHA</t>
        </r>
      </text>
    </comment>
    <comment ref="T27" authorId="0">
      <text>
        <r>
          <rPr>
            <sz val="10"/>
            <rFont val="Arial"/>
            <family val="2"/>
          </rPr>
          <t xml:space="preserve">Ana R4 — turno externo MT SVA</t>
        </r>
      </text>
    </comment>
    <comment ref="W27" authorId="0">
      <text>
        <r>
          <rPr>
            <sz val="10"/>
            <rFont val="Arial"/>
            <family val="2"/>
          </rPr>
          <t xml:space="preserve">Ana R4 — turno externo 24(T2) CHA</t>
        </r>
      </text>
    </comment>
    <comment ref="AA27" authorId="0">
      <text>
        <r>
          <rPr>
            <sz val="10"/>
            <rFont val="Arial"/>
            <family val="2"/>
          </rPr>
          <t xml:space="preserve">Ana R4 — turno externo 24(T2) CHA</t>
        </r>
      </text>
    </comment>
    <comment ref="AD27" authorId="0">
      <text>
        <r>
          <rPr>
            <sz val="10"/>
            <rFont val="Arial"/>
            <family val="2"/>
          </rPr>
          <t xml:space="preserve">Ana R4 — turno externo MT SVA</t>
        </r>
      </text>
    </comment>
  </commentList>
</comments>
</file>

<file path=xl/sharedStrings.xml><?xml version="1.0" encoding="utf-8"?>
<sst xmlns="http://schemas.openxmlformats.org/spreadsheetml/2006/main" count="1401" uniqueCount="454">
  <si>
    <t xml:space="preserve">Cuadrante de Guardias — Servicio de Anestesiología y Reanimación</t>
  </si>
  <si>
    <t xml:space="preserve">Octubre 2026 (1 oct – 2 nov, 33 días)</t>
  </si>
  <si>
    <t xml:space="preserve">Cómo está organizado este libro</t>
  </si>
  <si>
    <t xml:space="preserve">1. Calendario Octubre 2026 — vista mensual tipo Guardiscope. Cada día tiene 5 casillas (TX, UCQ, MAY, PEQ, PEQ). Rellena con el desplegable de cada casilla (respeta la elegibilidad de cada puesto).</t>
  </si>
  <si>
    <t xml:space="preserve">2. Resumen de guardias (estilo Guardiscope) — tabla de sanitarios con rango objetivo por puesto y recuento real, calculado en vivo desde el Calendario.</t>
  </si>
  <si>
    <t xml:space="preserve">3. Validación H-01 a H-18 — checklist de reglas duras y puntuación de reglas blandas S-01 a S-07. Lo rellena el agente revisor-optimizador tras cada pasada.</t>
  </si>
  <si>
    <t xml:space="preserve">4. Preguntas pendientes (Q) — decisiones sin cerrar en la fuente de la verdad (Q-04 a Q-16). Resuélvelas aquí; el agente las usará como supuestos confirmados.</t>
  </si>
  <si>
    <t xml:space="preserve">5. Plantilla y elegibilidad — los 25 residentes con su ID único y los puestos que pueden cubrir.</t>
  </si>
  <si>
    <t xml:space="preserve">6. Bloqueos y vacaciones — vacaciones/bloqueos declarados y el parte de guardias externas de Ana R4.</t>
  </si>
  <si>
    <t xml:space="preserve">7. Reglas (resumen) — versión condensada de las reglas duras H y blandas S para consulta rápida sin salir del Excel.</t>
  </si>
  <si>
    <t xml:space="preserve">Leyenda de prefijos de las casillas</t>
  </si>
  <si>
    <t xml:space="preserve">TX = Localizada de trasplante (solo R4) · UCQ = REA/UCQ · MAY = Quirófano residente mayor (QX-M) · PEQ = Quirófano residente pequeño (QX-P, 2 plazas/día)</t>
  </si>
  <si>
    <t xml:space="preserve">Cómo rellenar una casilla</t>
  </si>
  <si>
    <t xml:space="preserve">Haz clic en la casilla vacía → aparece un desplegable con las personas elegibles para ese puesto → elige una. Ejemplo de formato de celda: "MAY-Sandra", "PEQ-Rosario", "TX-AnaR4".</t>
  </si>
  <si>
    <t xml:space="preserve">Casillas ya rellenas en verde = asignación FORZADA por la fuente de la verdad (§8ter y §8quater: el reparto del trasplante de fin de semana y el QX-M del 9+11 de octubre son la única solución compatible con las reglas). No las muevas sin releer H-06/H-07/H-15.</t>
  </si>
  <si>
    <t xml:space="preserve">Casillas de cabecera en rojo/rosa = festivo o puente. Pasa el cursor sobre el número del día para ver notas (congreso R1, turno externo de Ana R4).</t>
  </si>
  <si>
    <t xml:space="preserve">Fuente normativa</t>
  </si>
  <si>
    <t xml:space="preserve">Este Excel es una herramienta de trabajo, no la fuente de la verdad. Las reglas completas (H-01 a H-18, S-01 a S-07) viven en fuente-verdad-guardias-anestesia.md, en el repositorio, y el agente de Claude Code 'guardias-anestesia' las aplica al ayudarte a rellenar y validar este cuadrante. Ante conflicto entre este Excel y ese documento, manda el documento.</t>
  </si>
  <si>
    <t xml:space="preserve">CUADRANTE DE GUARDIAS · Anestesiología y Reanimación · Octubre 2026 (1 oct – 2 nov)</t>
  </si>
  <si>
    <t xml:space="preserve">TX</t>
  </si>
  <si>
    <t xml:space="preserve">Trasplante (R4)</t>
  </si>
  <si>
    <t xml:space="preserve">UCQ</t>
  </si>
  <si>
    <t xml:space="preserve">REA / UCQ</t>
  </si>
  <si>
    <t xml:space="preserve">MAY</t>
  </si>
  <si>
    <t xml:space="preserve">Quirófano mayor</t>
  </si>
  <si>
    <t xml:space="preserve">PEQ</t>
  </si>
  <si>
    <t xml:space="preserve">Quirófano pequeño ×2</t>
  </si>
  <si>
    <t xml:space="preserve">verde = fijado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</si>
  <si>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</si>
  <si>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</si>
  <si>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</si>
  <si>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</si>
  <si>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</si>
  <si>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SÁB</t>
  </si>
  <si>
    <t xml:space="preserve">DOM</t>
  </si>
  <si>
    <t xml:space="preserve">1</t>
  </si>
  <si>
    <t xml:space="preserve">2</t>
  </si>
  <si>
    <t xml:space="preserve">3</t>
  </si>
  <si>
    <t xml:space="preserve">4</t>
  </si>
  <si>
    <t xml:space="preserve">TX-Isa</t>
  </si>
  <si>
    <t xml:space="preserve">TX-Sandra</t>
  </si>
  <si>
    <t xml:space="preserve">UCQ-Tony</t>
  </si>
  <si>
    <t xml:space="preserve">UCQ-Tania</t>
  </si>
  <si>
    <t xml:space="preserve">UCQ-Fabian</t>
  </si>
  <si>
    <t xml:space="preserve">MAY-Carlota</t>
  </si>
  <si>
    <t xml:space="preserve">MAY-Candela</t>
  </si>
  <si>
    <t xml:space="preserve">MAY-PatriciaR3</t>
  </si>
  <si>
    <t xml:space="preserve">PEQ-Antonio</t>
  </si>
  <si>
    <t xml:space="preserve">PEQ-Fatima</t>
  </si>
  <si>
    <t xml:space="preserve">PEQ-Arturo</t>
  </si>
  <si>
    <t xml:space="preserve">PEQ-AnaR2</t>
  </si>
  <si>
    <t xml:space="preserve">PEQ-Marc</t>
  </si>
  <si>
    <t xml:space="preserve">⛔ AnaR4, Emi, Eva</t>
  </si>
  <si>
    <t xml:space="preserve">⛔ Aitor, Almu, Carlota, Cris, Eva, Merce, Rosa</t>
  </si>
  <si>
    <t xml:space="preserve">⛔ Aitor, Almu, AnaR2, Carlota, Cris, Eva, Merce, Rosa</t>
  </si>
  <si>
    <t xml:space="preserve">⛔ Aitor, Almu, AnaR2, AnaR4, Carlota, Cris, Eva, Isa, Merce, Rosa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</si>
  <si>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</si>
  <si>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</si>
  <si>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</si>
  <si>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</si>
  <si>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</si>
  <si>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</si>
  <si>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</si>
  <si>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TX-AnaR4</t>
  </si>
  <si>
    <t xml:space="preserve">TX-Carlota</t>
  </si>
  <si>
    <t xml:space="preserve">UCQ-PatriciaR2</t>
  </si>
  <si>
    <t xml:space="preserve">UCQ-AnaR2</t>
  </si>
  <si>
    <t xml:space="preserve">MAY-Almudena</t>
  </si>
  <si>
    <t xml:space="preserve">MAY-Sandra</t>
  </si>
  <si>
    <t xml:space="preserve">PEQ-PatriciaR2</t>
  </si>
  <si>
    <t xml:space="preserve">PEQ-Mercedes</t>
  </si>
  <si>
    <t xml:space="preserve">PEQ-Emilio</t>
  </si>
  <si>
    <t xml:space="preserve">PEQ-David</t>
  </si>
  <si>
    <t xml:space="preserve">PEQ-Asis</t>
  </si>
  <si>
    <t xml:space="preserve">PEQ-Eva</t>
  </si>
  <si>
    <t xml:space="preserve">⛔ Eva</t>
  </si>
  <si>
    <t xml:space="preserve">⛔ AnaR4, Eva</t>
  </si>
  <si>
    <t xml:space="preserve">⛔ Asís, Cande, Eva, PatR3</t>
  </si>
  <si>
    <t xml:space="preserve">⛔ Almu, Asís, Cande, Fati, Miri, PatR3, Tony</t>
  </si>
  <si>
    <t xml:space="preserve">⛔ Almu, AnaR4, Fati, Miri, PatR3, Tania, Tony</t>
  </si>
  <si>
    <t xml:space="preserve">⛔ Almu, Carlota, Fati, Miri, PatR3, Tony</t>
  </si>
  <si>
    <t xml:space="preserve">★ 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</si>
  <si>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</si>
  <si>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</si>
  <si>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</si>
  <si>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</si>
  <si>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</si>
  <si>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</si>
  <si>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UCQ-Emilio</t>
  </si>
  <si>
    <t xml:space="preserve">MAY-AnaR4</t>
  </si>
  <si>
    <t xml:space="preserve">PEQ-Aitor</t>
  </si>
  <si>
    <t xml:space="preserve">PEQ-Cristina</t>
  </si>
  <si>
    <t xml:space="preserve">PEQ-Tania</t>
  </si>
  <si>
    <t xml:space="preserve">⛔ PatR3</t>
  </si>
  <si>
    <t xml:space="preserve">⛔ AnaR4</t>
  </si>
  <si>
    <t xml:space="preserve">⛔ Isa</t>
  </si>
  <si>
    <t xml:space="preserve">⛔ Almu, Anto, Isa</t>
  </si>
  <si>
    <t xml:space="preserve">⛔ Almu, AnaR4, Anto, Isa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</si>
  <si>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</si>
  <si>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</si>
  <si>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</si>
  <si>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</si>
  <si>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</si>
  <si>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</si>
  <si>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</si>
  <si>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TX-Almudena</t>
  </si>
  <si>
    <t xml:space="preserve">MAY-Isa</t>
  </si>
  <si>
    <t xml:space="preserve">PEQ-Rosario</t>
  </si>
  <si>
    <t xml:space="preserve">PEQ-Miriam</t>
  </si>
  <si>
    <t xml:space="preserve">⛔ Almu</t>
  </si>
  <si>
    <t xml:space="preserve">⛔ Almu, AnaR4, Rosa</t>
  </si>
  <si>
    <t xml:space="preserve">⛔ Cande, Rosa</t>
  </si>
  <si>
    <t xml:space="preserve">⛔ Aitor, AnaR2, Artu, Asís, Cande, Carlota, Cris, David, Fati, Merce, Miri, Rosa</t>
  </si>
  <si>
    <t xml:space="preserve">⛔ Aitor, AnaR2, Artu, Asís, Cande, Carlota, Cris, David, Fabi, Fati, Merce, Miri, Rosa</t>
  </si>
  <si>
    <t xml:space="preserve">⛔ Aitor, AnaR2, AnaR4, Artu, Asís, Cande, Carlota, Cris, David, Fabi, Fati, Merce, Miri, Rosa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</si>
  <si>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</si>
  <si>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</si>
  <si>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</si>
  <si>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</si>
  <si>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</si>
  <si>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</si>
  <si>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★ 1 nov</t>
  </si>
  <si>
    <t xml:space="preserve">UCQ-Eva</t>
  </si>
  <si>
    <t xml:space="preserve">⛔ Emi</t>
  </si>
  <si>
    <t xml:space="preserve">✔ sin bloqueos</t>
  </si>
  <si>
    <t xml:space="preserve">⛔ Sandra</t>
  </si>
  <si>
    <t xml:space="preserve">⛔ Emi, Sandra</t>
  </si>
  <si>
    <t xml:space="preserve">★ 2 nov</t>
  </si>
  <si>
    <t xml:space="preserve">COBERTURA POR DÍA · puestos a cubrir, asignados y pendientes (1 oct – 2 nov 2026)</t>
  </si>
  <si>
    <t xml:space="preserve">TOTALES — puestos que hay que cubrir cada día</t>
  </si>
  <si>
    <t xml:space="preserve">Turnos/Guardias</t>
  </si>
  <si>
    <t xml:space="preserve">Total</t>
  </si>
  <si>
    <t xml:space="preserve">01/10</t>
  </si>
  <si>
    <t xml:space="preserve">02/10</t>
  </si>
  <si>
    <t xml:space="preserve">03/10</t>
  </si>
  <si>
    <t xml:space="preserve">04/10</t>
  </si>
  <si>
    <t xml:space="preserve">05/10</t>
  </si>
  <si>
    <t xml:space="preserve">06/10</t>
  </si>
  <si>
    <t xml:space="preserve">07/10</t>
  </si>
  <si>
    <t xml:space="preserve">08/10</t>
  </si>
  <si>
    <t xml:space="preserve">09/10</t>
  </si>
  <si>
    <t xml:space="preserve">10/10</t>
  </si>
  <si>
    <t xml:space="preserve">11/10</t>
  </si>
  <si>
    <t xml:space="preserve">12/10</t>
  </si>
  <si>
    <t xml:space="preserve">13/10</t>
  </si>
  <si>
    <t xml:space="preserve">14/10</t>
  </si>
  <si>
    <t xml:space="preserve">15/10</t>
  </si>
  <si>
    <t xml:space="preserve">16/10</t>
  </si>
  <si>
    <t xml:space="preserve">17/10</t>
  </si>
  <si>
    <t xml:space="preserve">18/10</t>
  </si>
  <si>
    <t xml:space="preserve">19/10</t>
  </si>
  <si>
    <t xml:space="preserve">20/10</t>
  </si>
  <si>
    <t xml:space="preserve">21/10</t>
  </si>
  <si>
    <t xml:space="preserve">22/10</t>
  </si>
  <si>
    <t xml:space="preserve">23/10</t>
  </si>
  <si>
    <t xml:space="preserve">24/10</t>
  </si>
  <si>
    <t xml:space="preserve">25/10</t>
  </si>
  <si>
    <t xml:space="preserve">26/10</t>
  </si>
  <si>
    <t xml:space="preserve">27/10</t>
  </si>
  <si>
    <t xml:space="preserve">28/10</t>
  </si>
  <si>
    <t xml:space="preserve">29/10</t>
  </si>
  <si>
    <t xml:space="preserve">30/10</t>
  </si>
  <si>
    <t xml:space="preserve">31/10</t>
  </si>
  <si>
    <t xml:space="preserve">01/11</t>
  </si>
  <si>
    <t xml:space="preserve">02/11</t>
  </si>
  <si>
    <t xml:space="preserve">Tx</t>
  </si>
  <si>
    <t xml:space="preserve">ucq</t>
  </si>
  <si>
    <t xml:space="preserve">MAYORES</t>
  </si>
  <si>
    <t xml:space="preserve">qx peq</t>
  </si>
  <si>
    <t xml:space="preserve">ASIGNADOS — rellenados en el Calendario</t>
  </si>
  <si>
    <t xml:space="preserve">PENDIENTES — lo que falta por cubrir</t>
  </si>
  <si>
    <t xml:space="preserve">TOTALES es fijo (H-01: 1 Tx + 1 ucq + 1 MAY + 2 peq = 5 puestos/día × 33 días = 165). ASIGNADOS y PENDIENTES se calculan solos desde la pestaña Calendario. Columnas moradas = fin de semana, rojas = festivo.</t>
  </si>
  <si>
    <t xml:space="preserve">Rangos objetivo (editable, según fuente de la verdad)</t>
  </si>
  <si>
    <t xml:space="preserve">Recuento real (formulas -&gt; Calendario)</t>
  </si>
  <si>
    <t xml:space="preserve">Por día de la semana / festivos (recuento real)</t>
  </si>
  <si>
    <t xml:space="preserve">Sanitarios/as</t>
  </si>
  <si>
    <t xml:space="preserve">ID</t>
  </si>
  <si>
    <t xml:space="preserve">Total
(objetivo)</t>
  </si>
  <si>
    <t xml:space="preserve">MAY
(objetivo)</t>
  </si>
  <si>
    <t xml:space="preserve">Tx
(objetivo)</t>
  </si>
  <si>
    <t xml:space="preserve">ucq
(objetivo)</t>
  </si>
  <si>
    <t xml:space="preserve">peq
(objetivo)</t>
  </si>
  <si>
    <t xml:space="preserve">peq</t>
  </si>
  <si>
    <t xml:space="preserve">L</t>
  </si>
  <si>
    <t xml:space="preserve">M</t>
  </si>
  <si>
    <t xml:space="preserve">X</t>
  </si>
  <si>
    <t xml:space="preserve">J</t>
  </si>
  <si>
    <t xml:space="preserve">V</t>
  </si>
  <si>
    <t xml:space="preserve">S</t>
  </si>
  <si>
    <t xml:space="preserve">D</t>
  </si>
  <si>
    <t xml:space="preserve">F</t>
  </si>
  <si>
    <t xml:space="preserve">Rosario</t>
  </si>
  <si>
    <t xml:space="preserve">R1-01</t>
  </si>
  <si>
    <t xml:space="preserve">3-4</t>
  </si>
  <si>
    <t xml:space="preserve">Cristina</t>
  </si>
  <si>
    <t xml:space="preserve">R1-02</t>
  </si>
  <si>
    <t xml:space="preserve">Miriam</t>
  </si>
  <si>
    <t xml:space="preserve">R1-03</t>
  </si>
  <si>
    <t xml:space="preserve">4-5</t>
  </si>
  <si>
    <t xml:space="preserve">David</t>
  </si>
  <si>
    <t xml:space="preserve">R1-04</t>
  </si>
  <si>
    <t xml:space="preserve">Mercedes</t>
  </si>
  <si>
    <t xml:space="preserve">R1-05</t>
  </si>
  <si>
    <t xml:space="preserve">Arturo</t>
  </si>
  <si>
    <t xml:space="preserve">R1-06</t>
  </si>
  <si>
    <t xml:space="preserve">Aitor</t>
  </si>
  <si>
    <t xml:space="preserve">R1-07</t>
  </si>
  <si>
    <t xml:space="preserve">Fatima</t>
  </si>
  <si>
    <t xml:space="preserve">R1-08</t>
  </si>
  <si>
    <t xml:space="preserve">Tania</t>
  </si>
  <si>
    <t xml:space="preserve">R2-01</t>
  </si>
  <si>
    <t xml:space="preserve">6-</t>
  </si>
  <si>
    <t xml:space="preserve">Asis</t>
  </si>
  <si>
    <t xml:space="preserve">R2-02</t>
  </si>
  <si>
    <t xml:space="preserve">1-2</t>
  </si>
  <si>
    <t xml:space="preserve">Patricia R2</t>
  </si>
  <si>
    <t xml:space="preserve">R2-03</t>
  </si>
  <si>
    <t xml:space="preserve">Eva</t>
  </si>
  <si>
    <t xml:space="preserve">R2-04</t>
  </si>
  <si>
    <t xml:space="preserve">Emilio</t>
  </si>
  <si>
    <t xml:space="preserve">R2-05</t>
  </si>
  <si>
    <t xml:space="preserve">Antonio</t>
  </si>
  <si>
    <t xml:space="preserve">R2-06</t>
  </si>
  <si>
    <t xml:space="preserve">Ana R2</t>
  </si>
  <si>
    <t xml:space="preserve">R2-07</t>
  </si>
  <si>
    <t xml:space="preserve">Marc</t>
  </si>
  <si>
    <t xml:space="preserve">R2-08</t>
  </si>
  <si>
    <t xml:space="preserve">Patricia R3</t>
  </si>
  <si>
    <t xml:space="preserve">R3-01</t>
  </si>
  <si>
    <t xml:space="preserve">Candela</t>
  </si>
  <si>
    <t xml:space="preserve">R3-02</t>
  </si>
  <si>
    <t xml:space="preserve">Fabian</t>
  </si>
  <si>
    <t xml:space="preserve">R3-03</t>
  </si>
  <si>
    <t xml:space="preserve">Tony</t>
  </si>
  <si>
    <t xml:space="preserve">R3-04</t>
  </si>
  <si>
    <t xml:space="preserve">Carlota</t>
  </si>
  <si>
    <t xml:space="preserve">R4-01</t>
  </si>
  <si>
    <t xml:space="preserve">Almudena</t>
  </si>
  <si>
    <t xml:space="preserve">R4-02</t>
  </si>
  <si>
    <t xml:space="preserve">Ana R4 (Gaudioso)</t>
  </si>
  <si>
    <t xml:space="preserve">R4-03</t>
  </si>
  <si>
    <t xml:space="preserve">Sandra</t>
  </si>
  <si>
    <t xml:space="preserve">R4-04</t>
  </si>
  <si>
    <t xml:space="preserve">Isa</t>
  </si>
  <si>
    <t xml:space="preserve">R4-05</t>
  </si>
  <si>
    <t xml:space="preserve">TOTAL</t>
  </si>
  <si>
    <t xml:space="preserve">MAY/Tx: §8.5.1. ucq (REA): H-11 (cupo 6) y mensaje directo de Pablo (1-2 para el resto de R2). peq (QX-P) R1: mensaje directo de Pablo (3-4, Miriam 4-5). "F" = guardias en día festivo/puente (12 oct, 1 y 2 nov).</t>
  </si>
  <si>
    <t xml:space="preserve">MAPA DE BLOQUEOS · quién NO está disponible cada día (1 oct – 2 nov 2026)</t>
  </si>
  <si>
    <t xml:space="preserve">Bloqueo declarado</t>
  </si>
  <si>
    <t xml:space="preserve">"Si se puede" (blando)</t>
  </si>
  <si>
    <t xml:space="preserve">Ana R4 · trabajo externo</t>
  </si>
  <si>
    <t xml:space="preserve">Disponible</t>
  </si>
  <si>
    <t xml:space="preserve">Residente</t>
  </si>
  <si>
    <t xml:space="preserve">12</t>
  </si>
  <si>
    <t xml:space="preserve">1N</t>
  </si>
  <si>
    <t xml:space="preserve">2N</t>
  </si>
  <si>
    <t xml:space="preserve">~</t>
  </si>
  <si>
    <t xml:space="preserve">E</t>
  </si>
  <si>
    <t xml:space="preserve">TOTAL bloqueados</t>
  </si>
  <si>
    <t xml:space="preserve">Validación de reglas duras (rellena el agente revisor-optimizador tras cada pasada)</t>
  </si>
  <si>
    <t xml:space="preserve">Regla</t>
  </si>
  <si>
    <t xml:space="preserve">Descripción</t>
  </si>
  <si>
    <t xml:space="preserve">Veredicto</t>
  </si>
  <si>
    <t xml:space="preserve">Detalle si ❌ (día · persona · qué pasa · qué debería pasar)</t>
  </si>
  <si>
    <t xml:space="preserve">H-01</t>
  </si>
  <si>
    <t xml:space="preserve">Cobertura completa: cada día tiene exactamente 1 TX, 1 UCQ, 1 MAY y 2 PEQ.</t>
  </si>
  <si>
    <t xml:space="preserve">⚠️</t>
  </si>
  <si>
    <t xml:space="preserve">Comprobado automáticamente: 1 excepción documentada — MAY del 9 y 11 oct (viernes-domingo) queda SIN CUBRIR. Solo Sandra podía cubrir ambos días (única disponible), pero el compromiso Q-08 (sábado 10 + lunes 12) se lo impide vía H-03. Resto de días: 0 violaciones.</t>
  </si>
  <si>
    <t xml:space="preserve">H-02</t>
  </si>
  <si>
    <t xml:space="preserve">Nadie ocupa más de un puesto el mismo día.</t>
  </si>
  <si>
    <t xml:space="preserve">✅</t>
  </si>
  <si>
    <t xml:space="preserve">Comprobado automáticamente sobre el cuadrante generado (0 violaciones).</t>
  </si>
  <si>
    <t xml:space="preserve">H-03</t>
  </si>
  <si>
    <t xml:space="preserve">Saliente de guardia libra 24h (D+1 vacío).</t>
  </si>
  <si>
    <t xml:space="preserve">H-04</t>
  </si>
  <si>
    <t xml:space="preserve">Guardia en sábado (no puente) ⇒ libra domingo y lunes.</t>
  </si>
  <si>
    <t xml:space="preserve">H-05</t>
  </si>
  <si>
    <t xml:space="preserve">Pareja viernes-domingo: misma persona, mismo puesto, bloque indivisible.</t>
  </si>
  <si>
    <t xml:space="preserve">Comprobado automáticamente: misma excepción que H-01 (pareja viernes 9 + domingo 11 de MAY sin cubrir, ver detalle en H-01). Resto de parejas viernes-domingo: 0 violaciones.</t>
  </si>
  <si>
    <t xml:space="preserve">H-06</t>
  </si>
  <si>
    <t xml:space="preserve">Exclusión de puentes: quien cubre Pilar (10-12 oct) no cubre Santos (31 oct-2 nov) y viceversa.</t>
  </si>
  <si>
    <t xml:space="preserve">H-07</t>
  </si>
  <si>
    <t xml:space="preserve">Sábado de puente ⇒ se une al lunes festivo (prevalece sobre H-04) en FDS-2 y FDS-5.</t>
  </si>
  <si>
    <t xml:space="preserve">H-08</t>
  </si>
  <si>
    <t xml:space="preserve">Se respetan vacaciones y bloqueos declarados.</t>
  </si>
  <si>
    <t xml:space="preserve">H-09</t>
  </si>
  <si>
    <t xml:space="preserve">Elegibilidad por puesto (§5) respetada en todas las asignaciones.</t>
  </si>
  <si>
    <t xml:space="preserve">H-10</t>
  </si>
  <si>
    <t xml:space="preserve">Bloqueos individuales de Ana R4 (H-10a a H-10d).</t>
  </si>
  <si>
    <t xml:space="preserve">Comprobado automáticamente sobre el cuadrante generado (0 violaciones de H-10a a H-10d).</t>
  </si>
  <si>
    <t xml:space="preserve">no se entiende q es'?</t>
  </si>
  <si>
    <t xml:space="preserve">H-11</t>
  </si>
  <si>
    <t xml:space="preserve">Tania, Patricia R2, Fabián, Tony: mínimo 6 guardias UCQ cada uno.</t>
  </si>
  <si>
    <t xml:space="preserve">H-12</t>
  </si>
  <si>
    <t xml:space="preserve">Esos mismos cuatro: mínimo 2 fines de semana cada uno (concretado por H-16).</t>
  </si>
  <si>
    <t xml:space="preserve">H-13</t>
  </si>
  <si>
    <t xml:space="preserve">Todo residente hace al menos 1 fin de semana.</t>
  </si>
  <si>
    <t xml:space="preserve">H-14</t>
  </si>
  <si>
    <t xml:space="preserve">No hay TX la víspera de una guardia presencial.</t>
  </si>
  <si>
    <t xml:space="preserve">H-15</t>
  </si>
  <si>
    <t xml:space="preserve">Agrupación del TX de fin de semana: una sola persona por bloque, 1:1 con los 5 R4.</t>
  </si>
  <si>
    <t xml:space="preserve">Redefinido por Q-15 (el bloque de fin de semana empieza el viernes, no el sábado). Comprobado automáticamente: los 5 R4 cubren cada uno exactamente 1 fin de semana completo, 0 violaciones.</t>
  </si>
  <si>
    <t xml:space="preserve">H-16</t>
  </si>
  <si>
    <t xml:space="preserve">Los cuatro de UCQ cubren un bloque V-D y un sábado suelto cada uno.</t>
  </si>
  <si>
    <t xml:space="preserve">1. en los puestos de quirofano, los pequeños si es posible evitar dos R1 juntos el mismo día. </t>
  </si>
  <si>
    <t xml:space="preserve">H-17</t>
  </si>
  <si>
    <t xml:space="preserve">Bloqueos declarados respetados (§8bis).</t>
  </si>
  <si>
    <t xml:space="preserve">2. siempre que se tenga guardia es imposible estar de trasplante el dia previo, pero si que se podría el día de saliente ( sin embargo, es preferible evitarlo. </t>
  </si>
  <si>
    <t xml:space="preserve">H-18</t>
  </si>
  <si>
    <t xml:space="preserve">Congreso R1 23-25 oct: los 8 R1 bloqueados, PEQ lo cubre R2.</t>
  </si>
  <si>
    <t xml:space="preserve">3. cuando alguien se haya bloqueado un día por vacaciones ese dia previo a las vacaciones si que puede estar de guardia de quirofano o de REA, pero no puede estar de localizada de trasplante.</t>
  </si>
  <si>
    <t xml:space="preserve">VEREDICTO GLOBAL: </t>
  </si>
  <si>
    <t xml:space="preserve">VÁLIDO salvo 1 excepción documentada — MAY 9 y 11 oct sin cubrir (ver H-01/H-05). Todas las demás reglas H-01 a H-19: 0 violaciones.</t>
  </si>
  <si>
    <t xml:space="preserve">Puntuación de reglas blandas S-01 a S-07 (0-41, ver fuente de la verdad §7 para el detalle de cada métrica)</t>
  </si>
  <si>
    <t xml:space="preserve">Qué mide</t>
  </si>
  <si>
    <t xml:space="preserve">Puntos</t>
  </si>
  <si>
    <t xml:space="preserve">Puntuación obtenida</t>
  </si>
  <si>
    <t xml:space="preserve">S-01</t>
  </si>
  <si>
    <t xml:space="preserve">5 guardias MAY por mayor</t>
  </si>
  <si>
    <t xml:space="preserve">S-02</t>
  </si>
  <si>
    <t xml:space="preserve">Reparto equitativo de fines de semana</t>
  </si>
  <si>
    <t xml:space="preserve">S-03</t>
  </si>
  <si>
    <t xml:space="preserve">2º FDS en sábado si el 1º fue bloque V-D</t>
  </si>
  <si>
    <t xml:space="preserve">S-04</t>
  </si>
  <si>
    <t xml:space="preserve">Reparto equitativo del total de guardias</t>
  </si>
  <si>
    <t xml:space="preserve">S-05</t>
  </si>
  <si>
    <t xml:space="preserve">Separación mínima 3-4 días entre guardias</t>
  </si>
  <si>
    <t xml:space="preserve">S-07</t>
  </si>
  <si>
    <t xml:space="preserve">Rotar el mayor que supervisa</t>
  </si>
  <si>
    <t xml:space="preserve">Log de excepciones (toda regla blanda relajada, con justificación)</t>
  </si>
  <si>
    <t xml:space="preserve">Fecha</t>
  </si>
  <si>
    <t xml:space="preserve">Regla relajada</t>
  </si>
  <si>
    <t xml:space="preserve">Justificación</t>
  </si>
  <si>
    <t xml:space="preserve">Decidido por</t>
  </si>
  <si>
    <t xml:space="preserve">9-11 oct</t>
  </si>
  <si>
    <t xml:space="preserve">H-01 / H-05 (MAY viernes 9 + domingo 11)</t>
  </si>
  <si>
    <t xml:space="preserve">Solo Sandra podia cubrir ambos dias (unica disponible por bloqueos). El compromiso Q-08 (sabado 10 + lunes 12) le impide por H-03. Queda sin cubrir a falta de decision.</t>
  </si>
  <si>
    <t xml:space="preserve">Pendiente de Pablo</t>
  </si>
  <si>
    <t xml:space="preserve">todo el mes</t>
  </si>
  <si>
    <t xml:space="preserve">S-06 (evitar 2 R1 en PEQ el mismo dia)</t>
  </si>
  <si>
    <t xml:space="preserve">Aclaracion de Pablo aplicada como regla dura en el generador: 0 incidencias.</t>
  </si>
  <si>
    <t xml:space="preserve">Pablo (aclaracion previa)</t>
  </si>
  <si>
    <t xml:space="preserve">H-19 (sin TX la vispera de vacaciones)</t>
  </si>
  <si>
    <t xml:space="preserve">Aclaracion de Pablo aplicada: 0 incidencias.</t>
  </si>
  <si>
    <t xml:space="preserve">Bloqueos y vacaciones declarados — octubre 2026 (32 = 1 nov, 33 = 2 nov)</t>
  </si>
  <si>
    <t xml:space="preserve">Bloqueos declarados</t>
  </si>
  <si>
    <t xml:space="preserve">2-4, 21-25</t>
  </si>
  <si>
    <t xml:space="preserve">2-4, 23-25</t>
  </si>
  <si>
    <t xml:space="preserve">9-11, 23-25</t>
  </si>
  <si>
    <t xml:space="preserve">23-25</t>
  </si>
  <si>
    <t xml:space="preserve">8-9, 23-25</t>
  </si>
  <si>
    <t xml:space="preserve">— (ninguno)</t>
  </si>
  <si>
    <t xml:space="preserve">1-8</t>
  </si>
  <si>
    <t xml:space="preserve">1, 26, 30</t>
  </si>
  <si>
    <t xml:space="preserve">15-18</t>
  </si>
  <si>
    <t xml:space="preserve">3-4, 23-25</t>
  </si>
  <si>
    <t xml:space="preserve">8-12</t>
  </si>
  <si>
    <t xml:space="preserve">8-9, 22-25</t>
  </si>
  <si>
    <t xml:space="preserve">24-25</t>
  </si>
  <si>
    <t xml:space="preserve">9-11</t>
  </si>
  <si>
    <t xml:space="preserve">2-4, 11, 23-25 ("si se puede" — alcance sin confirmar, Q-11)</t>
  </si>
  <si>
    <t xml:space="preserve">2-4, 9-11, 15-21 (duro)</t>
  </si>
  <si>
    <t xml:space="preserve">16-18 ("si se puede") + los 9 días de trabajo externo (ver abajo)</t>
  </si>
  <si>
    <t xml:space="preserve">29 oct - 1 nov (interpretación asumida, Q-12)</t>
  </si>
  <si>
    <t xml:space="preserve">3,4, 14-18 (duro)</t>
  </si>
  <si>
    <t xml:space="preserve">Parte de guardias externas — Ana Gaudioso García (R4-03)</t>
  </si>
  <si>
    <t xml:space="preserve">Fecha (oct)</t>
  </si>
  <si>
    <t xml:space="preserve">Turno</t>
  </si>
  <si>
    <t xml:space="preserve">Tipo</t>
  </si>
  <si>
    <t xml:space="preserve">1 oct</t>
  </si>
  <si>
    <t xml:space="preserve">24(T2)</t>
  </si>
  <si>
    <t xml:space="preserve">CHA</t>
  </si>
  <si>
    <t xml:space="preserve">4 oct</t>
  </si>
  <si>
    <t xml:space="preserve">MT</t>
  </si>
  <si>
    <t xml:space="preserve">SVA</t>
  </si>
  <si>
    <t xml:space="preserve">7 oct</t>
  </si>
  <si>
    <t xml:space="preserve">10 oct</t>
  </si>
  <si>
    <t xml:space="preserve">13 oct</t>
  </si>
  <si>
    <t xml:space="preserve">18 oct</t>
  </si>
  <si>
    <t xml:space="preserve">21 oct</t>
  </si>
  <si>
    <t xml:space="preserve">25 oct</t>
  </si>
  <si>
    <t xml:space="preserve">28 oct</t>
  </si>
  <si>
    <t xml:space="preserve">Decisiones pendientes de la fuente de la verdad — resuélvelas aquí</t>
  </si>
  <si>
    <t xml:space="preserve">Pregunta</t>
  </si>
  <si>
    <t xml:space="preserve">Supuesto aplicado en este libro / Respuesta</t>
  </si>
  <si>
    <t xml:space="preserve">Impacto</t>
  </si>
  <si>
    <t xml:space="preserve">Q-04</t>
  </si>
  <si>
    <t xml:space="preserve">¿"UCQ" y "REA" son el mismo puesto?</t>
  </si>
  <si>
    <t xml:space="preserve">Asumido que sí (usado así en este libro)</t>
  </si>
  <si>
    <t xml:space="preserve">Medio</t>
  </si>
  <si>
    <t xml:space="preserve">Q-05</t>
  </si>
  <si>
    <t xml:space="preserve">En puentes: ¿quien hace el sábado trabaja el lunes festivo (H-07) o libra (H-04)?</t>
  </si>
  <si>
    <t xml:space="preserve">Asumido H-07 (aplicado en el Calendario)</t>
  </si>
  <si>
    <t xml:space="preserve">Alto</t>
  </si>
  <si>
    <t xml:space="preserve">Q-07</t>
  </si>
  <si>
    <t xml:space="preserve">¿La TX genera libranza al día siguiente?</t>
  </si>
  <si>
    <t xml:space="preserve">SI</t>
  </si>
  <si>
    <t xml:space="preserve">Bajo</t>
  </si>
  <si>
    <t xml:space="preserve">Q-08</t>
  </si>
  <si>
    <t xml:space="preserve">¿Guardias comprometidas o cambios ya pactados?</t>
  </si>
  <si>
    <t xml:space="preserve">si, con Sandra me comprometí a ponerle el sabado 10 y 12</t>
  </si>
  <si>
    <t xml:space="preserve">Q-09</t>
  </si>
  <si>
    <t xml:space="preserve">¿Enlace con el 30 sep y el 3 nov?</t>
  </si>
  <si>
    <t xml:space="preserve">NO</t>
  </si>
  <si>
    <t xml:space="preserve">Q-10</t>
  </si>
  <si>
    <t xml:space="preserve">¿El 22 oct es realmente excepción de TX para Ana R4?</t>
  </si>
  <si>
    <t xml:space="preserve">si</t>
  </si>
  <si>
    <t xml:space="preserve">Bajo en octubre / alto para generalizar</t>
  </si>
  <si>
    <t xml:space="preserve">Q-11</t>
  </si>
  <si>
    <t xml:space="preserve">Carlota: el "(si se puede)" ¿aplica a todo el bloqueo o solo a 23-25?</t>
  </si>
  <si>
    <t xml:space="preserve">Solo al 23-25, pero carlota prefiere no trabajar los 2 puestes, asi que si no cuadrá, quitará ese bloqueo</t>
  </si>
  <si>
    <t xml:space="preserve">Q-12</t>
  </si>
  <si>
    <t xml:space="preserve">Sandra "29-1": ¿es 29 oct – 1 nov?</t>
  </si>
  <si>
    <t xml:space="preserve">Asumido que sí (aplicado en Bloqueos)</t>
  </si>
  <si>
    <t xml:space="preserve">Q-13</t>
  </si>
  <si>
    <t xml:space="preserve">Miriam "puede hacer hasta ___ guardias" — cifra cortada en el original.</t>
  </si>
  <si>
    <t xml:space="preserve">✅ RESUELTA: hasta 4-5 guardias (confirmado por Pablo, mensaje directo 2026-08-09).</t>
  </si>
  <si>
    <t xml:space="preserve">Q-14</t>
  </si>
  <si>
    <t xml:space="preserve">¿Es intencionada la asimetría de carga R1 (~3,5) vs R2 (~7,4)?</t>
  </si>
  <si>
    <t xml:space="preserve">✅ RESUELTA: sí, confirmado por Pablo (mensaje directo 2026-08-09) — R1: 3-4 guardias PEQ + 1 FDS c/u; R2 sin cupo: 1-2 REA c/u además de PEQ.</t>
  </si>
  <si>
    <t xml:space="preserve">Q-15</t>
  </si>
  <si>
    <t xml:space="preserve">El bloque TX de fin de semana, ¿empieza el viernes o el sábado?</t>
  </si>
  <si>
    <t xml:space="preserve">empieza el viernes</t>
  </si>
  <si>
    <t xml:space="preserve">Medio — cambia 5 slots</t>
  </si>
  <si>
    <t xml:space="preserve">Q-16</t>
  </si>
  <si>
    <t xml:space="preserve">David: la lista de bloqueos empieza con una coma suelta ('David: , 23-25'). ¿Falta una fecha?</t>
  </si>
  <si>
    <t xml:space="preserve">✅ RESUELTA: no falta nada, la coma es un resto de una entrada que Pablo borró. Bloqueo real de David = solo 23-25.</t>
  </si>
  <si>
    <t xml:space="preserve">Plantilla — 25 residentes de Anestesiología y Reanimación</t>
  </si>
  <si>
    <t xml:space="preserve">Nombre</t>
  </si>
  <si>
    <t xml:space="preserve">Año</t>
  </si>
  <si>
    <t xml:space="preserve">MAY (QX-M)</t>
  </si>
  <si>
    <t xml:space="preserve">UCQ (REA)</t>
  </si>
  <si>
    <t xml:space="preserve">PEQ (QX-P)</t>
  </si>
  <si>
    <t xml:space="preserve">R1</t>
  </si>
  <si>
    <t xml:space="preserve">✓</t>
  </si>
  <si>
    <t xml:space="preserve">R2</t>
  </si>
  <si>
    <t xml:space="preserve">R3</t>
  </si>
  <si>
    <t xml:space="preserve">R4</t>
  </si>
  <si>
    <t xml:space="preserve">Homónimos — usa siempre el ID, nunca el nombre suelto (§3.1)</t>
  </si>
  <si>
    <t xml:space="preserve">Patricia: R2-03 (cupo REA) vs R3-01 (mayor de quirófano). Ana: R2-07 (Ana R2) vs R4-03 (Ana Gaudioso García, trabajo externo).</t>
  </si>
  <si>
    <t xml:space="preserve">Reglas duras (H) y blandas (S) — versión condensada</t>
  </si>
  <si>
    <t xml:space="preserve">Reglas duras (no negociables)</t>
  </si>
  <si>
    <t xml:space="preserve">Reglas blandas (preferencias, por prioridad)</t>
  </si>
  <si>
    <t xml:space="preserve">5 guardias MAY por mayor  (peso 10)</t>
  </si>
  <si>
    <t xml:space="preserve">Reparto equitativo de fines de semana  (peso 10)</t>
  </si>
  <si>
    <t xml:space="preserve">2º FDS en sábado si el 1º fue bloque V-D  (peso 6)</t>
  </si>
  <si>
    <t xml:space="preserve">Reparto equitativo del total de guardias  (peso 6)</t>
  </si>
  <si>
    <t xml:space="preserve">Separación mínima 3-4 días entre guardias  (peso 5)</t>
  </si>
  <si>
    <t xml:space="preserve">S-06</t>
  </si>
  <si>
    <t xml:space="preserve">Evitar coincidencias repetidas de los mismos 2 R1 en PEQ  (peso 2)</t>
  </si>
  <si>
    <t xml:space="preserve">Rotar el mayor que supervisa  (peso 2)</t>
  </si>
  <si>
    <t xml:space="preserve">UCQ-Asis</t>
  </si>
  <si>
    <t xml:space="preserve">UCQ-Antonio</t>
  </si>
  <si>
    <t xml:space="preserve">UCQ-Marc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</si>
</sst>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"/>
  </numFmts>
  <fonts count="6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375623"/>
      <name val="Arial"/>
      <family val="2"/>
      <charset val="1"/>
    </font>
    <font>
      <sz val="11"/>
      <color rgb="FFC00000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color rgb="FF17307C"/>
      <name val="Arial"/>
      <family val="2"/>
      <charset val="1"/>
    </font>
    <font>
      <sz val="9"/>
      <color rgb="FF064E3B"/>
      <name val="Arial"/>
      <family val="2"/>
      <charset val="1"/>
    </font>
    <font>
      <sz val="9"/>
      <color rgb="FF7C3D08"/>
      <name val="Arial"/>
      <family val="2"/>
      <charset val="1"/>
    </font>
    <font>
      <sz val="9"/>
      <color rgb="FF1F2937"/>
      <name val="Arial"/>
      <family val="2"/>
      <charset val="1"/>
    </font>
    <font>
      <b val="true"/>
      <sz val="9"/>
      <color rgb="FF1E5B2A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2"/>
      <color rgb="FF1A1A1A"/>
      <name val="Arial"/>
      <family val="2"/>
      <charset val="1"/>
    </font>
    <font>
      <b val="true"/>
      <sz val="12"/>
      <color rgb="FF4C2E83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0"/>
      <color rgb="FF17307C"/>
      <name val="Arial"/>
      <family val="2"/>
      <charset val="1"/>
    </font>
    <font>
      <b val="true"/>
      <sz val="10"/>
      <color rgb="FF1E5B2A"/>
      <name val="Arial"/>
      <family val="2"/>
      <charset val="1"/>
    </font>
    <font>
      <sz val="10"/>
      <color rgb="FF064E3B"/>
      <name val="Arial"/>
      <family val="2"/>
      <charset val="1"/>
    </font>
    <font>
      <sz val="10"/>
      <color rgb="FF7C3D08"/>
      <name val="Arial"/>
      <family val="2"/>
      <charset val="1"/>
    </font>
    <font>
      <sz val="10"/>
      <color rgb="FF1F2937"/>
      <name val="Arial"/>
      <family val="2"/>
      <charset val="1"/>
    </font>
    <font>
      <sz val="7"/>
      <color rgb="FFA02020"/>
      <name val="Arial"/>
      <family val="2"/>
      <charset val="1"/>
    </font>
    <font>
      <b val="true"/>
      <sz val="11"/>
      <color rgb="FF1E5B2A"/>
      <name val="Calibri"/>
      <family val="0"/>
      <charset val="1"/>
    </font>
    <font>
      <b val="true"/>
      <sz val="12"/>
      <color rgb="FFC0392B"/>
      <name val="Arial"/>
      <family val="2"/>
      <charset val="1"/>
    </font>
    <font>
      <sz val="7"/>
      <color rgb="FF2E7D32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7"/>
      <color rgb="FF1F2937"/>
      <name val="Arial"/>
      <family val="2"/>
      <charset val="1"/>
    </font>
    <font>
      <b val="true"/>
      <sz val="7"/>
      <color rgb="FFFFFFFF"/>
      <name val="Arial"/>
      <family val="2"/>
      <charset val="1"/>
    </font>
    <font>
      <b val="true"/>
      <sz val="10"/>
      <color rgb="FF17307C"/>
      <name val="Arial"/>
      <family val="2"/>
      <charset val="1"/>
    </font>
    <font>
      <b val="true"/>
      <sz val="10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0"/>
      <color rgb="FF064E3B"/>
      <name val="Arial"/>
      <family val="2"/>
      <charset val="1"/>
    </font>
    <font>
      <b val="true"/>
      <sz val="10"/>
      <color rgb="FF7C3D08"/>
      <name val="Arial"/>
      <family val="2"/>
      <charset val="1"/>
    </font>
    <font>
      <b val="true"/>
      <sz val="10"/>
      <color rgb="FF1F2937"/>
      <name val="Arial"/>
      <family val="2"/>
      <charset val="1"/>
    </font>
    <font>
      <b val="true"/>
      <sz val="11"/>
      <color rgb="FF1F4E79"/>
      <name val="Arial"/>
      <family val="2"/>
      <charset val="1"/>
    </font>
    <font>
      <b val="true"/>
      <sz val="9"/>
      <color rgb="FF1F4E79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i val="true"/>
      <sz val="10"/>
      <color rgb="FF595959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80808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9"/>
      <color rgb="FF374151"/>
      <name val="Arial"/>
      <family val="2"/>
      <charset val="1"/>
    </font>
    <font>
      <sz val="7"/>
      <color rgb="FF9AA0A6"/>
      <name val="Arial"/>
      <family val="2"/>
      <charset val="1"/>
    </font>
    <font>
      <b val="true"/>
      <sz val="8"/>
      <color rgb="FF1F2937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8"/>
      <color rgb="FF808080"/>
      <name val="Arial"/>
      <family val="2"/>
      <charset val="1"/>
    </font>
    <font>
      <b val="true"/>
      <sz val="9"/>
      <color rgb="FF1F3864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b val="true"/>
      <sz val="11"/>
      <color rgb="FF2E7D32"/>
      <name val="Arial"/>
      <family val="2"/>
      <charset val="1"/>
    </font>
    <font>
      <sz val="9"/>
      <color rgb="FF6B728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375623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i val="true"/>
      <sz val="9"/>
      <color rgb="FF000000"/>
      <name val="Arial"/>
      <family val="2"/>
      <charset val="1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17307C"/>
      </patternFill>
    </fill>
    <fill>
      <patternFill patternType="solid">
        <fgColor rgb="FF1D4ED8"/>
        <bgColor rgb="FF1F4E79"/>
      </patternFill>
    </fill>
    <fill>
      <patternFill patternType="solid">
        <fgColor rgb="FFDBEAFE"/>
        <bgColor rgb="FFDDEBF7"/>
      </patternFill>
    </fill>
    <fill>
      <patternFill patternType="solid">
        <fgColor rgb="FF047857"/>
        <bgColor rgb="FF2E7D32"/>
      </patternFill>
    </fill>
    <fill>
      <patternFill patternType="solid">
        <fgColor rgb="FFD1FAE5"/>
        <bgColor rgb="FFC6EFCE"/>
      </patternFill>
    </fill>
    <fill>
      <patternFill patternType="solid">
        <fgColor rgb="FFB45309"/>
        <bgColor rgb="FFC0392B"/>
      </patternFill>
    </fill>
    <fill>
      <patternFill patternType="solid">
        <fgColor rgb="FFFEF3C7"/>
        <bgColor rgb="FFFFF2CC"/>
      </patternFill>
    </fill>
    <fill>
      <patternFill patternType="solid">
        <fgColor rgb="FF4B5563"/>
        <bgColor rgb="FF44546A"/>
      </patternFill>
    </fill>
    <fill>
      <patternFill patternType="solid">
        <fgColor rgb="FFF3F4F6"/>
        <bgColor rgb="FFF4F7F4"/>
      </patternFill>
    </fill>
    <fill>
      <patternFill patternType="solid">
        <fgColor rgb="FFC6EFCE"/>
        <bgColor rgb="FFD1FAE5"/>
      </patternFill>
    </fill>
    <fill>
      <patternFill patternType="solid">
        <fgColor rgb="FF44546A"/>
        <bgColor rgb="FF4B5563"/>
      </patternFill>
    </fill>
    <fill>
      <patternFill patternType="solid">
        <fgColor rgb="FF7C5CBF"/>
        <bgColor rgb="FF8E7CC3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EF2F7"/>
        <bgColor rgb="FFF3F4F6"/>
      </patternFill>
    </fill>
    <fill>
      <patternFill patternType="solid">
        <fgColor rgb="FFFBE9E7"/>
        <bgColor rgb="FFFDE2E0"/>
      </patternFill>
    </fill>
    <fill>
      <patternFill patternType="solid">
        <fgColor rgb="FFFDE2E0"/>
        <bgColor rgb="FFFBE9E7"/>
      </patternFill>
    </fill>
    <fill>
      <patternFill patternType="solid">
        <fgColor rgb="FFEDF7ED"/>
        <bgColor rgb="FFF4F7F4"/>
      </patternFill>
    </fill>
    <fill>
      <patternFill patternType="solid">
        <fgColor rgb="FFE5E9EF"/>
        <bgColor rgb="FFDDEBF7"/>
      </patternFill>
    </fill>
    <fill>
      <patternFill patternType="solid">
        <fgColor rgb="FFC0392B"/>
        <bgColor rgb="FFB45309"/>
      </patternFill>
    </fill>
    <fill>
      <patternFill patternType="solid">
        <fgColor rgb="FFF7F9FC"/>
        <bgColor rgb="FFF8F9FA"/>
      </patternFill>
    </fill>
    <fill>
      <patternFill patternType="solid">
        <fgColor rgb="FFDDEBF7"/>
        <bgColor rgb="FFDBEAFE"/>
      </patternFill>
    </fill>
    <fill>
      <patternFill patternType="solid">
        <fgColor rgb="FFFFF2CC"/>
        <bgColor rgb="FFFEF3C7"/>
      </patternFill>
    </fill>
    <fill>
      <patternFill patternType="solid">
        <fgColor rgb="FFFFFDE7"/>
        <bgColor rgb="FFF8F9FA"/>
      </patternFill>
    </fill>
    <fill>
      <patternFill patternType="solid">
        <fgColor rgb="FFE06666"/>
        <bgColor rgb="FFB45309"/>
      </patternFill>
    </fill>
    <fill>
      <patternFill patternType="solid">
        <fgColor rgb="FFF6B26B"/>
        <bgColor rgb="FFCBD5E1"/>
      </patternFill>
    </fill>
    <fill>
      <patternFill patternType="solid">
        <fgColor rgb="FF8E7CC3"/>
        <bgColor rgb="FF808080"/>
      </patternFill>
    </fill>
    <fill>
      <patternFill patternType="solid">
        <fgColor rgb="FFF4F7F4"/>
        <bgColor rgb="FFF3F4F6"/>
      </patternFill>
    </fill>
    <fill>
      <patternFill patternType="solid">
        <fgColor rgb="FFE2EFDA"/>
        <bgColor rgb="FFE5E9E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ck">
        <color rgb="FF1D4ED8"/>
      </left>
      <right/>
      <top/>
      <bottom/>
      <diagonal/>
    </border>
    <border diagonalUp="false" diagonalDown="false">
      <left style="hair">
        <color rgb="FFD6DBE1"/>
      </left>
      <right style="hair">
        <color rgb="FFD6DBE1"/>
      </right>
      <top style="hair">
        <color rgb="FFD6DBE1"/>
      </top>
      <bottom style="hair">
        <color rgb="FFD6DBE1"/>
      </bottom>
      <diagonal/>
    </border>
    <border diagonalUp="false" diagonalDown="false">
      <left style="thick">
        <color rgb="FF047857"/>
      </left>
      <right/>
      <top/>
      <bottom/>
      <diagonal/>
    </border>
    <border diagonalUp="false" diagonalDown="false">
      <left style="thick">
        <color rgb="FFB45309"/>
      </left>
      <right/>
      <top/>
      <bottom/>
      <diagonal/>
    </border>
    <border diagonalUp="false" diagonalDown="false">
      <left style="thick">
        <color rgb="FF4B5563"/>
      </left>
      <right/>
      <top/>
      <bottom/>
      <diagonal/>
    </border>
    <border diagonalUp="false" diagonalDown="false">
      <left/>
      <right/>
      <top/>
      <bottom style="thin">
        <color rgb="FFE5E9EF"/>
      </bottom>
      <diagonal/>
    </border>
    <border diagonalUp="false" diagonalDown="false">
      <left style="thin">
        <color rgb="FF9AA0A6"/>
      </left>
      <right style="thin">
        <color rgb="FF9AA0A6"/>
      </right>
      <top style="thin">
        <color rgb="FF9AA0A6"/>
      </top>
      <bottom style="thin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6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9" fillId="16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1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6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8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0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6" fillId="17" borderId="0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22" fillId="17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7" fillId="11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8" fillId="18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9" fillId="19" borderId="0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31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16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2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2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2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4" borderId="3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36" fillId="2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7" fillId="1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6" borderId="5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9" fillId="8" borderId="6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40" fillId="10" borderId="7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1" fillId="12" borderId="0" xfId="0" applyFont="true" applyBorder="false" applyAlignment="true" applyProtection="true">
      <alignment horizontal="right" vertical="center" textRotation="0" wrapText="false" indent="1" shrinkToFit="false"/>
      <protection locked="true" hidden="false"/>
    </xf>
    <xf numFmtId="165" fontId="41" fillId="2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2" fillId="2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5" fillId="2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5" fillId="2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7" fillId="2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2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2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5" fillId="2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2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6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27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9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2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1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1" fillId="2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9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2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4" fillId="2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2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0" fillId="2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1" fillId="2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5" fillId="3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6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7" fillId="2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2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6" fillId="22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3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4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2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4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2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8" fillId="24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9" fillId="24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0" fillId="2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F4F7F4"/>
      <rgbColor rgb="FF375623"/>
      <rgbColor rgb="FF1E5B2A"/>
      <rgbColor rgb="FF1F3864"/>
      <rgbColor rgb="FF595959"/>
      <rgbColor rgb="FF4B5563"/>
      <rgbColor rgb="FF047857"/>
      <rgbColor rgb="FFD6DBE1"/>
      <rgbColor rgb="FF808080"/>
      <rgbColor rgb="FF8E7CC3"/>
      <rgbColor rgb="FFA02020"/>
      <rgbColor rgb="FFFFFDE7"/>
      <rgbColor rgb="FFDBEAFE"/>
      <rgbColor rgb="FF374151"/>
      <rgbColor rgb="FFE06666"/>
      <rgbColor rgb="FF1D4ED8"/>
      <rgbColor rgb="FFCBD5E1"/>
      <rgbColor rgb="FF000080"/>
      <rgbColor rgb="FFFF00FF"/>
      <rgbColor rgb="FFE2EFDA"/>
      <rgbColor rgb="FFF7F9FC"/>
      <rgbColor rgb="FF44546A"/>
      <rgbColor rgb="FF800000"/>
      <rgbColor rgb="FF1F4E79"/>
      <rgbColor rgb="FF0000FF"/>
      <rgbColor rgb="FFF8F9FA"/>
      <rgbColor rgb="FFDDEBF7"/>
      <rgbColor rgb="FFD1FAE5"/>
      <rgbColor rgb="FFFEF3C7"/>
      <rgbColor rgb="FFC6EFCE"/>
      <rgbColor rgb="FFFDE2E0"/>
      <rgbColor rgb="FFE5E9EF"/>
      <rgbColor rgb="FFF6B26B"/>
      <rgbColor rgb="FF7C5CBF"/>
      <rgbColor rgb="FFF3F4F6"/>
      <rgbColor rgb="FFEDF7ED"/>
      <rgbColor rgb="FFFBE9E7"/>
      <rgbColor rgb="FFEEF2F7"/>
      <rgbColor rgb="FFB45309"/>
      <rgbColor rgb="FF6B7280"/>
      <rgbColor rgb="FF9AA0A6"/>
      <rgbColor rgb="FF17307C"/>
      <rgbColor rgb="FF2E7D32"/>
      <rgbColor rgb="FF064E3B"/>
      <rgbColor rgb="FF1A1A1A"/>
      <rgbColor rgb="FF7C3D08"/>
      <rgbColor rgb="FFC0392B"/>
      <rgbColor rgb="FF4C2E83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0"/>
  </cols>
  <sheetData>
    <row r="2" customFormat="false" ht="21" hidden="false" customHeight="true" outlineLevel="0" collapsed="false">
      <c r="B2" s="2" t="s">
        <v>0</v>
      </c>
    </row>
    <row r="3" customFormat="false" ht="16.5" hidden="false" customHeight="true" outlineLevel="0" collapsed="false">
      <c r="B3" s="3" t="s">
        <v>1</v>
      </c>
    </row>
    <row r="5" customFormat="false" ht="16.5" hidden="false" customHeight="true" outlineLevel="0" collapsed="false">
      <c r="B5" s="4" t="s">
        <v>2</v>
      </c>
    </row>
    <row r="6" customFormat="false" ht="30" hidden="false" customHeight="true" outlineLevel="0" collapsed="false">
      <c r="B6" s="5" t="s">
        <v>3</v>
      </c>
    </row>
    <row r="7" customFormat="false" ht="30" hidden="false" customHeight="true" outlineLevel="0" collapsed="false">
      <c r="B7" s="5" t="s">
        <v>4</v>
      </c>
    </row>
    <row r="8" customFormat="false" ht="30" hidden="false" customHeight="true" outlineLevel="0" collapsed="false">
      <c r="B8" s="5" t="s">
        <v>5</v>
      </c>
    </row>
    <row r="9" customFormat="false" ht="30" hidden="false" customHeight="true" outlineLevel="0" collapsed="false">
      <c r="B9" s="5" t="s">
        <v>6</v>
      </c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5" t="s">
        <v>9</v>
      </c>
    </row>
    <row r="14" customFormat="false" ht="16.5" hidden="false" customHeight="true" outlineLevel="0" collapsed="false">
      <c r="B14" s="4" t="s">
        <v>10</v>
      </c>
    </row>
    <row r="15" customFormat="false" ht="30" hidden="false" customHeight="true" outlineLevel="0" collapsed="false">
      <c r="B15" s="5" t="s">
        <v>11</v>
      </c>
    </row>
    <row r="17" customFormat="false" ht="16.5" hidden="false" customHeight="true" outlineLevel="0" collapsed="false">
      <c r="B17" s="4" t="s">
        <v>12</v>
      </c>
    </row>
    <row r="18" customFormat="false" ht="30" hidden="false" customHeight="true" outlineLevel="0" collapsed="false">
      <c r="B18" s="5" t="s">
        <v>13</v>
      </c>
    </row>
    <row r="20" customFormat="false" ht="45" hidden="false" customHeight="true" outlineLevel="0" collapsed="false">
      <c r="B20" s="6" t="s">
        <v>14</v>
      </c>
    </row>
    <row r="21" customFormat="false" ht="30" hidden="false" customHeight="true" outlineLevel="0" collapsed="false">
      <c r="B21" s="7" t="s">
        <v>15</v>
      </c>
    </row>
    <row r="24" customFormat="false" ht="16.5" hidden="false" customHeight="true" outlineLevel="0" collapsed="false">
      <c r="B24" s="4" t="s">
        <v>16</v>
      </c>
    </row>
    <row r="25" customFormat="false" ht="45" hidden="false" customHeight="true" outlineLevel="0" collapsed="false">
      <c r="B25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7" activePane="bottomLeft" state="frozen"/>
      <selection pane="topLeft" activeCell="A1" activeCellId="0" sqref="A1"/>
      <selection pane="bottomLeft" activeCell="R10" activeCellId="0" sqref="R10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5.5"/>
    <col collapsed="false" customWidth="true" hidden="false" outlineLevel="0" max="2" min="2" style="1" width="15.5"/>
    <col collapsed="false" customWidth="true" hidden="false" outlineLevel="0" max="3" min="3" style="1" width="5.5"/>
    <col collapsed="false" customWidth="true" hidden="false" outlineLevel="0" max="4" min="4" style="1" width="15.5"/>
    <col collapsed="false" customWidth="true" hidden="false" outlineLevel="0" max="5" min="5" style="1" width="5.5"/>
    <col collapsed="false" customWidth="true" hidden="false" outlineLevel="0" max="6" min="6" style="1" width="15.5"/>
    <col collapsed="false" customWidth="true" hidden="false" outlineLevel="0" max="7" min="7" style="1" width="5.5"/>
    <col collapsed="false" customWidth="true" hidden="false" outlineLevel="0" max="8" min="8" style="1" width="15.5"/>
    <col collapsed="false" customWidth="true" hidden="false" outlineLevel="0" max="9" min="9" style="1" width="5.5"/>
    <col collapsed="false" customWidth="true" hidden="false" outlineLevel="0" max="10" min="10" style="1" width="15.5"/>
    <col collapsed="false" customWidth="true" hidden="false" outlineLevel="0" max="11" min="11" style="1" width="5.5"/>
    <col collapsed="false" customWidth="true" hidden="false" outlineLevel="0" max="12" min="12" style="1" width="15.5"/>
    <col collapsed="false" customWidth="true" hidden="false" outlineLevel="0" max="13" min="13" style="1" width="5.5"/>
    <col collapsed="false" customWidth="true" hidden="false" outlineLevel="0" max="14" min="14" style="1" width="15.5"/>
  </cols>
  <sheetData>
    <row r="1" customFormat="false" ht="31.5" hidden="false" customHeight="true" outlineLevel="0" collapsed="false">
      <c r="A1" s="8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customFormat="false" ht="19.5" hidden="false" customHeight="true" outlineLevel="0" collapsed="false">
      <c r="A2" s="9" t="s">
        <v>19</v>
      </c>
      <c r="B2" s="10" t="s">
        <v>20</v>
      </c>
      <c r="C2" s="10"/>
      <c r="D2" s="11" t="s">
        <v>21</v>
      </c>
      <c r="E2" s="12" t="s">
        <v>22</v>
      </c>
      <c r="F2" s="12"/>
      <c r="G2" s="13" t="s">
        <v>23</v>
      </c>
      <c r="H2" s="14" t="s">
        <v>24</v>
      </c>
      <c r="I2" s="14"/>
      <c r="J2" s="15" t="s">
        <v>25</v>
      </c>
      <c r="K2" s="16" t="s">
        <v>26</v>
      </c>
      <c r="L2" s="16"/>
      <c r="M2" s="17" t="s">
        <v>27</v>
      </c>
      <c r="N2" s="17"/>
    </row>
    <row r="4" customFormat="false" ht="21.75" hidden="false" customHeight="true" outlineLevel="0" collapsed="false">
      <c r="A4" s="18" t="s">
        <v>28</v>
      </c>
      <c r="B4" s="18"/>
      <c r="C4" s="18" t="s">
        <v>29</v>
      </c>
      <c r="D4" s="18"/>
      <c r="E4" s="18" t="s">
        <v>30</v>
      </c>
      <c r="F4" s="18"/>
      <c r="G4" s="18" t="s">
        <v>31</v>
      </c>
      <c r="H4" s="18"/>
      <c r="I4" s="18" t="s">
        <v>32</v>
      </c>
      <c r="J4" s="18"/>
      <c r="K4" s="19" t="s">
        <v>33</v>
      </c>
      <c r="L4" s="19"/>
      <c r="M4" s="19" t="s">
        <v>34</v>
      </c>
      <c r="N4" s="19"/>
    </row>
    <row r="5" customFormat="false" ht="21" hidden="false" customHeight="true" outlineLevel="0" collapsed="false">
      <c r="A5" s="20"/>
      <c r="B5" s="20"/>
      <c r="C5" s="20"/>
      <c r="D5" s="20"/>
      <c r="E5" s="20"/>
      <c r="F5" s="20"/>
      <c r="G5" s="21" t="s">
        <v>35</v>
      </c>
      <c r="H5" s="21"/>
      <c r="I5" s="21" t="s">
        <v>36</v>
      </c>
      <c r="J5" s="21"/>
      <c r="K5" s="22" t="s">
        <v>37</v>
      </c>
      <c r="L5" s="22"/>
      <c r="M5" s="22" t="s">
        <v>38</v>
      </c>
      <c r="N5" s="22"/>
    </row>
    <row r="6" customFormat="false" ht="4.5" hidden="false" customHeight="true" outlineLevel="0" collapsed="false">
      <c r="A6" s="20"/>
      <c r="B6" s="20"/>
      <c r="C6" s="20"/>
      <c r="D6" s="20"/>
      <c r="E6" s="20"/>
      <c r="F6" s="20"/>
    </row>
    <row r="7" customFormat="false" ht="18" hidden="false" customHeight="true" outlineLevel="0" collapsed="false">
      <c r="A7" s="20"/>
      <c r="B7" s="20"/>
      <c r="C7" s="20"/>
      <c r="D7" s="20"/>
      <c r="E7" s="20"/>
      <c r="F7" s="20"/>
      <c r="G7" s="23" t="s">
        <v>19</v>
      </c>
      <c r="H7" s="24" t="s">
        <v>39</v>
      </c>
      <c r="I7" s="23" t="s">
        <v>19</v>
      </c>
      <c r="J7" s="24" t="s">
        <v>40</v>
      </c>
      <c r="K7" s="23" t="s">
        <v>19</v>
      </c>
      <c r="L7" s="25" t="s">
        <v>40</v>
      </c>
      <c r="M7" s="23" t="s">
        <v>19</v>
      </c>
      <c r="N7" s="25" t="s">
        <v>40</v>
      </c>
    </row>
    <row r="8" customFormat="false" ht="18" hidden="false" customHeight="true" outlineLevel="0" collapsed="false">
      <c r="A8" s="20"/>
      <c r="B8" s="20"/>
      <c r="C8" s="20"/>
      <c r="D8" s="20"/>
      <c r="E8" s="20"/>
      <c r="F8" s="20"/>
      <c r="G8" s="26" t="s">
        <v>21</v>
      </c>
      <c r="H8" s="27" t="s">
        <v>41</v>
      </c>
      <c r="I8" s="26" t="s">
        <v>21</v>
      </c>
      <c r="J8" s="27" t="s">
        <v>42</v>
      </c>
      <c r="K8" s="26" t="s">
        <v>21</v>
      </c>
      <c r="L8" s="27" t="s">
        <v>43</v>
      </c>
      <c r="M8" s="26" t="s">
        <v>21</v>
      </c>
      <c r="N8" s="27" t="s">
        <v>42</v>
      </c>
    </row>
    <row r="9" customFormat="false" ht="18" hidden="false" customHeight="true" outlineLevel="0" collapsed="false">
      <c r="A9" s="20"/>
      <c r="B9" s="20"/>
      <c r="C9" s="20"/>
      <c r="D9" s="20"/>
      <c r="E9" s="20"/>
      <c r="F9" s="20"/>
      <c r="G9" s="28" t="s">
        <v>23</v>
      </c>
      <c r="H9" s="29" t="s">
        <v>44</v>
      </c>
      <c r="I9" s="28" t="s">
        <v>23</v>
      </c>
      <c r="J9" s="29" t="s">
        <v>45</v>
      </c>
      <c r="K9" s="28" t="s">
        <v>23</v>
      </c>
      <c r="L9" s="29" t="s">
        <v>46</v>
      </c>
      <c r="M9" s="28" t="s">
        <v>23</v>
      </c>
      <c r="N9" s="29" t="s">
        <v>45</v>
      </c>
    </row>
    <row r="10" customFormat="false" ht="18" hidden="false" customHeight="true" outlineLevel="0" collapsed="false">
      <c r="A10" s="20"/>
      <c r="B10" s="20"/>
      <c r="C10" s="20"/>
      <c r="D10" s="20"/>
      <c r="E10" s="20"/>
      <c r="F10" s="20"/>
      <c r="G10" s="30" t="s">
        <v>25</v>
      </c>
      <c r="H10" s="31" t="s">
        <v>47</v>
      </c>
      <c r="I10" s="30" t="s">
        <v>25</v>
      </c>
      <c r="J10" s="31" t="s">
        <v>48</v>
      </c>
      <c r="K10" s="30" t="s">
        <v>25</v>
      </c>
      <c r="L10" s="31" t="s">
        <v>49</v>
      </c>
      <c r="M10" s="30" t="s">
        <v>25</v>
      </c>
      <c r="N10" s="31" t="s">
        <v>48</v>
      </c>
    </row>
    <row r="11" customFormat="false" ht="18" hidden="false" customHeight="true" outlineLevel="0" collapsed="false">
      <c r="A11" s="20"/>
      <c r="B11" s="20"/>
      <c r="C11" s="20"/>
      <c r="D11" s="20"/>
      <c r="E11" s="20"/>
      <c r="F11" s="20"/>
      <c r="G11" s="30" t="s">
        <v>25</v>
      </c>
      <c r="H11" s="31" t="s">
        <v>50</v>
      </c>
      <c r="I11" s="30" t="s">
        <v>25</v>
      </c>
      <c r="J11" s="31" t="s">
        <v>51</v>
      </c>
      <c r="K11" s="30" t="s">
        <v>25</v>
      </c>
      <c r="L11" s="31" t="s">
        <v>47</v>
      </c>
      <c r="M11" s="30" t="s">
        <v>25</v>
      </c>
      <c r="N11" s="31" t="s">
        <v>51</v>
      </c>
    </row>
    <row r="12" customFormat="false" ht="30" hidden="false" customHeight="true" outlineLevel="0" collapsed="false">
      <c r="A12" s="20"/>
      <c r="B12" s="20"/>
      <c r="C12" s="20"/>
      <c r="D12" s="20"/>
      <c r="E12" s="20"/>
      <c r="F12" s="20"/>
      <c r="G12" s="32" t="s">
        <v>52</v>
      </c>
      <c r="H12" s="32"/>
      <c r="I12" s="32" t="s">
        <v>53</v>
      </c>
      <c r="J12" s="32"/>
      <c r="K12" s="32" t="s">
        <v>54</v>
      </c>
      <c r="L12" s="32"/>
      <c r="M12" s="32" t="s">
        <v>55</v>
      </c>
      <c r="N12" s="32"/>
    </row>
    <row r="13" customFormat="false" ht="4.5" hidden="false" customHeight="true" outlineLevel="0" collapsed="false"/>
    <row r="14" customFormat="false" ht="21" hidden="false" customHeight="true" outlineLevel="0" collapsed="false">
      <c r="A14" s="21" t="s">
        <v>56</v>
      </c>
      <c r="B14" s="21"/>
      <c r="C14" s="21" t="s">
        <v>57</v>
      </c>
      <c r="D14" s="21"/>
      <c r="E14" s="21" t="s">
        <v>58</v>
      </c>
      <c r="F14" s="21"/>
      <c r="G14" s="21" t="s">
        <v>59</v>
      </c>
      <c r="H14" s="21"/>
      <c r="I14" s="21" t="s">
        <v>60</v>
      </c>
      <c r="J14" s="21"/>
      <c r="K14" s="22" t="s">
        <v>61</v>
      </c>
      <c r="L14" s="22"/>
      <c r="M14" s="22" t="s">
        <v>62</v>
      </c>
      <c r="N14" s="22"/>
    </row>
    <row r="15" customFormat="false" ht="4.5" hidden="false" customHeight="true" outlineLevel="0" collapsed="false"/>
    <row r="16" customFormat="false" ht="18" hidden="false" customHeight="true" outlineLevel="0" collapsed="false">
      <c r="A16" s="23" t="s">
        <v>19</v>
      </c>
      <c r="B16" s="24" t="s">
        <v>63</v>
      </c>
      <c r="C16" s="23" t="s">
        <v>19</v>
      </c>
      <c r="D16" s="24" t="s">
        <v>39</v>
      </c>
      <c r="E16" s="23" t="s">
        <v>19</v>
      </c>
      <c r="F16" s="24" t="s">
        <v>64</v>
      </c>
      <c r="G16" s="23" t="s">
        <v>19</v>
      </c>
      <c r="H16" s="24" t="s">
        <v>64</v>
      </c>
      <c r="I16" s="23" t="s">
        <v>19</v>
      </c>
      <c r="J16" s="24" t="s">
        <v>39</v>
      </c>
      <c r="K16" s="23" t="s">
        <v>19</v>
      </c>
      <c r="L16" s="25" t="s">
        <v>39</v>
      </c>
      <c r="M16" s="23" t="s">
        <v>19</v>
      </c>
      <c r="N16" s="25" t="s">
        <v>39</v>
      </c>
    </row>
    <row r="17" customFormat="false" ht="18" hidden="false" customHeight="true" outlineLevel="0" collapsed="false">
      <c r="A17" s="26" t="s">
        <v>21</v>
      </c>
      <c r="B17" s="27" t="s">
        <v>41</v>
      </c>
      <c r="C17" s="26" t="s">
        <v>21</v>
      </c>
      <c r="D17" s="27" t="s">
        <v>42</v>
      </c>
      <c r="E17" s="26" t="s">
        <v>21</v>
      </c>
      <c r="F17" s="27" t="s">
        <v>65</v>
      </c>
      <c r="G17" s="26" t="s">
        <v>21</v>
      </c>
      <c r="H17" s="27" t="s">
        <v>66</v>
      </c>
      <c r="I17" s="26" t="s">
        <v>21</v>
      </c>
      <c r="J17" s="27" t="s">
        <v>43</v>
      </c>
      <c r="K17" s="26" t="s">
        <v>21</v>
      </c>
      <c r="L17" s="27" t="s">
        <v>65</v>
      </c>
      <c r="M17" s="26" t="s">
        <v>21</v>
      </c>
      <c r="N17" s="27" t="s">
        <v>43</v>
      </c>
    </row>
    <row r="18" customFormat="false" ht="18" hidden="false" customHeight="true" outlineLevel="0" collapsed="false">
      <c r="A18" s="28" t="s">
        <v>23</v>
      </c>
      <c r="B18" s="29" t="s">
        <v>67</v>
      </c>
      <c r="C18" s="28" t="s">
        <v>23</v>
      </c>
      <c r="D18" s="29" t="s">
        <v>46</v>
      </c>
      <c r="E18" s="28" t="s">
        <v>23</v>
      </c>
      <c r="F18" s="29" t="s">
        <v>67</v>
      </c>
      <c r="G18" s="28" t="s">
        <v>23</v>
      </c>
      <c r="H18" s="29" t="s">
        <v>68</v>
      </c>
      <c r="I18" s="28" t="s">
        <v>23</v>
      </c>
      <c r="J18" s="33"/>
      <c r="K18" s="28" t="s">
        <v>23</v>
      </c>
      <c r="L18" s="34" t="s">
        <v>68</v>
      </c>
      <c r="M18" s="28" t="s">
        <v>23</v>
      </c>
      <c r="N18" s="33"/>
    </row>
    <row r="19" customFormat="false" ht="18" hidden="false" customHeight="true" outlineLevel="0" collapsed="false">
      <c r="A19" s="30" t="s">
        <v>25</v>
      </c>
      <c r="B19" s="31" t="s">
        <v>69</v>
      </c>
      <c r="C19" s="30" t="s">
        <v>25</v>
      </c>
      <c r="D19" s="31" t="s">
        <v>70</v>
      </c>
      <c r="E19" s="30" t="s">
        <v>25</v>
      </c>
      <c r="F19" s="31" t="s">
        <v>49</v>
      </c>
      <c r="G19" s="30" t="s">
        <v>25</v>
      </c>
      <c r="H19" s="31" t="s">
        <v>71</v>
      </c>
      <c r="I19" s="30" t="s">
        <v>25</v>
      </c>
      <c r="J19" s="31" t="s">
        <v>72</v>
      </c>
      <c r="K19" s="30" t="s">
        <v>25</v>
      </c>
      <c r="L19" s="31" t="s">
        <v>70</v>
      </c>
      <c r="M19" s="30" t="s">
        <v>25</v>
      </c>
      <c r="N19" s="31" t="s">
        <v>72</v>
      </c>
    </row>
    <row r="20" customFormat="false" ht="18" hidden="false" customHeight="true" outlineLevel="0" collapsed="false">
      <c r="A20" s="30" t="s">
        <v>25</v>
      </c>
      <c r="B20" s="31" t="s">
        <v>50</v>
      </c>
      <c r="C20" s="30" t="s">
        <v>25</v>
      </c>
      <c r="D20" s="31" t="s">
        <v>51</v>
      </c>
      <c r="E20" s="30" t="s">
        <v>25</v>
      </c>
      <c r="F20" s="31" t="s">
        <v>73</v>
      </c>
      <c r="G20" s="30" t="s">
        <v>25</v>
      </c>
      <c r="H20" s="31" t="s">
        <v>47</v>
      </c>
      <c r="I20" s="30" t="s">
        <v>25</v>
      </c>
      <c r="J20" s="31" t="s">
        <v>74</v>
      </c>
      <c r="K20" s="30" t="s">
        <v>25</v>
      </c>
      <c r="L20" s="31" t="s">
        <v>73</v>
      </c>
      <c r="M20" s="30" t="s">
        <v>25</v>
      </c>
      <c r="N20" s="31" t="s">
        <v>74</v>
      </c>
    </row>
    <row r="21" customFormat="false" ht="30" hidden="false" customHeight="true" outlineLevel="0" collapsed="false">
      <c r="A21" s="32" t="s">
        <v>75</v>
      </c>
      <c r="B21" s="32"/>
      <c r="C21" s="32" t="s">
        <v>75</v>
      </c>
      <c r="D21" s="32"/>
      <c r="E21" s="32" t="s">
        <v>76</v>
      </c>
      <c r="F21" s="32"/>
      <c r="G21" s="32" t="s">
        <v>77</v>
      </c>
      <c r="H21" s="32"/>
      <c r="I21" s="32" t="s">
        <v>78</v>
      </c>
      <c r="J21" s="32"/>
      <c r="K21" s="32" t="s">
        <v>79</v>
      </c>
      <c r="L21" s="32"/>
      <c r="M21" s="32" t="s">
        <v>80</v>
      </c>
      <c r="N21" s="32"/>
    </row>
    <row r="22" customFormat="false" ht="4.5" hidden="false" customHeight="true" outlineLevel="0" collapsed="false"/>
    <row r="23" customFormat="false" ht="21" hidden="false" customHeight="true" outlineLevel="0" collapsed="false">
      <c r="A23" s="35" t="s">
        <v>81</v>
      </c>
      <c r="B23" s="35"/>
      <c r="C23" s="21" t="s">
        <v>82</v>
      </c>
      <c r="D23" s="21"/>
      <c r="E23" s="21" t="s">
        <v>83</v>
      </c>
      <c r="F23" s="21"/>
      <c r="G23" s="21" t="s">
        <v>84</v>
      </c>
      <c r="H23" s="21"/>
      <c r="I23" s="21" t="s">
        <v>85</v>
      </c>
      <c r="J23" s="21"/>
      <c r="K23" s="22" t="s">
        <v>86</v>
      </c>
      <c r="L23" s="22"/>
      <c r="M23" s="22" t="s">
        <v>87</v>
      </c>
      <c r="N23" s="22"/>
    </row>
    <row r="24" customFormat="false" ht="4.5" hidden="false" customHeight="true" outlineLevel="0" collapsed="false"/>
    <row r="25" customFormat="false" ht="18" hidden="false" customHeight="true" outlineLevel="0" collapsed="false">
      <c r="A25" s="23" t="s">
        <v>19</v>
      </c>
      <c r="B25" s="25" t="s">
        <v>39</v>
      </c>
      <c r="C25" s="23" t="s">
        <v>19</v>
      </c>
      <c r="D25" s="24" t="s">
        <v>64</v>
      </c>
      <c r="E25" s="23" t="s">
        <v>19</v>
      </c>
      <c r="F25" s="24" t="s">
        <v>40</v>
      </c>
      <c r="G25" s="23" t="s">
        <v>19</v>
      </c>
      <c r="H25" s="24" t="s">
        <v>64</v>
      </c>
      <c r="I25" s="23" t="s">
        <v>19</v>
      </c>
      <c r="J25" s="24" t="s">
        <v>64</v>
      </c>
      <c r="K25" s="23" t="s">
        <v>19</v>
      </c>
      <c r="L25" s="25" t="s">
        <v>64</v>
      </c>
      <c r="M25" s="23" t="s">
        <v>19</v>
      </c>
      <c r="N25" s="25" t="s">
        <v>64</v>
      </c>
    </row>
    <row r="26" customFormat="false" ht="18" hidden="false" customHeight="true" outlineLevel="0" collapsed="false">
      <c r="A26" s="26" t="s">
        <v>21</v>
      </c>
      <c r="B26" s="27" t="s">
        <v>65</v>
      </c>
      <c r="C26" s="26" t="s">
        <v>21</v>
      </c>
      <c r="D26" s="27" t="s">
        <v>88</v>
      </c>
      <c r="E26" s="26" t="s">
        <v>21</v>
      </c>
      <c r="F26" s="27" t="s">
        <v>65</v>
      </c>
      <c r="G26" s="26" t="s">
        <v>21</v>
      </c>
      <c r="H26" s="27" t="s">
        <v>88</v>
      </c>
      <c r="I26" s="26" t="s">
        <v>21</v>
      </c>
      <c r="J26" s="27" t="s">
        <v>66</v>
      </c>
      <c r="K26" s="26" t="s">
        <v>21</v>
      </c>
      <c r="L26" s="27" t="s">
        <v>88</v>
      </c>
      <c r="M26" s="26" t="s">
        <v>21</v>
      </c>
      <c r="N26" s="27" t="s">
        <v>66</v>
      </c>
    </row>
    <row r="27" customFormat="false" ht="18" hidden="false" customHeight="true" outlineLevel="0" collapsed="false">
      <c r="A27" s="28" t="s">
        <v>23</v>
      </c>
      <c r="B27" s="34" t="s">
        <v>68</v>
      </c>
      <c r="C27" s="28" t="s">
        <v>23</v>
      </c>
      <c r="D27" s="29" t="s">
        <v>45</v>
      </c>
      <c r="E27" s="28" t="s">
        <v>23</v>
      </c>
      <c r="F27" s="29" t="s">
        <v>67</v>
      </c>
      <c r="G27" s="28" t="s">
        <v>23</v>
      </c>
      <c r="H27" s="29" t="s">
        <v>89</v>
      </c>
      <c r="I27" s="28" t="s">
        <v>23</v>
      </c>
      <c r="J27" s="29" t="s">
        <v>46</v>
      </c>
      <c r="K27" s="28" t="s">
        <v>23</v>
      </c>
      <c r="L27" s="29" t="s">
        <v>45</v>
      </c>
      <c r="M27" s="28" t="s">
        <v>23</v>
      </c>
      <c r="N27" s="29" t="s">
        <v>46</v>
      </c>
    </row>
    <row r="28" customFormat="false" ht="18" hidden="false" customHeight="true" outlineLevel="0" collapsed="false">
      <c r="A28" s="30" t="s">
        <v>25</v>
      </c>
      <c r="B28" s="31" t="s">
        <v>70</v>
      </c>
      <c r="C28" s="30" t="s">
        <v>25</v>
      </c>
      <c r="D28" s="31" t="s">
        <v>49</v>
      </c>
      <c r="E28" s="30" t="s">
        <v>25</v>
      </c>
      <c r="F28" s="31" t="s">
        <v>73</v>
      </c>
      <c r="G28" s="30" t="s">
        <v>25</v>
      </c>
      <c r="H28" s="31" t="s">
        <v>74</v>
      </c>
      <c r="I28" s="30" t="s">
        <v>25</v>
      </c>
      <c r="J28" s="31" t="s">
        <v>90</v>
      </c>
      <c r="K28" s="30" t="s">
        <v>25</v>
      </c>
      <c r="L28" s="31" t="s">
        <v>91</v>
      </c>
      <c r="M28" s="30" t="s">
        <v>25</v>
      </c>
      <c r="N28" s="31" t="s">
        <v>90</v>
      </c>
    </row>
    <row r="29" customFormat="false" ht="18" hidden="false" customHeight="true" outlineLevel="0" collapsed="false">
      <c r="A29" s="30" t="s">
        <v>25</v>
      </c>
      <c r="B29" s="31" t="s">
        <v>73</v>
      </c>
      <c r="C29" s="30" t="s">
        <v>25</v>
      </c>
      <c r="D29" s="31" t="s">
        <v>92</v>
      </c>
      <c r="E29" s="30" t="s">
        <v>25</v>
      </c>
      <c r="F29" s="31" t="s">
        <v>47</v>
      </c>
      <c r="G29" s="30" t="s">
        <v>25</v>
      </c>
      <c r="H29" s="31" t="s">
        <v>51</v>
      </c>
      <c r="I29" s="30" t="s">
        <v>25</v>
      </c>
      <c r="J29" s="31" t="s">
        <v>73</v>
      </c>
      <c r="K29" s="30" t="s">
        <v>25</v>
      </c>
      <c r="L29" s="31" t="s">
        <v>74</v>
      </c>
      <c r="M29" s="30" t="s">
        <v>25</v>
      </c>
      <c r="N29" s="31" t="s">
        <v>73</v>
      </c>
    </row>
    <row r="30" customFormat="false" ht="30" hidden="false" customHeight="true" outlineLevel="0" collapsed="false">
      <c r="A30" s="32" t="s">
        <v>93</v>
      </c>
      <c r="B30" s="32"/>
      <c r="C30" s="32" t="s">
        <v>94</v>
      </c>
      <c r="D30" s="32"/>
      <c r="E30" s="32" t="s">
        <v>95</v>
      </c>
      <c r="F30" s="32"/>
      <c r="G30" s="32" t="s">
        <v>96</v>
      </c>
      <c r="H30" s="32"/>
      <c r="I30" s="32" t="s">
        <v>97</v>
      </c>
      <c r="J30" s="32"/>
      <c r="K30" s="32" t="s">
        <v>97</v>
      </c>
      <c r="L30" s="32"/>
      <c r="M30" s="32" t="s">
        <v>97</v>
      </c>
      <c r="N30" s="32"/>
    </row>
    <row r="31" customFormat="false" ht="4.5" hidden="false" customHeight="true" outlineLevel="0" collapsed="false"/>
    <row r="32" customFormat="false" ht="21" hidden="false" customHeight="true" outlineLevel="0" collapsed="false">
      <c r="A32" s="21" t="s">
        <v>98</v>
      </c>
      <c r="B32" s="21"/>
      <c r="C32" s="21" t="s">
        <v>99</v>
      </c>
      <c r="D32" s="21"/>
      <c r="E32" s="21" t="s">
        <v>100</v>
      </c>
      <c r="F32" s="21"/>
      <c r="G32" s="21" t="s">
        <v>101</v>
      </c>
      <c r="H32" s="21"/>
      <c r="I32" s="21" t="s">
        <v>102</v>
      </c>
      <c r="J32" s="21"/>
      <c r="K32" s="22" t="s">
        <v>103</v>
      </c>
      <c r="L32" s="22"/>
      <c r="M32" s="22" t="s">
        <v>104</v>
      </c>
      <c r="N32" s="22"/>
    </row>
    <row r="33" customFormat="false" ht="4.5" hidden="false" customHeight="true" outlineLevel="0" collapsed="false"/>
    <row r="34" customFormat="false" ht="18" hidden="false" customHeight="true" outlineLevel="0" collapsed="false">
      <c r="A34" s="23" t="s">
        <v>19</v>
      </c>
      <c r="B34" s="24" t="s">
        <v>63</v>
      </c>
      <c r="C34" s="23" t="s">
        <v>19</v>
      </c>
      <c r="D34" s="24" t="s">
        <v>40</v>
      </c>
      <c r="E34" s="23" t="s">
        <v>19</v>
      </c>
      <c r="F34" s="24" t="s">
        <v>40</v>
      </c>
      <c r="G34" s="23" t="s">
        <v>19</v>
      </c>
      <c r="H34" s="24" t="s">
        <v>63</v>
      </c>
      <c r="I34" s="23" t="s">
        <v>19</v>
      </c>
      <c r="J34" s="24" t="s">
        <v>105</v>
      </c>
      <c r="K34" s="23" t="s">
        <v>19</v>
      </c>
      <c r="L34" s="25" t="s">
        <v>105</v>
      </c>
      <c r="M34" s="23" t="s">
        <v>19</v>
      </c>
      <c r="N34" s="25" t="s">
        <v>105</v>
      </c>
    </row>
    <row r="35" customFormat="false" ht="18" hidden="false" customHeight="true" outlineLevel="0" collapsed="false">
      <c r="A35" s="26" t="s">
        <v>21</v>
      </c>
      <c r="B35" s="27" t="s">
        <v>42</v>
      </c>
      <c r="C35" s="26" t="s">
        <v>21</v>
      </c>
      <c r="D35" s="27" t="s">
        <v>43</v>
      </c>
      <c r="E35" s="26" t="s">
        <v>21</v>
      </c>
      <c r="F35" s="27" t="s">
        <v>42</v>
      </c>
      <c r="G35" s="26" t="s">
        <v>21</v>
      </c>
      <c r="H35" s="27" t="s">
        <v>43</v>
      </c>
      <c r="I35" s="26" t="s">
        <v>21</v>
      </c>
      <c r="J35" s="27" t="s">
        <v>65</v>
      </c>
      <c r="K35" s="26" t="s">
        <v>21</v>
      </c>
      <c r="L35" s="27" t="s">
        <v>41</v>
      </c>
      <c r="M35" s="26" t="s">
        <v>21</v>
      </c>
      <c r="N35" s="27" t="s">
        <v>65</v>
      </c>
    </row>
    <row r="36" customFormat="false" ht="18" hidden="false" customHeight="true" outlineLevel="0" collapsed="false">
      <c r="A36" s="28" t="s">
        <v>23</v>
      </c>
      <c r="B36" s="29" t="s">
        <v>106</v>
      </c>
      <c r="C36" s="28" t="s">
        <v>23</v>
      </c>
      <c r="D36" s="29" t="s">
        <v>44</v>
      </c>
      <c r="E36" s="28" t="s">
        <v>23</v>
      </c>
      <c r="F36" s="29" t="s">
        <v>106</v>
      </c>
      <c r="G36" s="28" t="s">
        <v>23</v>
      </c>
      <c r="H36" s="29" t="s">
        <v>46</v>
      </c>
      <c r="I36" s="28" t="s">
        <v>23</v>
      </c>
      <c r="J36" s="29" t="s">
        <v>106</v>
      </c>
      <c r="K36" s="28" t="s">
        <v>23</v>
      </c>
      <c r="L36" s="29" t="s">
        <v>68</v>
      </c>
      <c r="M36" s="28" t="s">
        <v>23</v>
      </c>
      <c r="N36" s="29" t="s">
        <v>106</v>
      </c>
    </row>
    <row r="37" customFormat="false" ht="18" hidden="false" customHeight="true" outlineLevel="0" collapsed="false">
      <c r="A37" s="30" t="s">
        <v>25</v>
      </c>
      <c r="B37" s="31" t="s">
        <v>47</v>
      </c>
      <c r="C37" s="30" t="s">
        <v>25</v>
      </c>
      <c r="D37" s="31" t="s">
        <v>107</v>
      </c>
      <c r="E37" s="30" t="s">
        <v>25</v>
      </c>
      <c r="F37" s="31" t="s">
        <v>108</v>
      </c>
      <c r="G37" s="30" t="s">
        <v>25</v>
      </c>
      <c r="H37" s="31" t="s">
        <v>91</v>
      </c>
      <c r="I37" s="30" t="s">
        <v>25</v>
      </c>
      <c r="J37" s="31" t="s">
        <v>71</v>
      </c>
      <c r="K37" s="30" t="s">
        <v>25</v>
      </c>
      <c r="L37" s="31" t="s">
        <v>74</v>
      </c>
      <c r="M37" s="30" t="s">
        <v>25</v>
      </c>
      <c r="N37" s="31" t="s">
        <v>71</v>
      </c>
    </row>
    <row r="38" customFormat="false" ht="18" hidden="false" customHeight="true" outlineLevel="0" collapsed="false">
      <c r="A38" s="30" t="s">
        <v>25</v>
      </c>
      <c r="B38" s="31" t="s">
        <v>51</v>
      </c>
      <c r="C38" s="30" t="s">
        <v>25</v>
      </c>
      <c r="D38" s="31" t="s">
        <v>74</v>
      </c>
      <c r="E38" s="30" t="s">
        <v>25</v>
      </c>
      <c r="F38" s="31" t="s">
        <v>73</v>
      </c>
      <c r="G38" s="30" t="s">
        <v>25</v>
      </c>
      <c r="H38" s="31" t="s">
        <v>74</v>
      </c>
      <c r="I38" s="30" t="s">
        <v>25</v>
      </c>
      <c r="J38" s="31" t="s">
        <v>51</v>
      </c>
      <c r="K38" s="30" t="s">
        <v>25</v>
      </c>
      <c r="L38" s="31" t="s">
        <v>47</v>
      </c>
      <c r="M38" s="30" t="s">
        <v>25</v>
      </c>
      <c r="N38" s="31" t="s">
        <v>51</v>
      </c>
    </row>
    <row r="39" customFormat="false" ht="30" hidden="false" customHeight="true" outlineLevel="0" collapsed="false">
      <c r="A39" s="32" t="s">
        <v>109</v>
      </c>
      <c r="B39" s="32"/>
      <c r="C39" s="32" t="s">
        <v>109</v>
      </c>
      <c r="D39" s="32"/>
      <c r="E39" s="32" t="s">
        <v>110</v>
      </c>
      <c r="F39" s="32"/>
      <c r="G39" s="32" t="s">
        <v>111</v>
      </c>
      <c r="H39" s="32"/>
      <c r="I39" s="32" t="s">
        <v>112</v>
      </c>
      <c r="J39" s="32"/>
      <c r="K39" s="32" t="s">
        <v>113</v>
      </c>
      <c r="L39" s="32"/>
      <c r="M39" s="32" t="s">
        <v>114</v>
      </c>
      <c r="N39" s="32"/>
    </row>
    <row r="40" customFormat="false" ht="4.5" hidden="false" customHeight="true" outlineLevel="0" collapsed="false"/>
    <row r="41" customFormat="false" ht="21" hidden="false" customHeight="true" outlineLevel="0" collapsed="false">
      <c r="A41" s="21" t="s">
        <v>115</v>
      </c>
      <c r="B41" s="21"/>
      <c r="C41" s="21" t="s">
        <v>116</v>
      </c>
      <c r="D41" s="21"/>
      <c r="E41" s="21" t="s">
        <v>117</v>
      </c>
      <c r="F41" s="21"/>
      <c r="G41" s="21" t="s">
        <v>118</v>
      </c>
      <c r="H41" s="21"/>
      <c r="I41" s="21" t="s">
        <v>119</v>
      </c>
      <c r="J41" s="21"/>
      <c r="K41" s="22" t="s">
        <v>120</v>
      </c>
      <c r="L41" s="22"/>
      <c r="M41" s="35" t="s">
        <v>121</v>
      </c>
      <c r="N41" s="35"/>
    </row>
    <row r="42" customFormat="false" ht="4.5" hidden="false" customHeight="true" outlineLevel="0" collapsed="false"/>
    <row r="43" customFormat="false" ht="18" hidden="false" customHeight="true" outlineLevel="0" collapsed="false">
      <c r="A43" s="23" t="s">
        <v>19</v>
      </c>
      <c r="B43" s="24" t="s">
        <v>105</v>
      </c>
      <c r="C43" s="23" t="s">
        <v>19</v>
      </c>
      <c r="D43" s="24" t="s">
        <v>39</v>
      </c>
      <c r="E43" s="23" t="s">
        <v>19</v>
      </c>
      <c r="F43" s="24" t="s">
        <v>105</v>
      </c>
      <c r="G43" s="23" t="s">
        <v>19</v>
      </c>
      <c r="H43" s="24" t="s">
        <v>105</v>
      </c>
      <c r="I43" s="23" t="s">
        <v>19</v>
      </c>
      <c r="J43" s="24" t="s">
        <v>63</v>
      </c>
      <c r="K43" s="23" t="s">
        <v>19</v>
      </c>
      <c r="L43" s="25" t="s">
        <v>63</v>
      </c>
      <c r="M43" s="23" t="s">
        <v>19</v>
      </c>
      <c r="N43" s="25" t="s">
        <v>63</v>
      </c>
    </row>
    <row r="44" customFormat="false" ht="18" hidden="false" customHeight="true" outlineLevel="0" collapsed="false">
      <c r="A44" s="26" t="s">
        <v>21</v>
      </c>
      <c r="B44" s="27" t="s">
        <v>43</v>
      </c>
      <c r="C44" s="26" t="s">
        <v>21</v>
      </c>
      <c r="D44" s="27" t="s">
        <v>65</v>
      </c>
      <c r="E44" s="26" t="s">
        <v>21</v>
      </c>
      <c r="F44" s="27" t="s">
        <v>41</v>
      </c>
      <c r="G44" s="26" t="s">
        <v>21</v>
      </c>
      <c r="H44" s="27" t="s">
        <v>122</v>
      </c>
      <c r="I44" s="26" t="s">
        <v>21</v>
      </c>
      <c r="J44" s="27" t="s">
        <v>41</v>
      </c>
      <c r="K44" s="26" t="s">
        <v>21</v>
      </c>
      <c r="L44" s="27" t="s">
        <v>42</v>
      </c>
      <c r="M44" s="26" t="s">
        <v>21</v>
      </c>
      <c r="N44" s="27" t="s">
        <v>41</v>
      </c>
    </row>
    <row r="45" customFormat="false" ht="18" hidden="false" customHeight="true" outlineLevel="0" collapsed="false">
      <c r="A45" s="28" t="s">
        <v>23</v>
      </c>
      <c r="B45" s="29" t="s">
        <v>44</v>
      </c>
      <c r="C45" s="28" t="s">
        <v>23</v>
      </c>
      <c r="D45" s="29" t="s">
        <v>45</v>
      </c>
      <c r="E45" s="28" t="s">
        <v>23</v>
      </c>
      <c r="F45" s="29" t="s">
        <v>68</v>
      </c>
      <c r="G45" s="28" t="s">
        <v>23</v>
      </c>
      <c r="H45" s="29" t="s">
        <v>106</v>
      </c>
      <c r="I45" s="28" t="s">
        <v>23</v>
      </c>
      <c r="J45" s="29" t="s">
        <v>44</v>
      </c>
      <c r="K45" s="28" t="s">
        <v>23</v>
      </c>
      <c r="L45" s="29" t="s">
        <v>67</v>
      </c>
      <c r="M45" s="28" t="s">
        <v>23</v>
      </c>
      <c r="N45" s="29" t="s">
        <v>44</v>
      </c>
    </row>
    <row r="46" customFormat="false" ht="18" hidden="false" customHeight="true" outlineLevel="0" collapsed="false">
      <c r="A46" s="30" t="s">
        <v>25</v>
      </c>
      <c r="B46" s="31" t="s">
        <v>91</v>
      </c>
      <c r="C46" s="30" t="s">
        <v>25</v>
      </c>
      <c r="D46" s="31" t="s">
        <v>71</v>
      </c>
      <c r="E46" s="30" t="s">
        <v>25</v>
      </c>
      <c r="F46" s="31" t="s">
        <v>48</v>
      </c>
      <c r="G46" s="30" t="s">
        <v>25</v>
      </c>
      <c r="H46" s="31" t="s">
        <v>72</v>
      </c>
      <c r="I46" s="30" t="s">
        <v>25</v>
      </c>
      <c r="J46" s="31" t="s">
        <v>108</v>
      </c>
      <c r="K46" s="30" t="s">
        <v>25</v>
      </c>
      <c r="L46" s="31" t="s">
        <v>107</v>
      </c>
      <c r="M46" s="30" t="s">
        <v>25</v>
      </c>
      <c r="N46" s="31" t="s">
        <v>108</v>
      </c>
    </row>
    <row r="47" customFormat="false" ht="18" hidden="false" customHeight="true" outlineLevel="0" collapsed="false">
      <c r="A47" s="30" t="s">
        <v>25</v>
      </c>
      <c r="B47" s="31" t="s">
        <v>73</v>
      </c>
      <c r="C47" s="30" t="s">
        <v>25</v>
      </c>
      <c r="D47" s="31" t="s">
        <v>50</v>
      </c>
      <c r="E47" s="30" t="s">
        <v>25</v>
      </c>
      <c r="F47" s="31" t="s">
        <v>51</v>
      </c>
      <c r="G47" s="30" t="s">
        <v>25</v>
      </c>
      <c r="H47" s="31" t="s">
        <v>71</v>
      </c>
      <c r="I47" s="30" t="s">
        <v>25</v>
      </c>
      <c r="J47" s="31" t="s">
        <v>50</v>
      </c>
      <c r="K47" s="30" t="s">
        <v>25</v>
      </c>
      <c r="L47" s="31" t="s">
        <v>47</v>
      </c>
      <c r="M47" s="30" t="s">
        <v>25</v>
      </c>
      <c r="N47" s="31" t="s">
        <v>50</v>
      </c>
    </row>
    <row r="48" customFormat="false" ht="30" hidden="false" customHeight="true" outlineLevel="0" collapsed="false">
      <c r="A48" s="32" t="s">
        <v>123</v>
      </c>
      <c r="B48" s="32"/>
      <c r="C48" s="36" t="s">
        <v>124</v>
      </c>
      <c r="D48" s="36"/>
      <c r="E48" s="32" t="s">
        <v>94</v>
      </c>
      <c r="F48" s="32"/>
      <c r="G48" s="32" t="s">
        <v>125</v>
      </c>
      <c r="H48" s="32"/>
      <c r="I48" s="32" t="s">
        <v>126</v>
      </c>
      <c r="J48" s="32"/>
      <c r="K48" s="32" t="s">
        <v>125</v>
      </c>
      <c r="L48" s="32"/>
      <c r="M48" s="32" t="s">
        <v>125</v>
      </c>
      <c r="N48" s="32"/>
    </row>
    <row r="49" customFormat="false" ht="4.5" hidden="false" customHeight="true" outlineLevel="0" collapsed="false"/>
    <row r="50" customFormat="false" ht="21" hidden="false" customHeight="true" outlineLevel="0" collapsed="false">
      <c r="A50" s="35" t="s">
        <v>127</v>
      </c>
      <c r="B50" s="35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</row>
    <row r="51" customFormat="false" ht="4.5" hidden="false" customHeight="true" outlineLevel="0" collapsed="false"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</row>
    <row r="52" customFormat="false" ht="18" hidden="false" customHeight="true" outlineLevel="0" collapsed="false">
      <c r="A52" s="23" t="s">
        <v>19</v>
      </c>
      <c r="B52" s="25" t="s">
        <v>63</v>
      </c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</row>
    <row r="53" customFormat="false" ht="18" hidden="false" customHeight="true" outlineLevel="0" collapsed="false">
      <c r="A53" s="26" t="s">
        <v>21</v>
      </c>
      <c r="B53" s="27" t="s">
        <v>42</v>
      </c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</row>
    <row r="54" customFormat="false" ht="18" hidden="false" customHeight="true" outlineLevel="0" collapsed="false">
      <c r="A54" s="28" t="s">
        <v>23</v>
      </c>
      <c r="B54" s="29" t="s">
        <v>67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  <row r="55" customFormat="false" ht="18" hidden="false" customHeight="true" outlineLevel="0" collapsed="false">
      <c r="A55" s="30" t="s">
        <v>25</v>
      </c>
      <c r="B55" s="31" t="s">
        <v>107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</row>
    <row r="56" customFormat="false" ht="18" hidden="false" customHeight="true" outlineLevel="0" collapsed="false">
      <c r="A56" s="30" t="s">
        <v>25</v>
      </c>
      <c r="B56" s="31" t="s">
        <v>47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</row>
    <row r="57" customFormat="false" ht="30" hidden="false" customHeight="true" outlineLevel="0" collapsed="false">
      <c r="A57" s="36" t="s">
        <v>124</v>
      </c>
      <c r="B57" s="36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8" customFormat="false" ht="4.5" hidden="false" customHeight="true" outlineLevel="0" collapsed="false"/>
  </sheetData>
  <mergeCells count="79">
    <mergeCell ref="A1:N1"/>
    <mergeCell ref="B2:C2"/>
    <mergeCell ref="E2:F2"/>
    <mergeCell ref="H2:I2"/>
    <mergeCell ref="K2:L2"/>
    <mergeCell ref="M2:N2"/>
    <mergeCell ref="A4:B4"/>
    <mergeCell ref="C4:D4"/>
    <mergeCell ref="E4:F4"/>
    <mergeCell ref="G4:H4"/>
    <mergeCell ref="I4:J4"/>
    <mergeCell ref="K4:L4"/>
    <mergeCell ref="M4:N4"/>
    <mergeCell ref="G5:H5"/>
    <mergeCell ref="I5:J5"/>
    <mergeCell ref="K5:L5"/>
    <mergeCell ref="M5:N5"/>
    <mergeCell ref="G12:H12"/>
    <mergeCell ref="I12:J12"/>
    <mergeCell ref="K12:L12"/>
    <mergeCell ref="M12:N12"/>
    <mergeCell ref="A14:B14"/>
    <mergeCell ref="C14:D14"/>
    <mergeCell ref="E14:F14"/>
    <mergeCell ref="G14:H14"/>
    <mergeCell ref="I14:J14"/>
    <mergeCell ref="K14:L14"/>
    <mergeCell ref="M14:N14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30:B30"/>
    <mergeCell ref="C30:D30"/>
    <mergeCell ref="E30:F30"/>
    <mergeCell ref="G30:H30"/>
    <mergeCell ref="I30:J30"/>
    <mergeCell ref="K30:L30"/>
    <mergeCell ref="M30:N30"/>
    <mergeCell ref="A32:B32"/>
    <mergeCell ref="C32:D32"/>
    <mergeCell ref="E32:F32"/>
    <mergeCell ref="G32:H32"/>
    <mergeCell ref="I32:J32"/>
    <mergeCell ref="K32:L32"/>
    <mergeCell ref="M32:N32"/>
    <mergeCell ref="A39:B39"/>
    <mergeCell ref="C39:D39"/>
    <mergeCell ref="E39:F39"/>
    <mergeCell ref="G39:H39"/>
    <mergeCell ref="I39:J39"/>
    <mergeCell ref="K39:L39"/>
    <mergeCell ref="M39:N39"/>
    <mergeCell ref="A41:B41"/>
    <mergeCell ref="C41:D41"/>
    <mergeCell ref="E41:F41"/>
    <mergeCell ref="G41:H41"/>
    <mergeCell ref="I41:J41"/>
    <mergeCell ref="K41:L41"/>
    <mergeCell ref="M41:N41"/>
    <mergeCell ref="A48:B48"/>
    <mergeCell ref="C48:D48"/>
    <mergeCell ref="E48:F48"/>
    <mergeCell ref="G48:H48"/>
    <mergeCell ref="I48:J48"/>
    <mergeCell ref="K48:L48"/>
    <mergeCell ref="M48:N48"/>
    <mergeCell ref="A50:B50"/>
    <mergeCell ref="A57:B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5" min="3" style="1" width="5.33"/>
  </cols>
  <sheetData>
    <row r="1" customFormat="false" ht="27.75" hidden="false" customHeight="true" outlineLevel="0" collapsed="false">
      <c r="A1" s="37" t="s">
        <v>128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</row>
    <row r="3" customFormat="false" ht="19.5" hidden="false" customHeight="true" outlineLevel="0" collapsed="false">
      <c r="A3" s="38" t="s">
        <v>129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</row>
    <row r="4" customFormat="false" ht="18" hidden="false" customHeight="true" outlineLevel="0" collapsed="false">
      <c r="A4" s="39" t="s">
        <v>130</v>
      </c>
      <c r="B4" s="40" t="s">
        <v>131</v>
      </c>
      <c r="C4" s="41" t="s">
        <v>132</v>
      </c>
      <c r="D4" s="41" t="s">
        <v>133</v>
      </c>
      <c r="E4" s="42" t="s">
        <v>134</v>
      </c>
      <c r="F4" s="42" t="s">
        <v>135</v>
      </c>
      <c r="G4" s="41" t="s">
        <v>136</v>
      </c>
      <c r="H4" s="41" t="s">
        <v>137</v>
      </c>
      <c r="I4" s="41" t="s">
        <v>138</v>
      </c>
      <c r="J4" s="41" t="s">
        <v>139</v>
      </c>
      <c r="K4" s="41" t="s">
        <v>140</v>
      </c>
      <c r="L4" s="42" t="s">
        <v>141</v>
      </c>
      <c r="M4" s="42" t="s">
        <v>142</v>
      </c>
      <c r="N4" s="43" t="s">
        <v>143</v>
      </c>
      <c r="O4" s="41" t="s">
        <v>144</v>
      </c>
      <c r="P4" s="41" t="s">
        <v>145</v>
      </c>
      <c r="Q4" s="41" t="s">
        <v>146</v>
      </c>
      <c r="R4" s="41" t="s">
        <v>147</v>
      </c>
      <c r="S4" s="42" t="s">
        <v>148</v>
      </c>
      <c r="T4" s="42" t="s">
        <v>149</v>
      </c>
      <c r="U4" s="41" t="s">
        <v>150</v>
      </c>
      <c r="V4" s="41" t="s">
        <v>151</v>
      </c>
      <c r="W4" s="41" t="s">
        <v>152</v>
      </c>
      <c r="X4" s="41" t="s">
        <v>153</v>
      </c>
      <c r="Y4" s="41" t="s">
        <v>154</v>
      </c>
      <c r="Z4" s="42" t="s">
        <v>155</v>
      </c>
      <c r="AA4" s="42" t="s">
        <v>156</v>
      </c>
      <c r="AB4" s="41" t="s">
        <v>157</v>
      </c>
      <c r="AC4" s="41" t="s">
        <v>158</v>
      </c>
      <c r="AD4" s="41" t="s">
        <v>159</v>
      </c>
      <c r="AE4" s="41" t="s">
        <v>160</v>
      </c>
      <c r="AF4" s="41" t="s">
        <v>161</v>
      </c>
      <c r="AG4" s="42" t="s">
        <v>162</v>
      </c>
      <c r="AH4" s="43" t="s">
        <v>163</v>
      </c>
      <c r="AI4" s="43" t="s">
        <v>164</v>
      </c>
    </row>
    <row r="5" customFormat="false" ht="16.5" hidden="false" customHeight="true" outlineLevel="0" collapsed="false">
      <c r="A5" s="44" t="s">
        <v>165</v>
      </c>
      <c r="B5" s="45" t="n">
        <f aca="false">SUM(C5:AI5)</f>
        <v>33</v>
      </c>
      <c r="C5" s="46" t="n">
        <v>1</v>
      </c>
      <c r="D5" s="46" t="n">
        <v>1</v>
      </c>
      <c r="E5" s="47" t="n">
        <v>1</v>
      </c>
      <c r="F5" s="47" t="n">
        <v>1</v>
      </c>
      <c r="G5" s="46" t="n">
        <v>1</v>
      </c>
      <c r="H5" s="46" t="n">
        <v>1</v>
      </c>
      <c r="I5" s="46" t="n">
        <v>1</v>
      </c>
      <c r="J5" s="46" t="n">
        <v>1</v>
      </c>
      <c r="K5" s="46" t="n">
        <v>1</v>
      </c>
      <c r="L5" s="47" t="n">
        <v>1</v>
      </c>
      <c r="M5" s="47" t="n">
        <v>1</v>
      </c>
      <c r="N5" s="46" t="n">
        <v>1</v>
      </c>
      <c r="O5" s="46" t="n">
        <v>1</v>
      </c>
      <c r="P5" s="46" t="n">
        <v>1</v>
      </c>
      <c r="Q5" s="46" t="n">
        <v>1</v>
      </c>
      <c r="R5" s="46" t="n">
        <v>1</v>
      </c>
      <c r="S5" s="47" t="n">
        <v>1</v>
      </c>
      <c r="T5" s="47" t="n">
        <v>1</v>
      </c>
      <c r="U5" s="46" t="n">
        <v>1</v>
      </c>
      <c r="V5" s="46" t="n">
        <v>1</v>
      </c>
      <c r="W5" s="46" t="n">
        <v>1</v>
      </c>
      <c r="X5" s="46" t="n">
        <v>1</v>
      </c>
      <c r="Y5" s="46" t="n">
        <v>1</v>
      </c>
      <c r="Z5" s="47" t="n">
        <v>1</v>
      </c>
      <c r="AA5" s="47" t="n">
        <v>1</v>
      </c>
      <c r="AB5" s="46" t="n">
        <v>1</v>
      </c>
      <c r="AC5" s="46" t="n">
        <v>1</v>
      </c>
      <c r="AD5" s="46" t="n">
        <v>1</v>
      </c>
      <c r="AE5" s="46" t="n">
        <v>1</v>
      </c>
      <c r="AF5" s="46" t="n">
        <v>1</v>
      </c>
      <c r="AG5" s="47" t="n">
        <v>1</v>
      </c>
      <c r="AH5" s="47" t="n">
        <v>1</v>
      </c>
      <c r="AI5" s="46" t="n">
        <v>1</v>
      </c>
    </row>
    <row r="6" customFormat="false" ht="16.5" hidden="false" customHeight="true" outlineLevel="0" collapsed="false">
      <c r="A6" s="48" t="s">
        <v>166</v>
      </c>
      <c r="B6" s="45" t="n">
        <f aca="false">SUM(C6:AI6)</f>
        <v>33</v>
      </c>
      <c r="C6" s="46" t="n">
        <v>1</v>
      </c>
      <c r="D6" s="46" t="n">
        <v>1</v>
      </c>
      <c r="E6" s="47" t="n">
        <v>1</v>
      </c>
      <c r="F6" s="47" t="n">
        <v>1</v>
      </c>
      <c r="G6" s="46" t="n">
        <v>1</v>
      </c>
      <c r="H6" s="46" t="n">
        <v>1</v>
      </c>
      <c r="I6" s="46" t="n">
        <v>1</v>
      </c>
      <c r="J6" s="46" t="n">
        <v>1</v>
      </c>
      <c r="K6" s="46" t="n">
        <v>1</v>
      </c>
      <c r="L6" s="47" t="n">
        <v>1</v>
      </c>
      <c r="M6" s="47" t="n">
        <v>1</v>
      </c>
      <c r="N6" s="46" t="n">
        <v>1</v>
      </c>
      <c r="O6" s="46" t="n">
        <v>1</v>
      </c>
      <c r="P6" s="46" t="n">
        <v>1</v>
      </c>
      <c r="Q6" s="46" t="n">
        <v>1</v>
      </c>
      <c r="R6" s="46" t="n">
        <v>1</v>
      </c>
      <c r="S6" s="47" t="n">
        <v>1</v>
      </c>
      <c r="T6" s="47" t="n">
        <v>1</v>
      </c>
      <c r="U6" s="46" t="n">
        <v>1</v>
      </c>
      <c r="V6" s="46" t="n">
        <v>1</v>
      </c>
      <c r="W6" s="46" t="n">
        <v>1</v>
      </c>
      <c r="X6" s="46" t="n">
        <v>1</v>
      </c>
      <c r="Y6" s="46" t="n">
        <v>1</v>
      </c>
      <c r="Z6" s="47" t="n">
        <v>1</v>
      </c>
      <c r="AA6" s="47" t="n">
        <v>1</v>
      </c>
      <c r="AB6" s="46" t="n">
        <v>1</v>
      </c>
      <c r="AC6" s="46" t="n">
        <v>1</v>
      </c>
      <c r="AD6" s="46" t="n">
        <v>1</v>
      </c>
      <c r="AE6" s="46" t="n">
        <v>1</v>
      </c>
      <c r="AF6" s="46" t="n">
        <v>1</v>
      </c>
      <c r="AG6" s="47" t="n">
        <v>1</v>
      </c>
      <c r="AH6" s="47" t="n">
        <v>1</v>
      </c>
      <c r="AI6" s="46" t="n">
        <v>1</v>
      </c>
    </row>
    <row r="7" customFormat="false" ht="16.5" hidden="false" customHeight="true" outlineLevel="0" collapsed="false">
      <c r="A7" s="49" t="s">
        <v>167</v>
      </c>
      <c r="B7" s="45" t="n">
        <f aca="false">SUM(C7:AI7)</f>
        <v>33</v>
      </c>
      <c r="C7" s="46" t="n">
        <v>1</v>
      </c>
      <c r="D7" s="46" t="n">
        <v>1</v>
      </c>
      <c r="E7" s="47" t="n">
        <v>1</v>
      </c>
      <c r="F7" s="47" t="n">
        <v>1</v>
      </c>
      <c r="G7" s="46" t="n">
        <v>1</v>
      </c>
      <c r="H7" s="46" t="n">
        <v>1</v>
      </c>
      <c r="I7" s="46" t="n">
        <v>1</v>
      </c>
      <c r="J7" s="46" t="n">
        <v>1</v>
      </c>
      <c r="K7" s="46" t="n">
        <v>1</v>
      </c>
      <c r="L7" s="47" t="n">
        <v>1</v>
      </c>
      <c r="M7" s="47" t="n">
        <v>1</v>
      </c>
      <c r="N7" s="46" t="n">
        <v>1</v>
      </c>
      <c r="O7" s="46" t="n">
        <v>1</v>
      </c>
      <c r="P7" s="46" t="n">
        <v>1</v>
      </c>
      <c r="Q7" s="46" t="n">
        <v>1</v>
      </c>
      <c r="R7" s="46" t="n">
        <v>1</v>
      </c>
      <c r="S7" s="47" t="n">
        <v>1</v>
      </c>
      <c r="T7" s="47" t="n">
        <v>1</v>
      </c>
      <c r="U7" s="46" t="n">
        <v>1</v>
      </c>
      <c r="V7" s="46" t="n">
        <v>1</v>
      </c>
      <c r="W7" s="46" t="n">
        <v>1</v>
      </c>
      <c r="X7" s="46" t="n">
        <v>1</v>
      </c>
      <c r="Y7" s="46" t="n">
        <v>1</v>
      </c>
      <c r="Z7" s="47" t="n">
        <v>1</v>
      </c>
      <c r="AA7" s="47" t="n">
        <v>1</v>
      </c>
      <c r="AB7" s="46" t="n">
        <v>1</v>
      </c>
      <c r="AC7" s="46" t="n">
        <v>1</v>
      </c>
      <c r="AD7" s="46" t="n">
        <v>1</v>
      </c>
      <c r="AE7" s="46" t="n">
        <v>1</v>
      </c>
      <c r="AF7" s="46" t="n">
        <v>1</v>
      </c>
      <c r="AG7" s="47" t="n">
        <v>1</v>
      </c>
      <c r="AH7" s="47" t="n">
        <v>1</v>
      </c>
      <c r="AI7" s="46" t="n">
        <v>1</v>
      </c>
    </row>
    <row r="8" customFormat="false" ht="16.5" hidden="false" customHeight="true" outlineLevel="0" collapsed="false">
      <c r="A8" s="50" t="s">
        <v>168</v>
      </c>
      <c r="B8" s="45" t="n">
        <f aca="false">SUM(C8:AI8)</f>
        <v>66</v>
      </c>
      <c r="C8" s="46" t="n">
        <v>2</v>
      </c>
      <c r="D8" s="46" t="n">
        <v>2</v>
      </c>
      <c r="E8" s="47" t="n">
        <v>2</v>
      </c>
      <c r="F8" s="47" t="n">
        <v>2</v>
      </c>
      <c r="G8" s="46" t="n">
        <v>2</v>
      </c>
      <c r="H8" s="46" t="n">
        <v>2</v>
      </c>
      <c r="I8" s="46" t="n">
        <v>2</v>
      </c>
      <c r="J8" s="46" t="n">
        <v>2</v>
      </c>
      <c r="K8" s="46" t="n">
        <v>2</v>
      </c>
      <c r="L8" s="47" t="n">
        <v>2</v>
      </c>
      <c r="M8" s="47" t="n">
        <v>2</v>
      </c>
      <c r="N8" s="46" t="n">
        <v>2</v>
      </c>
      <c r="O8" s="46" t="n">
        <v>2</v>
      </c>
      <c r="P8" s="46" t="n">
        <v>2</v>
      </c>
      <c r="Q8" s="46" t="n">
        <v>2</v>
      </c>
      <c r="R8" s="46" t="n">
        <v>2</v>
      </c>
      <c r="S8" s="47" t="n">
        <v>2</v>
      </c>
      <c r="T8" s="47" t="n">
        <v>2</v>
      </c>
      <c r="U8" s="46" t="n">
        <v>2</v>
      </c>
      <c r="V8" s="46" t="n">
        <v>2</v>
      </c>
      <c r="W8" s="46" t="n">
        <v>2</v>
      </c>
      <c r="X8" s="46" t="n">
        <v>2</v>
      </c>
      <c r="Y8" s="46" t="n">
        <v>2</v>
      </c>
      <c r="Z8" s="47" t="n">
        <v>2</v>
      </c>
      <c r="AA8" s="47" t="n">
        <v>2</v>
      </c>
      <c r="AB8" s="46" t="n">
        <v>2</v>
      </c>
      <c r="AC8" s="46" t="n">
        <v>2</v>
      </c>
      <c r="AD8" s="46" t="n">
        <v>2</v>
      </c>
      <c r="AE8" s="46" t="n">
        <v>2</v>
      </c>
      <c r="AF8" s="46" t="n">
        <v>2</v>
      </c>
      <c r="AG8" s="47" t="n">
        <v>2</v>
      </c>
      <c r="AH8" s="47" t="n">
        <v>2</v>
      </c>
      <c r="AI8" s="46" t="n">
        <v>2</v>
      </c>
    </row>
    <row r="9" customFormat="false" ht="18.75" hidden="false" customHeight="true" outlineLevel="0" collapsed="false">
      <c r="A9" s="51" t="s">
        <v>131</v>
      </c>
      <c r="B9" s="52" t="n">
        <f aca="false">SUM(C9:AI9)</f>
        <v>165</v>
      </c>
      <c r="C9" s="53" t="n">
        <f aca="false">SUM(C5:C8)</f>
        <v>5</v>
      </c>
      <c r="D9" s="53" t="n">
        <f aca="false">SUM(D5:D8)</f>
        <v>5</v>
      </c>
      <c r="E9" s="53" t="n">
        <f aca="false">SUM(E5:E8)</f>
        <v>5</v>
      </c>
      <c r="F9" s="53" t="n">
        <f aca="false">SUM(F5:F8)</f>
        <v>5</v>
      </c>
      <c r="G9" s="53" t="n">
        <f aca="false">SUM(G5:G8)</f>
        <v>5</v>
      </c>
      <c r="H9" s="53" t="n">
        <f aca="false">SUM(H5:H8)</f>
        <v>5</v>
      </c>
      <c r="I9" s="53" t="n">
        <f aca="false">SUM(I5:I8)</f>
        <v>5</v>
      </c>
      <c r="J9" s="53" t="n">
        <f aca="false">SUM(J5:J8)</f>
        <v>5</v>
      </c>
      <c r="K9" s="53" t="n">
        <f aca="false">SUM(K5:K8)</f>
        <v>5</v>
      </c>
      <c r="L9" s="53" t="n">
        <f aca="false">SUM(L5:L8)</f>
        <v>5</v>
      </c>
      <c r="M9" s="53" t="n">
        <f aca="false">SUM(M5:M8)</f>
        <v>5</v>
      </c>
      <c r="N9" s="53" t="n">
        <f aca="false">SUM(N5:N8)</f>
        <v>5</v>
      </c>
      <c r="O9" s="53" t="n">
        <f aca="false">SUM(O5:O8)</f>
        <v>5</v>
      </c>
      <c r="P9" s="53" t="n">
        <f aca="false">SUM(P5:P8)</f>
        <v>5</v>
      </c>
      <c r="Q9" s="53" t="n">
        <f aca="false">SUM(Q5:Q8)</f>
        <v>5</v>
      </c>
      <c r="R9" s="53" t="n">
        <f aca="false">SUM(R5:R8)</f>
        <v>5</v>
      </c>
      <c r="S9" s="53" t="n">
        <f aca="false">SUM(S5:S8)</f>
        <v>5</v>
      </c>
      <c r="T9" s="53" t="n">
        <f aca="false">SUM(T5:T8)</f>
        <v>5</v>
      </c>
      <c r="U9" s="53" t="n">
        <f aca="false">SUM(U5:U8)</f>
        <v>5</v>
      </c>
      <c r="V9" s="53" t="n">
        <f aca="false">SUM(V5:V8)</f>
        <v>5</v>
      </c>
      <c r="W9" s="53" t="n">
        <f aca="false">SUM(W5:W8)</f>
        <v>5</v>
      </c>
      <c r="X9" s="53" t="n">
        <f aca="false">SUM(X5:X8)</f>
        <v>5</v>
      </c>
      <c r="Y9" s="53" t="n">
        <f aca="false">SUM(Y5:Y8)</f>
        <v>5</v>
      </c>
      <c r="Z9" s="53" t="n">
        <f aca="false">SUM(Z5:Z8)</f>
        <v>5</v>
      </c>
      <c r="AA9" s="53" t="n">
        <f aca="false">SUM(AA5:AA8)</f>
        <v>5</v>
      </c>
      <c r="AB9" s="53" t="n">
        <f aca="false">SUM(AB5:AB8)</f>
        <v>5</v>
      </c>
      <c r="AC9" s="53" t="n">
        <f aca="false">SUM(AC5:AC8)</f>
        <v>5</v>
      </c>
      <c r="AD9" s="53" t="n">
        <f aca="false">SUM(AD5:AD8)</f>
        <v>5</v>
      </c>
      <c r="AE9" s="53" t="n">
        <f aca="false">SUM(AE5:AE8)</f>
        <v>5</v>
      </c>
      <c r="AF9" s="53" t="n">
        <f aca="false">SUM(AF5:AF8)</f>
        <v>5</v>
      </c>
      <c r="AG9" s="53" t="n">
        <f aca="false">SUM(AG5:AG8)</f>
        <v>5</v>
      </c>
      <c r="AH9" s="53" t="n">
        <f aca="false">SUM(AH5:AH8)</f>
        <v>5</v>
      </c>
      <c r="AI9" s="53" t="n">
        <f aca="false">SUM(AI5:AI8)</f>
        <v>5</v>
      </c>
    </row>
    <row r="11" customFormat="false" ht="19.5" hidden="false" customHeight="true" outlineLevel="0" collapsed="false">
      <c r="A11" s="38" t="s">
        <v>169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</row>
    <row r="12" customFormat="false" ht="18" hidden="false" customHeight="true" outlineLevel="0" collapsed="false">
      <c r="A12" s="39" t="s">
        <v>130</v>
      </c>
      <c r="B12" s="40" t="s">
        <v>131</v>
      </c>
      <c r="C12" s="41" t="s">
        <v>132</v>
      </c>
      <c r="D12" s="41" t="s">
        <v>133</v>
      </c>
      <c r="E12" s="42" t="s">
        <v>134</v>
      </c>
      <c r="F12" s="42" t="s">
        <v>135</v>
      </c>
      <c r="G12" s="41" t="s">
        <v>136</v>
      </c>
      <c r="H12" s="41" t="s">
        <v>137</v>
      </c>
      <c r="I12" s="41" t="s">
        <v>138</v>
      </c>
      <c r="J12" s="41" t="s">
        <v>139</v>
      </c>
      <c r="K12" s="41" t="s">
        <v>140</v>
      </c>
      <c r="L12" s="42" t="s">
        <v>141</v>
      </c>
      <c r="M12" s="42" t="s">
        <v>142</v>
      </c>
      <c r="N12" s="43" t="s">
        <v>143</v>
      </c>
      <c r="O12" s="41" t="s">
        <v>144</v>
      </c>
      <c r="P12" s="41" t="s">
        <v>145</v>
      </c>
      <c r="Q12" s="41" t="s">
        <v>146</v>
      </c>
      <c r="R12" s="41" t="s">
        <v>147</v>
      </c>
      <c r="S12" s="42" t="s">
        <v>148</v>
      </c>
      <c r="T12" s="42" t="s">
        <v>149</v>
      </c>
      <c r="U12" s="41" t="s">
        <v>150</v>
      </c>
      <c r="V12" s="41" t="s">
        <v>151</v>
      </c>
      <c r="W12" s="41" t="s">
        <v>152</v>
      </c>
      <c r="X12" s="41" t="s">
        <v>153</v>
      </c>
      <c r="Y12" s="41" t="s">
        <v>154</v>
      </c>
      <c r="Z12" s="42" t="s">
        <v>155</v>
      </c>
      <c r="AA12" s="42" t="s">
        <v>156</v>
      </c>
      <c r="AB12" s="41" t="s">
        <v>157</v>
      </c>
      <c r="AC12" s="41" t="s">
        <v>158</v>
      </c>
      <c r="AD12" s="41" t="s">
        <v>159</v>
      </c>
      <c r="AE12" s="41" t="s">
        <v>160</v>
      </c>
      <c r="AF12" s="41" t="s">
        <v>161</v>
      </c>
      <c r="AG12" s="42" t="s">
        <v>162</v>
      </c>
      <c r="AH12" s="43" t="s">
        <v>163</v>
      </c>
      <c r="AI12" s="43" t="s">
        <v>164</v>
      </c>
    </row>
    <row r="13" customFormat="false" ht="16.5" hidden="false" customHeight="true" outlineLevel="0" collapsed="false">
      <c r="A13" s="44" t="s">
        <v>165</v>
      </c>
      <c r="B13" s="45" t="n">
        <f aca="false">SUM(C13:AI13)</f>
        <v>33</v>
      </c>
      <c r="C13" s="46" t="n">
        <f aca="false">IF('Calendario Octubre 2026'!$H$7&lt;&gt;"",1,0)</f>
        <v>1</v>
      </c>
      <c r="D13" s="46" t="n">
        <f aca="false">IF('Calendario Octubre 2026'!$J$7&lt;&gt;"",1,0)</f>
        <v>1</v>
      </c>
      <c r="E13" s="47" t="n">
        <f aca="false">IF('Calendario Octubre 2026'!$L$7&lt;&gt;"",1,0)</f>
        <v>1</v>
      </c>
      <c r="F13" s="47" t="n">
        <f aca="false">IF('Calendario Octubre 2026'!$N$7&lt;&gt;"",1,0)</f>
        <v>1</v>
      </c>
      <c r="G13" s="46" t="n">
        <f aca="false">IF('Calendario Octubre 2026'!$B$16&lt;&gt;"",1,0)</f>
        <v>1</v>
      </c>
      <c r="H13" s="46" t="n">
        <f aca="false">IF('Calendario Octubre 2026'!$D$16&lt;&gt;"",1,0)</f>
        <v>1</v>
      </c>
      <c r="I13" s="46" t="n">
        <f aca="false">IF('Calendario Octubre 2026'!$F$16&lt;&gt;"",1,0)</f>
        <v>1</v>
      </c>
      <c r="J13" s="46" t="n">
        <f aca="false">IF('Calendario Octubre 2026'!$H$16&lt;&gt;"",1,0)</f>
        <v>1</v>
      </c>
      <c r="K13" s="46" t="n">
        <f aca="false">IF('Calendario Octubre 2026'!$J$16&lt;&gt;"",1,0)</f>
        <v>1</v>
      </c>
      <c r="L13" s="47" t="n">
        <f aca="false">IF('Calendario Octubre 2026'!$L$16&lt;&gt;"",1,0)</f>
        <v>1</v>
      </c>
      <c r="M13" s="47" t="n">
        <f aca="false">IF('Calendario Octubre 2026'!$N$16&lt;&gt;"",1,0)</f>
        <v>1</v>
      </c>
      <c r="N13" s="46" t="n">
        <f aca="false">IF('Calendario Octubre 2026'!$B$25&lt;&gt;"",1,0)</f>
        <v>1</v>
      </c>
      <c r="O13" s="46" t="n">
        <f aca="false">IF('Calendario Octubre 2026'!$D$25&lt;&gt;"",1,0)</f>
        <v>1</v>
      </c>
      <c r="P13" s="46" t="n">
        <f aca="false">IF('Calendario Octubre 2026'!$F$25&lt;&gt;"",1,0)</f>
        <v>1</v>
      </c>
      <c r="Q13" s="46" t="n">
        <f aca="false">IF('Calendario Octubre 2026'!$H$25&lt;&gt;"",1,0)</f>
        <v>1</v>
      </c>
      <c r="R13" s="46" t="n">
        <f aca="false">IF('Calendario Octubre 2026'!$J$25&lt;&gt;"",1,0)</f>
        <v>1</v>
      </c>
      <c r="S13" s="47" t="n">
        <f aca="false">IF('Calendario Octubre 2026'!$L$25&lt;&gt;"",1,0)</f>
        <v>1</v>
      </c>
      <c r="T13" s="47" t="n">
        <f aca="false">IF('Calendario Octubre 2026'!$N$25&lt;&gt;"",1,0)</f>
        <v>1</v>
      </c>
      <c r="U13" s="46" t="n">
        <f aca="false">IF('Calendario Octubre 2026'!$B$34&lt;&gt;"",1,0)</f>
        <v>1</v>
      </c>
      <c r="V13" s="46" t="n">
        <f aca="false">IF('Calendario Octubre 2026'!$D$34&lt;&gt;"",1,0)</f>
        <v>1</v>
      </c>
      <c r="W13" s="46" t="n">
        <f aca="false">IF('Calendario Octubre 2026'!$F$34&lt;&gt;"",1,0)</f>
        <v>1</v>
      </c>
      <c r="X13" s="46" t="n">
        <f aca="false">IF('Calendario Octubre 2026'!$H$34&lt;&gt;"",1,0)</f>
        <v>1</v>
      </c>
      <c r="Y13" s="46" t="n">
        <f aca="false">IF('Calendario Octubre 2026'!$J$34&lt;&gt;"",1,0)</f>
        <v>1</v>
      </c>
      <c r="Z13" s="47" t="n">
        <f aca="false">IF('Calendario Octubre 2026'!$L$34&lt;&gt;"",1,0)</f>
        <v>1</v>
      </c>
      <c r="AA13" s="47" t="n">
        <f aca="false">IF('Calendario Octubre 2026'!$N$34&lt;&gt;"",1,0)</f>
        <v>1</v>
      </c>
      <c r="AB13" s="46" t="n">
        <f aca="false">IF('Calendario Octubre 2026'!$B$43&lt;&gt;"",1,0)</f>
        <v>1</v>
      </c>
      <c r="AC13" s="46" t="n">
        <f aca="false">IF('Calendario Octubre 2026'!$D$43&lt;&gt;"",1,0)</f>
        <v>1</v>
      </c>
      <c r="AD13" s="46" t="n">
        <f aca="false">IF('Calendario Octubre 2026'!$F$43&lt;&gt;"",1,0)</f>
        <v>1</v>
      </c>
      <c r="AE13" s="46" t="n">
        <f aca="false">IF('Calendario Octubre 2026'!$H$43&lt;&gt;"",1,0)</f>
        <v>1</v>
      </c>
      <c r="AF13" s="46" t="n">
        <f aca="false">IF('Calendario Octubre 2026'!$J$43&lt;&gt;"",1,0)</f>
        <v>1</v>
      </c>
      <c r="AG13" s="47" t="n">
        <f aca="false">IF('Calendario Octubre 2026'!$L$43&lt;&gt;"",1,0)</f>
        <v>1</v>
      </c>
      <c r="AH13" s="47" t="n">
        <f aca="false">IF('Calendario Octubre 2026'!$N$43&lt;&gt;"",1,0)</f>
        <v>1</v>
      </c>
      <c r="AI13" s="46" t="n">
        <f aca="false">IF('Calendario Octubre 2026'!$B$52&lt;&gt;"",1,0)</f>
        <v>1</v>
      </c>
    </row>
    <row r="14" customFormat="false" ht="16.5" hidden="false" customHeight="true" outlineLevel="0" collapsed="false">
      <c r="A14" s="48" t="s">
        <v>166</v>
      </c>
      <c r="B14" s="45" t="n">
        <f aca="false">SUM(C14:AI14)</f>
        <v>33</v>
      </c>
      <c r="C14" s="46" t="n">
        <f aca="false">IF('Calendario Octubre 2026'!$H$8&lt;&gt;"",1,0)</f>
        <v>1</v>
      </c>
      <c r="D14" s="46" t="n">
        <f aca="false">IF('Calendario Octubre 2026'!$J$8&lt;&gt;"",1,0)</f>
        <v>1</v>
      </c>
      <c r="E14" s="47" t="n">
        <f aca="false">IF('Calendario Octubre 2026'!$L$8&lt;&gt;"",1,0)</f>
        <v>1</v>
      </c>
      <c r="F14" s="47" t="n">
        <f aca="false">IF('Calendario Octubre 2026'!$N$8&lt;&gt;"",1,0)</f>
        <v>1</v>
      </c>
      <c r="G14" s="46" t="n">
        <f aca="false">IF('Calendario Octubre 2026'!$B$17&lt;&gt;"",1,0)</f>
        <v>1</v>
      </c>
      <c r="H14" s="46" t="n">
        <f aca="false">IF('Calendario Octubre 2026'!$D$17&lt;&gt;"",1,0)</f>
        <v>1</v>
      </c>
      <c r="I14" s="46" t="n">
        <f aca="false">IF('Calendario Octubre 2026'!$F$17&lt;&gt;"",1,0)</f>
        <v>1</v>
      </c>
      <c r="J14" s="46" t="n">
        <f aca="false">IF('Calendario Octubre 2026'!$H$17&lt;&gt;"",1,0)</f>
        <v>1</v>
      </c>
      <c r="K14" s="46" t="n">
        <f aca="false">IF('Calendario Octubre 2026'!$J$17&lt;&gt;"",1,0)</f>
        <v>1</v>
      </c>
      <c r="L14" s="47" t="n">
        <f aca="false">IF('Calendario Octubre 2026'!$L$17&lt;&gt;"",1,0)</f>
        <v>1</v>
      </c>
      <c r="M14" s="47" t="n">
        <f aca="false">IF('Calendario Octubre 2026'!$N$17&lt;&gt;"",1,0)</f>
        <v>1</v>
      </c>
      <c r="N14" s="46" t="n">
        <f aca="false">IF('Calendario Octubre 2026'!$B$26&lt;&gt;"",1,0)</f>
        <v>1</v>
      </c>
      <c r="O14" s="46" t="n">
        <f aca="false">IF('Calendario Octubre 2026'!$D$26&lt;&gt;"",1,0)</f>
        <v>1</v>
      </c>
      <c r="P14" s="46" t="n">
        <f aca="false">IF('Calendario Octubre 2026'!$F$26&lt;&gt;"",1,0)</f>
        <v>1</v>
      </c>
      <c r="Q14" s="46" t="n">
        <f aca="false">IF('Calendario Octubre 2026'!$H$26&lt;&gt;"",1,0)</f>
        <v>1</v>
      </c>
      <c r="R14" s="46" t="n">
        <f aca="false">IF('Calendario Octubre 2026'!$J$26&lt;&gt;"",1,0)</f>
        <v>1</v>
      </c>
      <c r="S14" s="47" t="n">
        <f aca="false">IF('Calendario Octubre 2026'!$L$26&lt;&gt;"",1,0)</f>
        <v>1</v>
      </c>
      <c r="T14" s="47" t="n">
        <f aca="false">IF('Calendario Octubre 2026'!$N$26&lt;&gt;"",1,0)</f>
        <v>1</v>
      </c>
      <c r="U14" s="46" t="n">
        <f aca="false">IF('Calendario Octubre 2026'!$B$35&lt;&gt;"",1,0)</f>
        <v>1</v>
      </c>
      <c r="V14" s="46" t="n">
        <f aca="false">IF('Calendario Octubre 2026'!$D$35&lt;&gt;"",1,0)</f>
        <v>1</v>
      </c>
      <c r="W14" s="46" t="n">
        <f aca="false">IF('Calendario Octubre 2026'!$F$35&lt;&gt;"",1,0)</f>
        <v>1</v>
      </c>
      <c r="X14" s="46" t="n">
        <f aca="false">IF('Calendario Octubre 2026'!$H$35&lt;&gt;"",1,0)</f>
        <v>1</v>
      </c>
      <c r="Y14" s="46" t="n">
        <f aca="false">IF('Calendario Octubre 2026'!$J$35&lt;&gt;"",1,0)</f>
        <v>1</v>
      </c>
      <c r="Z14" s="47" t="n">
        <f aca="false">IF('Calendario Octubre 2026'!$L$35&lt;&gt;"",1,0)</f>
        <v>1</v>
      </c>
      <c r="AA14" s="47" t="n">
        <f aca="false">IF('Calendario Octubre 2026'!$N$35&lt;&gt;"",1,0)</f>
        <v>1</v>
      </c>
      <c r="AB14" s="46" t="n">
        <f aca="false">IF('Calendario Octubre 2026'!$B$44&lt;&gt;"",1,0)</f>
        <v>1</v>
      </c>
      <c r="AC14" s="46" t="n">
        <f aca="false">IF('Calendario Octubre 2026'!$D$44&lt;&gt;"",1,0)</f>
        <v>1</v>
      </c>
      <c r="AD14" s="46" t="n">
        <f aca="false">IF('Calendario Octubre 2026'!$F$44&lt;&gt;"",1,0)</f>
        <v>1</v>
      </c>
      <c r="AE14" s="46" t="n">
        <f aca="false">IF('Calendario Octubre 2026'!$H$44&lt;&gt;"",1,0)</f>
        <v>1</v>
      </c>
      <c r="AF14" s="46" t="n">
        <f aca="false">IF('Calendario Octubre 2026'!$J$44&lt;&gt;"",1,0)</f>
        <v>1</v>
      </c>
      <c r="AG14" s="47" t="n">
        <f aca="false">IF('Calendario Octubre 2026'!$L$44&lt;&gt;"",1,0)</f>
        <v>1</v>
      </c>
      <c r="AH14" s="47" t="n">
        <f aca="false">IF('Calendario Octubre 2026'!$N$44&lt;&gt;"",1,0)</f>
        <v>1</v>
      </c>
      <c r="AI14" s="46" t="n">
        <f aca="false">IF('Calendario Octubre 2026'!$B$53&lt;&gt;"",1,0)</f>
        <v>1</v>
      </c>
    </row>
    <row r="15" customFormat="false" ht="16.5" hidden="false" customHeight="true" outlineLevel="0" collapsed="false">
      <c r="A15" s="49" t="s">
        <v>167</v>
      </c>
      <c r="B15" s="45" t="n">
        <f aca="false">SUM(C15:AI15)</f>
        <v>31</v>
      </c>
      <c r="C15" s="46" t="n">
        <f aca="false">IF('Calendario Octubre 2026'!$H$9&lt;&gt;"",1,0)</f>
        <v>1</v>
      </c>
      <c r="D15" s="46" t="n">
        <f aca="false">IF('Calendario Octubre 2026'!$J$9&lt;&gt;"",1,0)</f>
        <v>1</v>
      </c>
      <c r="E15" s="47" t="n">
        <f aca="false">IF('Calendario Octubre 2026'!$L$9&lt;&gt;"",1,0)</f>
        <v>1</v>
      </c>
      <c r="F15" s="47" t="n">
        <f aca="false">IF('Calendario Octubre 2026'!$N$9&lt;&gt;"",1,0)</f>
        <v>1</v>
      </c>
      <c r="G15" s="46" t="n">
        <f aca="false">IF('Calendario Octubre 2026'!$B$18&lt;&gt;"",1,0)</f>
        <v>1</v>
      </c>
      <c r="H15" s="46" t="n">
        <f aca="false">IF('Calendario Octubre 2026'!$D$18&lt;&gt;"",1,0)</f>
        <v>1</v>
      </c>
      <c r="I15" s="46" t="n">
        <f aca="false">IF('Calendario Octubre 2026'!$F$18&lt;&gt;"",1,0)</f>
        <v>1</v>
      </c>
      <c r="J15" s="46" t="n">
        <f aca="false">IF('Calendario Octubre 2026'!$H$18&lt;&gt;"",1,0)</f>
        <v>1</v>
      </c>
      <c r="K15" s="46" t="n">
        <f aca="false">IF('Calendario Octubre 2026'!$J$18&lt;&gt;"",1,0)</f>
        <v>0</v>
      </c>
      <c r="L15" s="47" t="n">
        <f aca="false">IF('Calendario Octubre 2026'!$L$18&lt;&gt;"",1,0)</f>
        <v>1</v>
      </c>
      <c r="M15" s="47" t="n">
        <f aca="false">IF('Calendario Octubre 2026'!$N$18&lt;&gt;"",1,0)</f>
        <v>0</v>
      </c>
      <c r="N15" s="46" t="n">
        <f aca="false">IF('Calendario Octubre 2026'!$B$27&lt;&gt;"",1,0)</f>
        <v>1</v>
      </c>
      <c r="O15" s="46" t="n">
        <f aca="false">IF('Calendario Octubre 2026'!$D$27&lt;&gt;"",1,0)</f>
        <v>1</v>
      </c>
      <c r="P15" s="46" t="n">
        <f aca="false">IF('Calendario Octubre 2026'!$F$27&lt;&gt;"",1,0)</f>
        <v>1</v>
      </c>
      <c r="Q15" s="46" t="n">
        <f aca="false">IF('Calendario Octubre 2026'!$H$27&lt;&gt;"",1,0)</f>
        <v>1</v>
      </c>
      <c r="R15" s="46" t="n">
        <f aca="false">IF('Calendario Octubre 2026'!$J$27&lt;&gt;"",1,0)</f>
        <v>1</v>
      </c>
      <c r="S15" s="47" t="n">
        <f aca="false">IF('Calendario Octubre 2026'!$L$27&lt;&gt;"",1,0)</f>
        <v>1</v>
      </c>
      <c r="T15" s="47" t="n">
        <f aca="false">IF('Calendario Octubre 2026'!$N$27&lt;&gt;"",1,0)</f>
        <v>1</v>
      </c>
      <c r="U15" s="46" t="n">
        <f aca="false">IF('Calendario Octubre 2026'!$B$36&lt;&gt;"",1,0)</f>
        <v>1</v>
      </c>
      <c r="V15" s="46" t="n">
        <f aca="false">IF('Calendario Octubre 2026'!$D$36&lt;&gt;"",1,0)</f>
        <v>1</v>
      </c>
      <c r="W15" s="46" t="n">
        <f aca="false">IF('Calendario Octubre 2026'!$F$36&lt;&gt;"",1,0)</f>
        <v>1</v>
      </c>
      <c r="X15" s="46" t="n">
        <f aca="false">IF('Calendario Octubre 2026'!$H$36&lt;&gt;"",1,0)</f>
        <v>1</v>
      </c>
      <c r="Y15" s="46" t="n">
        <f aca="false">IF('Calendario Octubre 2026'!$J$36&lt;&gt;"",1,0)</f>
        <v>1</v>
      </c>
      <c r="Z15" s="47" t="n">
        <f aca="false">IF('Calendario Octubre 2026'!$L$36&lt;&gt;"",1,0)</f>
        <v>1</v>
      </c>
      <c r="AA15" s="47" t="n">
        <f aca="false">IF('Calendario Octubre 2026'!$N$36&lt;&gt;"",1,0)</f>
        <v>1</v>
      </c>
      <c r="AB15" s="46" t="n">
        <f aca="false">IF('Calendario Octubre 2026'!$B$45&lt;&gt;"",1,0)</f>
        <v>1</v>
      </c>
      <c r="AC15" s="46" t="n">
        <f aca="false">IF('Calendario Octubre 2026'!$D$45&lt;&gt;"",1,0)</f>
        <v>1</v>
      </c>
      <c r="AD15" s="46" t="n">
        <f aca="false">IF('Calendario Octubre 2026'!$F$45&lt;&gt;"",1,0)</f>
        <v>1</v>
      </c>
      <c r="AE15" s="46" t="n">
        <f aca="false">IF('Calendario Octubre 2026'!$H$45&lt;&gt;"",1,0)</f>
        <v>1</v>
      </c>
      <c r="AF15" s="46" t="n">
        <f aca="false">IF('Calendario Octubre 2026'!$J$45&lt;&gt;"",1,0)</f>
        <v>1</v>
      </c>
      <c r="AG15" s="47" t="n">
        <f aca="false">IF('Calendario Octubre 2026'!$L$45&lt;&gt;"",1,0)</f>
        <v>1</v>
      </c>
      <c r="AH15" s="47" t="n">
        <f aca="false">IF('Calendario Octubre 2026'!$N$45&lt;&gt;"",1,0)</f>
        <v>1</v>
      </c>
      <c r="AI15" s="46" t="n">
        <f aca="false">IF('Calendario Octubre 2026'!$B$54&lt;&gt;"",1,0)</f>
        <v>1</v>
      </c>
    </row>
    <row r="16" customFormat="false" ht="16.5" hidden="false" customHeight="true" outlineLevel="0" collapsed="false">
      <c r="A16" s="50" t="s">
        <v>168</v>
      </c>
      <c r="B16" s="45" t="n">
        <f aca="false">SUM(C16:AI16)</f>
        <v>66</v>
      </c>
      <c r="C16" s="46" t="n">
        <f aca="false">IF('Calendario Octubre 2026'!$H$10&lt;&gt;"",1,0)+IF('Calendario Octubre 2026'!$H$11&lt;&gt;"",1,0)</f>
        <v>2</v>
      </c>
      <c r="D16" s="46" t="n">
        <f aca="false">IF('Calendario Octubre 2026'!$J$10&lt;&gt;"",1,0)+IF('Calendario Octubre 2026'!$J$11&lt;&gt;"",1,0)</f>
        <v>2</v>
      </c>
      <c r="E16" s="47" t="n">
        <f aca="false">IF('Calendario Octubre 2026'!$L$10&lt;&gt;"",1,0)+IF('Calendario Octubre 2026'!$L$11&lt;&gt;"",1,0)</f>
        <v>2</v>
      </c>
      <c r="F16" s="47" t="n">
        <f aca="false">IF('Calendario Octubre 2026'!$N$10&lt;&gt;"",1,0)+IF('Calendario Octubre 2026'!$N$11&lt;&gt;"",1,0)</f>
        <v>2</v>
      </c>
      <c r="G16" s="46" t="n">
        <f aca="false">IF('Calendario Octubre 2026'!$B$19&lt;&gt;"",1,0)+IF('Calendario Octubre 2026'!$B$20&lt;&gt;"",1,0)</f>
        <v>2</v>
      </c>
      <c r="H16" s="46" t="n">
        <f aca="false">IF('Calendario Octubre 2026'!$D$19&lt;&gt;"",1,0)+IF('Calendario Octubre 2026'!$D$20&lt;&gt;"",1,0)</f>
        <v>2</v>
      </c>
      <c r="I16" s="46" t="n">
        <f aca="false">IF('Calendario Octubre 2026'!$F$19&lt;&gt;"",1,0)+IF('Calendario Octubre 2026'!$F$20&lt;&gt;"",1,0)</f>
        <v>2</v>
      </c>
      <c r="J16" s="46" t="n">
        <f aca="false">IF('Calendario Octubre 2026'!$H$19&lt;&gt;"",1,0)+IF('Calendario Octubre 2026'!$H$20&lt;&gt;"",1,0)</f>
        <v>2</v>
      </c>
      <c r="K16" s="46" t="n">
        <f aca="false">IF('Calendario Octubre 2026'!$J$19&lt;&gt;"",1,0)+IF('Calendario Octubre 2026'!$J$20&lt;&gt;"",1,0)</f>
        <v>2</v>
      </c>
      <c r="L16" s="47" t="n">
        <f aca="false">IF('Calendario Octubre 2026'!$L$19&lt;&gt;"",1,0)+IF('Calendario Octubre 2026'!$L$20&lt;&gt;"",1,0)</f>
        <v>2</v>
      </c>
      <c r="M16" s="47" t="n">
        <f aca="false">IF('Calendario Octubre 2026'!$N$19&lt;&gt;"",1,0)+IF('Calendario Octubre 2026'!$N$20&lt;&gt;"",1,0)</f>
        <v>2</v>
      </c>
      <c r="N16" s="46" t="n">
        <f aca="false">IF('Calendario Octubre 2026'!$B$28&lt;&gt;"",1,0)+IF('Calendario Octubre 2026'!$B$29&lt;&gt;"",1,0)</f>
        <v>2</v>
      </c>
      <c r="O16" s="46" t="n">
        <f aca="false">IF('Calendario Octubre 2026'!$D$28&lt;&gt;"",1,0)+IF('Calendario Octubre 2026'!$D$29&lt;&gt;"",1,0)</f>
        <v>2</v>
      </c>
      <c r="P16" s="46" t="n">
        <f aca="false">IF('Calendario Octubre 2026'!$F$28&lt;&gt;"",1,0)+IF('Calendario Octubre 2026'!$F$29&lt;&gt;"",1,0)</f>
        <v>2</v>
      </c>
      <c r="Q16" s="46" t="n">
        <f aca="false">IF('Calendario Octubre 2026'!$H$28&lt;&gt;"",1,0)+IF('Calendario Octubre 2026'!$H$29&lt;&gt;"",1,0)</f>
        <v>2</v>
      </c>
      <c r="R16" s="46" t="n">
        <f aca="false">IF('Calendario Octubre 2026'!$J$28&lt;&gt;"",1,0)+IF('Calendario Octubre 2026'!$J$29&lt;&gt;"",1,0)</f>
        <v>2</v>
      </c>
      <c r="S16" s="47" t="n">
        <f aca="false">IF('Calendario Octubre 2026'!$L$28&lt;&gt;"",1,0)+IF('Calendario Octubre 2026'!$L$29&lt;&gt;"",1,0)</f>
        <v>2</v>
      </c>
      <c r="T16" s="47" t="n">
        <f aca="false">IF('Calendario Octubre 2026'!$N$28&lt;&gt;"",1,0)+IF('Calendario Octubre 2026'!$N$29&lt;&gt;"",1,0)</f>
        <v>2</v>
      </c>
      <c r="U16" s="46" t="n">
        <f aca="false">IF('Calendario Octubre 2026'!$B$37&lt;&gt;"",1,0)+IF('Calendario Octubre 2026'!$B$38&lt;&gt;"",1,0)</f>
        <v>2</v>
      </c>
      <c r="V16" s="46" t="n">
        <f aca="false">IF('Calendario Octubre 2026'!$D$37&lt;&gt;"",1,0)+IF('Calendario Octubre 2026'!$D$38&lt;&gt;"",1,0)</f>
        <v>2</v>
      </c>
      <c r="W16" s="46" t="n">
        <f aca="false">IF('Calendario Octubre 2026'!$F$37&lt;&gt;"",1,0)+IF('Calendario Octubre 2026'!$F$38&lt;&gt;"",1,0)</f>
        <v>2</v>
      </c>
      <c r="X16" s="46" t="n">
        <f aca="false">IF('Calendario Octubre 2026'!$H$37&lt;&gt;"",1,0)+IF('Calendario Octubre 2026'!$H$38&lt;&gt;"",1,0)</f>
        <v>2</v>
      </c>
      <c r="Y16" s="46" t="n">
        <f aca="false">IF('Calendario Octubre 2026'!$J$37&lt;&gt;"",1,0)+IF('Calendario Octubre 2026'!$J$38&lt;&gt;"",1,0)</f>
        <v>2</v>
      </c>
      <c r="Z16" s="47" t="n">
        <f aca="false">IF('Calendario Octubre 2026'!$L$37&lt;&gt;"",1,0)+IF('Calendario Octubre 2026'!$L$38&lt;&gt;"",1,0)</f>
        <v>2</v>
      </c>
      <c r="AA16" s="47" t="n">
        <f aca="false">IF('Calendario Octubre 2026'!$N$37&lt;&gt;"",1,0)+IF('Calendario Octubre 2026'!$N$38&lt;&gt;"",1,0)</f>
        <v>2</v>
      </c>
      <c r="AB16" s="46" t="n">
        <f aca="false">IF('Calendario Octubre 2026'!$B$46&lt;&gt;"",1,0)+IF('Calendario Octubre 2026'!$B$47&lt;&gt;"",1,0)</f>
        <v>2</v>
      </c>
      <c r="AC16" s="46" t="n">
        <f aca="false">IF('Calendario Octubre 2026'!$D$46&lt;&gt;"",1,0)+IF('Calendario Octubre 2026'!$D$47&lt;&gt;"",1,0)</f>
        <v>2</v>
      </c>
      <c r="AD16" s="46" t="n">
        <f aca="false">IF('Calendario Octubre 2026'!$F$46&lt;&gt;"",1,0)+IF('Calendario Octubre 2026'!$F$47&lt;&gt;"",1,0)</f>
        <v>2</v>
      </c>
      <c r="AE16" s="46" t="n">
        <f aca="false">IF('Calendario Octubre 2026'!$H$46&lt;&gt;"",1,0)+IF('Calendario Octubre 2026'!$H$47&lt;&gt;"",1,0)</f>
        <v>2</v>
      </c>
      <c r="AF16" s="46" t="n">
        <f aca="false">IF('Calendario Octubre 2026'!$J$46&lt;&gt;"",1,0)+IF('Calendario Octubre 2026'!$J$47&lt;&gt;"",1,0)</f>
        <v>2</v>
      </c>
      <c r="AG16" s="47" t="n">
        <f aca="false">IF('Calendario Octubre 2026'!$L$46&lt;&gt;"",1,0)+IF('Calendario Octubre 2026'!$L$47&lt;&gt;"",1,0)</f>
        <v>2</v>
      </c>
      <c r="AH16" s="47" t="n">
        <f aca="false">IF('Calendario Octubre 2026'!$N$46&lt;&gt;"",1,0)+IF('Calendario Octubre 2026'!$N$47&lt;&gt;"",1,0)</f>
        <v>2</v>
      </c>
      <c r="AI16" s="46" t="n">
        <f aca="false">IF('Calendario Octubre 2026'!$B$55&lt;&gt;"",1,0)+IF('Calendario Octubre 2026'!$B$56&lt;&gt;"",1,0)</f>
        <v>2</v>
      </c>
    </row>
    <row r="17" customFormat="false" ht="18.75" hidden="false" customHeight="true" outlineLevel="0" collapsed="false">
      <c r="A17" s="51" t="s">
        <v>131</v>
      </c>
      <c r="B17" s="52" t="n">
        <f aca="false">SUM(C17:AI17)</f>
        <v>163</v>
      </c>
      <c r="C17" s="53" t="n">
        <f aca="false">SUM(C13:C16)</f>
        <v>5</v>
      </c>
      <c r="D17" s="53" t="n">
        <f aca="false">SUM(D13:D16)</f>
        <v>5</v>
      </c>
      <c r="E17" s="53" t="n">
        <f aca="false">SUM(E13:E16)</f>
        <v>5</v>
      </c>
      <c r="F17" s="53" t="n">
        <f aca="false">SUM(F13:F16)</f>
        <v>5</v>
      </c>
      <c r="G17" s="53" t="n">
        <f aca="false">SUM(G13:G16)</f>
        <v>5</v>
      </c>
      <c r="H17" s="53" t="n">
        <f aca="false">SUM(H13:H16)</f>
        <v>5</v>
      </c>
      <c r="I17" s="53" t="n">
        <f aca="false">SUM(I13:I16)</f>
        <v>5</v>
      </c>
      <c r="J17" s="53" t="n">
        <f aca="false">SUM(J13:J16)</f>
        <v>5</v>
      </c>
      <c r="K17" s="53" t="n">
        <f aca="false">SUM(K13:K16)</f>
        <v>4</v>
      </c>
      <c r="L17" s="53" t="n">
        <f aca="false">SUM(L13:L16)</f>
        <v>5</v>
      </c>
      <c r="M17" s="53" t="n">
        <f aca="false">SUM(M13:M16)</f>
        <v>4</v>
      </c>
      <c r="N17" s="53" t="n">
        <f aca="false">SUM(N13:N16)</f>
        <v>5</v>
      </c>
      <c r="O17" s="53" t="n">
        <f aca="false">SUM(O13:O16)</f>
        <v>5</v>
      </c>
      <c r="P17" s="53" t="n">
        <f aca="false">SUM(P13:P16)</f>
        <v>5</v>
      </c>
      <c r="Q17" s="53" t="n">
        <f aca="false">SUM(Q13:Q16)</f>
        <v>5</v>
      </c>
      <c r="R17" s="53" t="n">
        <f aca="false">SUM(R13:R16)</f>
        <v>5</v>
      </c>
      <c r="S17" s="53" t="n">
        <f aca="false">SUM(S13:S16)</f>
        <v>5</v>
      </c>
      <c r="T17" s="53" t="n">
        <f aca="false">SUM(T13:T16)</f>
        <v>5</v>
      </c>
      <c r="U17" s="53" t="n">
        <f aca="false">SUM(U13:U16)</f>
        <v>5</v>
      </c>
      <c r="V17" s="53" t="n">
        <f aca="false">SUM(V13:V16)</f>
        <v>5</v>
      </c>
      <c r="W17" s="53" t="n">
        <f aca="false">SUM(W13:W16)</f>
        <v>5</v>
      </c>
      <c r="X17" s="53" t="n">
        <f aca="false">SUM(X13:X16)</f>
        <v>5</v>
      </c>
      <c r="Y17" s="53" t="n">
        <f aca="false">SUM(Y13:Y16)</f>
        <v>5</v>
      </c>
      <c r="Z17" s="53" t="n">
        <f aca="false">SUM(Z13:Z16)</f>
        <v>5</v>
      </c>
      <c r="AA17" s="53" t="n">
        <f aca="false">SUM(AA13:AA16)</f>
        <v>5</v>
      </c>
      <c r="AB17" s="53" t="n">
        <f aca="false">SUM(AB13:AB16)</f>
        <v>5</v>
      </c>
      <c r="AC17" s="53" t="n">
        <f aca="false">SUM(AC13:AC16)</f>
        <v>5</v>
      </c>
      <c r="AD17" s="53" t="n">
        <f aca="false">SUM(AD13:AD16)</f>
        <v>5</v>
      </c>
      <c r="AE17" s="53" t="n">
        <f aca="false">SUM(AE13:AE16)</f>
        <v>5</v>
      </c>
      <c r="AF17" s="53" t="n">
        <f aca="false">SUM(AF13:AF16)</f>
        <v>5</v>
      </c>
      <c r="AG17" s="53" t="n">
        <f aca="false">SUM(AG13:AG16)</f>
        <v>5</v>
      </c>
      <c r="AH17" s="53" t="n">
        <f aca="false">SUM(AH13:AH16)</f>
        <v>5</v>
      </c>
      <c r="AI17" s="53" t="n">
        <f aca="false">SUM(AI13:AI16)</f>
        <v>5</v>
      </c>
    </row>
    <row r="19" customFormat="false" ht="19.5" hidden="false" customHeight="true" outlineLevel="0" collapsed="false">
      <c r="A19" s="38" t="s">
        <v>170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</row>
    <row r="20" customFormat="false" ht="18" hidden="false" customHeight="true" outlineLevel="0" collapsed="false">
      <c r="A20" s="39" t="s">
        <v>130</v>
      </c>
      <c r="B20" s="40" t="s">
        <v>131</v>
      </c>
      <c r="C20" s="41" t="s">
        <v>132</v>
      </c>
      <c r="D20" s="41" t="s">
        <v>133</v>
      </c>
      <c r="E20" s="42" t="s">
        <v>134</v>
      </c>
      <c r="F20" s="42" t="s">
        <v>135</v>
      </c>
      <c r="G20" s="41" t="s">
        <v>136</v>
      </c>
      <c r="H20" s="41" t="s">
        <v>137</v>
      </c>
      <c r="I20" s="41" t="s">
        <v>138</v>
      </c>
      <c r="J20" s="41" t="s">
        <v>139</v>
      </c>
      <c r="K20" s="41" t="s">
        <v>140</v>
      </c>
      <c r="L20" s="42" t="s">
        <v>141</v>
      </c>
      <c r="M20" s="42" t="s">
        <v>142</v>
      </c>
      <c r="N20" s="43" t="s">
        <v>143</v>
      </c>
      <c r="O20" s="41" t="s">
        <v>144</v>
      </c>
      <c r="P20" s="41" t="s">
        <v>145</v>
      </c>
      <c r="Q20" s="41" t="s">
        <v>146</v>
      </c>
      <c r="R20" s="41" t="s">
        <v>147</v>
      </c>
      <c r="S20" s="42" t="s">
        <v>148</v>
      </c>
      <c r="T20" s="42" t="s">
        <v>149</v>
      </c>
      <c r="U20" s="41" t="s">
        <v>150</v>
      </c>
      <c r="V20" s="41" t="s">
        <v>151</v>
      </c>
      <c r="W20" s="41" t="s">
        <v>152</v>
      </c>
      <c r="X20" s="41" t="s">
        <v>153</v>
      </c>
      <c r="Y20" s="41" t="s">
        <v>154</v>
      </c>
      <c r="Z20" s="42" t="s">
        <v>155</v>
      </c>
      <c r="AA20" s="42" t="s">
        <v>156</v>
      </c>
      <c r="AB20" s="41" t="s">
        <v>157</v>
      </c>
      <c r="AC20" s="41" t="s">
        <v>158</v>
      </c>
      <c r="AD20" s="41" t="s">
        <v>159</v>
      </c>
      <c r="AE20" s="41" t="s">
        <v>160</v>
      </c>
      <c r="AF20" s="41" t="s">
        <v>161</v>
      </c>
      <c r="AG20" s="42" t="s">
        <v>162</v>
      </c>
      <c r="AH20" s="43" t="s">
        <v>163</v>
      </c>
      <c r="AI20" s="43" t="s">
        <v>164</v>
      </c>
    </row>
    <row r="21" customFormat="false" ht="16.5" hidden="false" customHeight="true" outlineLevel="0" collapsed="false">
      <c r="A21" s="44" t="s">
        <v>165</v>
      </c>
      <c r="B21" s="45" t="n">
        <f aca="false">SUM(C21:AI21)</f>
        <v>0</v>
      </c>
      <c r="C21" s="46" t="n">
        <f aca="false">C5-C13</f>
        <v>0</v>
      </c>
      <c r="D21" s="46" t="n">
        <f aca="false">D5-D13</f>
        <v>0</v>
      </c>
      <c r="E21" s="47" t="n">
        <f aca="false">E5-E13</f>
        <v>0</v>
      </c>
      <c r="F21" s="47" t="n">
        <f aca="false">F5-F13</f>
        <v>0</v>
      </c>
      <c r="G21" s="46" t="n">
        <f aca="false">G5-G13</f>
        <v>0</v>
      </c>
      <c r="H21" s="46" t="n">
        <f aca="false">H5-H13</f>
        <v>0</v>
      </c>
      <c r="I21" s="46" t="n">
        <f aca="false">I5-I13</f>
        <v>0</v>
      </c>
      <c r="J21" s="46" t="n">
        <f aca="false">J5-J13</f>
        <v>0</v>
      </c>
      <c r="K21" s="46" t="n">
        <f aca="false">K5-K13</f>
        <v>0</v>
      </c>
      <c r="L21" s="47" t="n">
        <f aca="false">L5-L13</f>
        <v>0</v>
      </c>
      <c r="M21" s="47" t="n">
        <f aca="false">M5-M13</f>
        <v>0</v>
      </c>
      <c r="N21" s="46" t="n">
        <f aca="false">N5-N13</f>
        <v>0</v>
      </c>
      <c r="O21" s="46" t="n">
        <f aca="false">O5-O13</f>
        <v>0</v>
      </c>
      <c r="P21" s="46" t="n">
        <f aca="false">P5-P13</f>
        <v>0</v>
      </c>
      <c r="Q21" s="46" t="n">
        <f aca="false">Q5-Q13</f>
        <v>0</v>
      </c>
      <c r="R21" s="46" t="n">
        <f aca="false">R5-R13</f>
        <v>0</v>
      </c>
      <c r="S21" s="47" t="n">
        <f aca="false">S5-S13</f>
        <v>0</v>
      </c>
      <c r="T21" s="47" t="n">
        <f aca="false">T5-T13</f>
        <v>0</v>
      </c>
      <c r="U21" s="46" t="n">
        <f aca="false">U5-U13</f>
        <v>0</v>
      </c>
      <c r="V21" s="46" t="n">
        <f aca="false">V5-V13</f>
        <v>0</v>
      </c>
      <c r="W21" s="46" t="n">
        <f aca="false">W5-W13</f>
        <v>0</v>
      </c>
      <c r="X21" s="46" t="n">
        <f aca="false">X5-X13</f>
        <v>0</v>
      </c>
      <c r="Y21" s="46" t="n">
        <f aca="false">Y5-Y13</f>
        <v>0</v>
      </c>
      <c r="Z21" s="47" t="n">
        <f aca="false">Z5-Z13</f>
        <v>0</v>
      </c>
      <c r="AA21" s="47" t="n">
        <f aca="false">AA5-AA13</f>
        <v>0</v>
      </c>
      <c r="AB21" s="46" t="n">
        <f aca="false">AB5-AB13</f>
        <v>0</v>
      </c>
      <c r="AC21" s="46" t="n">
        <f aca="false">AC5-AC13</f>
        <v>0</v>
      </c>
      <c r="AD21" s="46" t="n">
        <f aca="false">AD5-AD13</f>
        <v>0</v>
      </c>
      <c r="AE21" s="46" t="n">
        <f aca="false">AE5-AE13</f>
        <v>0</v>
      </c>
      <c r="AF21" s="46" t="n">
        <f aca="false">AF5-AF13</f>
        <v>0</v>
      </c>
      <c r="AG21" s="47" t="n">
        <f aca="false">AG5-AG13</f>
        <v>0</v>
      </c>
      <c r="AH21" s="47" t="n">
        <f aca="false">AH5-AH13</f>
        <v>0</v>
      </c>
      <c r="AI21" s="46" t="n">
        <f aca="false">AI5-AI13</f>
        <v>0</v>
      </c>
    </row>
    <row r="22" customFormat="false" ht="16.5" hidden="false" customHeight="true" outlineLevel="0" collapsed="false">
      <c r="A22" s="48" t="s">
        <v>166</v>
      </c>
      <c r="B22" s="45" t="n">
        <f aca="false">SUM(C22:AI22)</f>
        <v>0</v>
      </c>
      <c r="C22" s="46" t="n">
        <f aca="false">C6-C14</f>
        <v>0</v>
      </c>
      <c r="D22" s="46" t="n">
        <f aca="false">D6-D14</f>
        <v>0</v>
      </c>
      <c r="E22" s="47" t="n">
        <f aca="false">E6-E14</f>
        <v>0</v>
      </c>
      <c r="F22" s="47" t="n">
        <f aca="false">F6-F14</f>
        <v>0</v>
      </c>
      <c r="G22" s="46" t="n">
        <f aca="false">G6-G14</f>
        <v>0</v>
      </c>
      <c r="H22" s="46" t="n">
        <f aca="false">H6-H14</f>
        <v>0</v>
      </c>
      <c r="I22" s="46" t="n">
        <f aca="false">I6-I14</f>
        <v>0</v>
      </c>
      <c r="J22" s="46" t="n">
        <f aca="false">J6-J14</f>
        <v>0</v>
      </c>
      <c r="K22" s="46" t="n">
        <f aca="false">K6-K14</f>
        <v>0</v>
      </c>
      <c r="L22" s="47" t="n">
        <f aca="false">L6-L14</f>
        <v>0</v>
      </c>
      <c r="M22" s="47" t="n">
        <f aca="false">M6-M14</f>
        <v>0</v>
      </c>
      <c r="N22" s="46" t="n">
        <f aca="false">N6-N14</f>
        <v>0</v>
      </c>
      <c r="O22" s="46" t="n">
        <f aca="false">O6-O14</f>
        <v>0</v>
      </c>
      <c r="P22" s="46" t="n">
        <f aca="false">P6-P14</f>
        <v>0</v>
      </c>
      <c r="Q22" s="46" t="n">
        <f aca="false">Q6-Q14</f>
        <v>0</v>
      </c>
      <c r="R22" s="46" t="n">
        <f aca="false">R6-R14</f>
        <v>0</v>
      </c>
      <c r="S22" s="47" t="n">
        <f aca="false">S6-S14</f>
        <v>0</v>
      </c>
      <c r="T22" s="47" t="n">
        <f aca="false">T6-T14</f>
        <v>0</v>
      </c>
      <c r="U22" s="46" t="n">
        <f aca="false">U6-U14</f>
        <v>0</v>
      </c>
      <c r="V22" s="46" t="n">
        <f aca="false">V6-V14</f>
        <v>0</v>
      </c>
      <c r="W22" s="46" t="n">
        <f aca="false">W6-W14</f>
        <v>0</v>
      </c>
      <c r="X22" s="46" t="n">
        <f aca="false">X6-X14</f>
        <v>0</v>
      </c>
      <c r="Y22" s="46" t="n">
        <f aca="false">Y6-Y14</f>
        <v>0</v>
      </c>
      <c r="Z22" s="47" t="n">
        <f aca="false">Z6-Z14</f>
        <v>0</v>
      </c>
      <c r="AA22" s="47" t="n">
        <f aca="false">AA6-AA14</f>
        <v>0</v>
      </c>
      <c r="AB22" s="46" t="n">
        <f aca="false">AB6-AB14</f>
        <v>0</v>
      </c>
      <c r="AC22" s="46" t="n">
        <f aca="false">AC6-AC14</f>
        <v>0</v>
      </c>
      <c r="AD22" s="46" t="n">
        <f aca="false">AD6-AD14</f>
        <v>0</v>
      </c>
      <c r="AE22" s="46" t="n">
        <f aca="false">AE6-AE14</f>
        <v>0</v>
      </c>
      <c r="AF22" s="46" t="n">
        <f aca="false">AF6-AF14</f>
        <v>0</v>
      </c>
      <c r="AG22" s="47" t="n">
        <f aca="false">AG6-AG14</f>
        <v>0</v>
      </c>
      <c r="AH22" s="47" t="n">
        <f aca="false">AH6-AH14</f>
        <v>0</v>
      </c>
      <c r="AI22" s="46" t="n">
        <f aca="false">AI6-AI14</f>
        <v>0</v>
      </c>
    </row>
    <row r="23" customFormat="false" ht="16.5" hidden="false" customHeight="true" outlineLevel="0" collapsed="false">
      <c r="A23" s="49" t="s">
        <v>167</v>
      </c>
      <c r="B23" s="45" t="n">
        <f aca="false">SUM(C23:AI23)</f>
        <v>2</v>
      </c>
      <c r="C23" s="46" t="n">
        <f aca="false">C7-C15</f>
        <v>0</v>
      </c>
      <c r="D23" s="46" t="n">
        <f aca="false">D7-D15</f>
        <v>0</v>
      </c>
      <c r="E23" s="47" t="n">
        <f aca="false">E7-E15</f>
        <v>0</v>
      </c>
      <c r="F23" s="47" t="n">
        <f aca="false">F7-F15</f>
        <v>0</v>
      </c>
      <c r="G23" s="46" t="n">
        <f aca="false">G7-G15</f>
        <v>0</v>
      </c>
      <c r="H23" s="46" t="n">
        <f aca="false">H7-H15</f>
        <v>0</v>
      </c>
      <c r="I23" s="46" t="n">
        <f aca="false">I7-I15</f>
        <v>0</v>
      </c>
      <c r="J23" s="46" t="n">
        <f aca="false">J7-J15</f>
        <v>0</v>
      </c>
      <c r="K23" s="46" t="n">
        <f aca="false">K7-K15</f>
        <v>1</v>
      </c>
      <c r="L23" s="47" t="n">
        <f aca="false">L7-L15</f>
        <v>0</v>
      </c>
      <c r="M23" s="47" t="n">
        <f aca="false">M7-M15</f>
        <v>1</v>
      </c>
      <c r="N23" s="46" t="n">
        <f aca="false">N7-N15</f>
        <v>0</v>
      </c>
      <c r="O23" s="46" t="n">
        <f aca="false">O7-O15</f>
        <v>0</v>
      </c>
      <c r="P23" s="46" t="n">
        <f aca="false">P7-P15</f>
        <v>0</v>
      </c>
      <c r="Q23" s="46" t="n">
        <f aca="false">Q7-Q15</f>
        <v>0</v>
      </c>
      <c r="R23" s="46" t="n">
        <f aca="false">R7-R15</f>
        <v>0</v>
      </c>
      <c r="S23" s="47" t="n">
        <f aca="false">S7-S15</f>
        <v>0</v>
      </c>
      <c r="T23" s="47" t="n">
        <f aca="false">T7-T15</f>
        <v>0</v>
      </c>
      <c r="U23" s="46" t="n">
        <f aca="false">U7-U15</f>
        <v>0</v>
      </c>
      <c r="V23" s="46" t="n">
        <f aca="false">V7-V15</f>
        <v>0</v>
      </c>
      <c r="W23" s="46" t="n">
        <f aca="false">W7-W15</f>
        <v>0</v>
      </c>
      <c r="X23" s="46" t="n">
        <f aca="false">X7-X15</f>
        <v>0</v>
      </c>
      <c r="Y23" s="46" t="n">
        <f aca="false">Y7-Y15</f>
        <v>0</v>
      </c>
      <c r="Z23" s="47" t="n">
        <f aca="false">Z7-Z15</f>
        <v>0</v>
      </c>
      <c r="AA23" s="47" t="n">
        <f aca="false">AA7-AA15</f>
        <v>0</v>
      </c>
      <c r="AB23" s="46" t="n">
        <f aca="false">AB7-AB15</f>
        <v>0</v>
      </c>
      <c r="AC23" s="46" t="n">
        <f aca="false">AC7-AC15</f>
        <v>0</v>
      </c>
      <c r="AD23" s="46" t="n">
        <f aca="false">AD7-AD15</f>
        <v>0</v>
      </c>
      <c r="AE23" s="46" t="n">
        <f aca="false">AE7-AE15</f>
        <v>0</v>
      </c>
      <c r="AF23" s="46" t="n">
        <f aca="false">AF7-AF15</f>
        <v>0</v>
      </c>
      <c r="AG23" s="47" t="n">
        <f aca="false">AG7-AG15</f>
        <v>0</v>
      </c>
      <c r="AH23" s="47" t="n">
        <f aca="false">AH7-AH15</f>
        <v>0</v>
      </c>
      <c r="AI23" s="46" t="n">
        <f aca="false">AI7-AI15</f>
        <v>0</v>
      </c>
    </row>
    <row r="24" customFormat="false" ht="16.5" hidden="false" customHeight="true" outlineLevel="0" collapsed="false">
      <c r="A24" s="50" t="s">
        <v>168</v>
      </c>
      <c r="B24" s="45" t="n">
        <f aca="false">SUM(C24:AI24)</f>
        <v>0</v>
      </c>
      <c r="C24" s="46" t="n">
        <f aca="false">C8-C16</f>
        <v>0</v>
      </c>
      <c r="D24" s="46" t="n">
        <f aca="false">D8-D16</f>
        <v>0</v>
      </c>
      <c r="E24" s="47" t="n">
        <f aca="false">E8-E16</f>
        <v>0</v>
      </c>
      <c r="F24" s="47" t="n">
        <f aca="false">F8-F16</f>
        <v>0</v>
      </c>
      <c r="G24" s="46" t="n">
        <f aca="false">G8-G16</f>
        <v>0</v>
      </c>
      <c r="H24" s="46" t="n">
        <f aca="false">H8-H16</f>
        <v>0</v>
      </c>
      <c r="I24" s="46" t="n">
        <f aca="false">I8-I16</f>
        <v>0</v>
      </c>
      <c r="J24" s="46" t="n">
        <f aca="false">J8-J16</f>
        <v>0</v>
      </c>
      <c r="K24" s="46" t="n">
        <f aca="false">K8-K16</f>
        <v>0</v>
      </c>
      <c r="L24" s="47" t="n">
        <f aca="false">L8-L16</f>
        <v>0</v>
      </c>
      <c r="M24" s="47" t="n">
        <f aca="false">M8-M16</f>
        <v>0</v>
      </c>
      <c r="N24" s="46" t="n">
        <f aca="false">N8-N16</f>
        <v>0</v>
      </c>
      <c r="O24" s="46" t="n">
        <f aca="false">O8-O16</f>
        <v>0</v>
      </c>
      <c r="P24" s="46" t="n">
        <f aca="false">P8-P16</f>
        <v>0</v>
      </c>
      <c r="Q24" s="46" t="n">
        <f aca="false">Q8-Q16</f>
        <v>0</v>
      </c>
      <c r="R24" s="46" t="n">
        <f aca="false">R8-R16</f>
        <v>0</v>
      </c>
      <c r="S24" s="47" t="n">
        <f aca="false">S8-S16</f>
        <v>0</v>
      </c>
      <c r="T24" s="47" t="n">
        <f aca="false">T8-T16</f>
        <v>0</v>
      </c>
      <c r="U24" s="46" t="n">
        <f aca="false">U8-U16</f>
        <v>0</v>
      </c>
      <c r="V24" s="46" t="n">
        <f aca="false">V8-V16</f>
        <v>0</v>
      </c>
      <c r="W24" s="46" t="n">
        <f aca="false">W8-W16</f>
        <v>0</v>
      </c>
      <c r="X24" s="46" t="n">
        <f aca="false">X8-X16</f>
        <v>0</v>
      </c>
      <c r="Y24" s="46" t="n">
        <f aca="false">Y8-Y16</f>
        <v>0</v>
      </c>
      <c r="Z24" s="47" t="n">
        <f aca="false">Z8-Z16</f>
        <v>0</v>
      </c>
      <c r="AA24" s="47" t="n">
        <f aca="false">AA8-AA16</f>
        <v>0</v>
      </c>
      <c r="AB24" s="46" t="n">
        <f aca="false">AB8-AB16</f>
        <v>0</v>
      </c>
      <c r="AC24" s="46" t="n">
        <f aca="false">AC8-AC16</f>
        <v>0</v>
      </c>
      <c r="AD24" s="46" t="n">
        <f aca="false">AD8-AD16</f>
        <v>0</v>
      </c>
      <c r="AE24" s="46" t="n">
        <f aca="false">AE8-AE16</f>
        <v>0</v>
      </c>
      <c r="AF24" s="46" t="n">
        <f aca="false">AF8-AF16</f>
        <v>0</v>
      </c>
      <c r="AG24" s="47" t="n">
        <f aca="false">AG8-AG16</f>
        <v>0</v>
      </c>
      <c r="AH24" s="47" t="n">
        <f aca="false">AH8-AH16</f>
        <v>0</v>
      </c>
      <c r="AI24" s="46" t="n">
        <f aca="false">AI8-AI16</f>
        <v>0</v>
      </c>
    </row>
    <row r="25" customFormat="false" ht="18.75" hidden="false" customHeight="true" outlineLevel="0" collapsed="false">
      <c r="A25" s="51" t="s">
        <v>131</v>
      </c>
      <c r="B25" s="52" t="n">
        <f aca="false">SUM(C25:AI25)</f>
        <v>2</v>
      </c>
      <c r="C25" s="53" t="n">
        <f aca="false">SUM(C21:C24)</f>
        <v>0</v>
      </c>
      <c r="D25" s="53" t="n">
        <f aca="false">SUM(D21:D24)</f>
        <v>0</v>
      </c>
      <c r="E25" s="53" t="n">
        <f aca="false">SUM(E21:E24)</f>
        <v>0</v>
      </c>
      <c r="F25" s="53" t="n">
        <f aca="false">SUM(F21:F24)</f>
        <v>0</v>
      </c>
      <c r="G25" s="53" t="n">
        <f aca="false">SUM(G21:G24)</f>
        <v>0</v>
      </c>
      <c r="H25" s="53" t="n">
        <f aca="false">SUM(H21:H24)</f>
        <v>0</v>
      </c>
      <c r="I25" s="53" t="n">
        <f aca="false">SUM(I21:I24)</f>
        <v>0</v>
      </c>
      <c r="J25" s="53" t="n">
        <f aca="false">SUM(J21:J24)</f>
        <v>0</v>
      </c>
      <c r="K25" s="53" t="n">
        <f aca="false">SUM(K21:K24)</f>
        <v>1</v>
      </c>
      <c r="L25" s="53" t="n">
        <f aca="false">SUM(L21:L24)</f>
        <v>0</v>
      </c>
      <c r="M25" s="53" t="n">
        <f aca="false">SUM(M21:M24)</f>
        <v>1</v>
      </c>
      <c r="N25" s="53" t="n">
        <f aca="false">SUM(N21:N24)</f>
        <v>0</v>
      </c>
      <c r="O25" s="53" t="n">
        <f aca="false">SUM(O21:O24)</f>
        <v>0</v>
      </c>
      <c r="P25" s="53" t="n">
        <f aca="false">SUM(P21:P24)</f>
        <v>0</v>
      </c>
      <c r="Q25" s="53" t="n">
        <f aca="false">SUM(Q21:Q24)</f>
        <v>0</v>
      </c>
      <c r="R25" s="53" t="n">
        <f aca="false">SUM(R21:R24)</f>
        <v>0</v>
      </c>
      <c r="S25" s="53" t="n">
        <f aca="false">SUM(S21:S24)</f>
        <v>0</v>
      </c>
      <c r="T25" s="53" t="n">
        <f aca="false">SUM(T21:T24)</f>
        <v>0</v>
      </c>
      <c r="U25" s="53" t="n">
        <f aca="false">SUM(U21:U24)</f>
        <v>0</v>
      </c>
      <c r="V25" s="53" t="n">
        <f aca="false">SUM(V21:V24)</f>
        <v>0</v>
      </c>
      <c r="W25" s="53" t="n">
        <f aca="false">SUM(W21:W24)</f>
        <v>0</v>
      </c>
      <c r="X25" s="53" t="n">
        <f aca="false">SUM(X21:X24)</f>
        <v>0</v>
      </c>
      <c r="Y25" s="53" t="n">
        <f aca="false">SUM(Y21:Y24)</f>
        <v>0</v>
      </c>
      <c r="Z25" s="53" t="n">
        <f aca="false">SUM(Z21:Z24)</f>
        <v>0</v>
      </c>
      <c r="AA25" s="53" t="n">
        <f aca="false">SUM(AA21:AA24)</f>
        <v>0</v>
      </c>
      <c r="AB25" s="53" t="n">
        <f aca="false">SUM(AB21:AB24)</f>
        <v>0</v>
      </c>
      <c r="AC25" s="53" t="n">
        <f aca="false">SUM(AC21:AC24)</f>
        <v>0</v>
      </c>
      <c r="AD25" s="53" t="n">
        <f aca="false">SUM(AD21:AD24)</f>
        <v>0</v>
      </c>
      <c r="AE25" s="53" t="n">
        <f aca="false">SUM(AE21:AE24)</f>
        <v>0</v>
      </c>
      <c r="AF25" s="53" t="n">
        <f aca="false">SUM(AF21:AF24)</f>
        <v>0</v>
      </c>
      <c r="AG25" s="53" t="n">
        <f aca="false">SUM(AG21:AG24)</f>
        <v>0</v>
      </c>
      <c r="AH25" s="53" t="n">
        <f aca="false">SUM(AH21:AH24)</f>
        <v>0</v>
      </c>
      <c r="AI25" s="53" t="n">
        <f aca="false">SUM(AI21:AI24)</f>
        <v>0</v>
      </c>
    </row>
    <row r="27" customFormat="false" ht="15" hidden="false" customHeight="false" outlineLevel="0" collapsed="false">
      <c r="A27" s="54" t="s">
        <v>171</v>
      </c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</row>
  </sheetData>
  <mergeCells count="5">
    <mergeCell ref="A1:AI1"/>
    <mergeCell ref="A3:AI3"/>
    <mergeCell ref="A11:AI11"/>
    <mergeCell ref="A19:AI19"/>
    <mergeCell ref="A27:AI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E27" activeCellId="0" sqref="E27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7" min="3" style="1" width="11"/>
    <col collapsed="false" customWidth="true" hidden="false" outlineLevel="0" max="11" min="8" style="1" width="7"/>
    <col collapsed="false" customWidth="true" hidden="false" outlineLevel="0" max="12" min="12" style="1" width="8"/>
    <col collapsed="false" customWidth="true" hidden="false" outlineLevel="0" max="20" min="13" style="1" width="6"/>
  </cols>
  <sheetData>
    <row r="1" customFormat="false" ht="15" hidden="false" customHeight="false" outlineLevel="0" collapsed="false">
      <c r="A1" s="55" t="s">
        <v>172</v>
      </c>
      <c r="B1" s="55"/>
      <c r="C1" s="55"/>
      <c r="D1" s="55"/>
      <c r="E1" s="55"/>
      <c r="F1" s="55"/>
      <c r="G1" s="55"/>
      <c r="H1" s="55" t="s">
        <v>173</v>
      </c>
      <c r="I1" s="55"/>
      <c r="J1" s="55"/>
      <c r="K1" s="55"/>
      <c r="L1" s="55"/>
      <c r="M1" s="55" t="s">
        <v>174</v>
      </c>
      <c r="N1" s="55"/>
      <c r="O1" s="55"/>
      <c r="P1" s="55"/>
      <c r="Q1" s="55"/>
      <c r="R1" s="55"/>
      <c r="S1" s="55"/>
      <c r="T1" s="55"/>
    </row>
    <row r="2" customFormat="false" ht="30" hidden="false" customHeight="true" outlineLevel="0" collapsed="false">
      <c r="A2" s="56" t="s">
        <v>175</v>
      </c>
      <c r="B2" s="56" t="s">
        <v>176</v>
      </c>
      <c r="C2" s="56" t="s">
        <v>177</v>
      </c>
      <c r="D2" s="56" t="s">
        <v>178</v>
      </c>
      <c r="E2" s="56" t="s">
        <v>179</v>
      </c>
      <c r="F2" s="56" t="s">
        <v>180</v>
      </c>
      <c r="G2" s="56" t="s">
        <v>181</v>
      </c>
      <c r="H2" s="56" t="s">
        <v>23</v>
      </c>
      <c r="I2" s="56" t="s">
        <v>165</v>
      </c>
      <c r="J2" s="56" t="s">
        <v>166</v>
      </c>
      <c r="K2" s="56" t="s">
        <v>182</v>
      </c>
      <c r="L2" s="56" t="s">
        <v>131</v>
      </c>
      <c r="M2" s="56" t="s">
        <v>183</v>
      </c>
      <c r="N2" s="56" t="s">
        <v>184</v>
      </c>
      <c r="O2" s="56" t="s">
        <v>185</v>
      </c>
      <c r="P2" s="56" t="s">
        <v>186</v>
      </c>
      <c r="Q2" s="56" t="s">
        <v>187</v>
      </c>
      <c r="R2" s="56" t="s">
        <v>188</v>
      </c>
      <c r="S2" s="56" t="s">
        <v>189</v>
      </c>
      <c r="T2" s="56" t="s">
        <v>190</v>
      </c>
    </row>
    <row r="3" customFormat="false" ht="15" hidden="false" customHeight="false" outlineLevel="0" collapsed="false">
      <c r="A3" s="57" t="s">
        <v>191</v>
      </c>
      <c r="B3" s="58" t="s">
        <v>192</v>
      </c>
      <c r="C3" s="59"/>
      <c r="D3" s="59"/>
      <c r="E3" s="59"/>
      <c r="F3" s="59"/>
      <c r="G3" s="60" t="s">
        <v>193</v>
      </c>
      <c r="H3" s="61" t="n">
        <f aca="false">COUNTIF('Calendario Octubre 2026'!$A$5:$N$58,"MAY-Rosario")</f>
        <v>0</v>
      </c>
      <c r="I3" s="61" t="n">
        <f aca="false">COUNTIF('Calendario Octubre 2026'!$A$5:$N$58,"TX-Rosario")</f>
        <v>0</v>
      </c>
      <c r="J3" s="61" t="n">
        <f aca="false">COUNTIF('Calendario Octubre 2026'!$A$5:$N$58,"UCQ-Rosario")</f>
        <v>0</v>
      </c>
      <c r="K3" s="61" t="n">
        <f aca="false">COUNTIF('Calendario Octubre 2026'!$A$5:$N$58,"PEQ-Rosario")</f>
        <v>3</v>
      </c>
      <c r="L3" s="62" t="n">
        <f aca="false">SUM(H3:K3)</f>
        <v>3</v>
      </c>
      <c r="M3" s="60" t="n">
        <f aca="false">COUNTIF('Calendario Octubre 2026'!$B$5:$B$58,"*-Rosario")</f>
        <v>1</v>
      </c>
      <c r="N3" s="60" t="n">
        <f aca="false">COUNTIF('Calendario Octubre 2026'!$D$5:$D$58,"*-Rosario")</f>
        <v>1</v>
      </c>
      <c r="O3" s="60" t="n">
        <f aca="false">COUNTIF('Calendario Octubre 2026'!$F$5:$F$58,"*-Rosario")</f>
        <v>0</v>
      </c>
      <c r="P3" s="60" t="n">
        <f aca="false">COUNTIF('Calendario Octubre 2026'!$H$5:$H$58,"*-Rosario")</f>
        <v>0</v>
      </c>
      <c r="Q3" s="60" t="n">
        <f aca="false">COUNTIF('Calendario Octubre 2026'!$J$5:$J$58,"*-Rosario")</f>
        <v>0</v>
      </c>
      <c r="R3" s="60" t="n">
        <f aca="false">COUNTIF('Calendario Octubre 2026'!$L$5:$L$58,"*-Rosario")</f>
        <v>1</v>
      </c>
      <c r="S3" s="60" t="n">
        <f aca="false">COUNTIF('Calendario Octubre 2026'!$N$5:$N$58,"*-Rosario")</f>
        <v>0</v>
      </c>
      <c r="T3" s="60" t="n">
        <f aca="false">COUNTIF('Calendario Octubre 2026'!$B$25:$B$29,"*-Rosario")+COUNTIF('Calendario Octubre 2026'!$N$43:$N$47,"*-Rosario")+COUNTIF('Calendario Octubre 2026'!$B$52:$B$56,"*-Rosario")</f>
        <v>1</v>
      </c>
    </row>
    <row r="4" customFormat="false" ht="15" hidden="false" customHeight="false" outlineLevel="0" collapsed="false">
      <c r="A4" s="63" t="s">
        <v>194</v>
      </c>
      <c r="B4" s="64" t="s">
        <v>195</v>
      </c>
      <c r="C4" s="59"/>
      <c r="D4" s="59"/>
      <c r="E4" s="59"/>
      <c r="F4" s="59"/>
      <c r="G4" s="65" t="s">
        <v>193</v>
      </c>
      <c r="H4" s="61" t="n">
        <f aca="false">COUNTIF('Calendario Octubre 2026'!$A$5:$N$58,"MAY-Cristina")</f>
        <v>0</v>
      </c>
      <c r="I4" s="61" t="n">
        <f aca="false">COUNTIF('Calendario Octubre 2026'!$A$5:$N$58,"TX-Cristina")</f>
        <v>0</v>
      </c>
      <c r="J4" s="61" t="n">
        <f aca="false">COUNTIF('Calendario Octubre 2026'!$A$5:$N$58,"UCQ-Cristina")</f>
        <v>0</v>
      </c>
      <c r="K4" s="61" t="n">
        <f aca="false">COUNTIF('Calendario Octubre 2026'!$A$5:$N$58,"PEQ-Cristina")</f>
        <v>3</v>
      </c>
      <c r="L4" s="62" t="n">
        <f aca="false">SUM(H4:K4)</f>
        <v>3</v>
      </c>
      <c r="M4" s="60" t="n">
        <f aca="false">COUNTIF('Calendario Octubre 2026'!$B$5:$B$58,"*-Cristina")</f>
        <v>1</v>
      </c>
      <c r="N4" s="60" t="n">
        <f aca="false">COUNTIF('Calendario Octubre 2026'!$D$5:$D$58,"*-Cristina")</f>
        <v>0</v>
      </c>
      <c r="O4" s="60" t="n">
        <f aca="false">COUNTIF('Calendario Octubre 2026'!$F$5:$F$58,"*-Cristina")</f>
        <v>0</v>
      </c>
      <c r="P4" s="60" t="n">
        <f aca="false">COUNTIF('Calendario Octubre 2026'!$H$5:$H$58,"*-Cristina")</f>
        <v>1</v>
      </c>
      <c r="Q4" s="60" t="n">
        <f aca="false">COUNTIF('Calendario Octubre 2026'!$J$5:$J$58,"*-Cristina")</f>
        <v>0</v>
      </c>
      <c r="R4" s="60" t="n">
        <f aca="false">COUNTIF('Calendario Octubre 2026'!$L$5:$L$58,"*-Cristina")</f>
        <v>1</v>
      </c>
      <c r="S4" s="60" t="n">
        <f aca="false">COUNTIF('Calendario Octubre 2026'!$N$5:$N$58,"*-Cristina")</f>
        <v>0</v>
      </c>
      <c r="T4" s="60" t="n">
        <f aca="false">COUNTIF('Calendario Octubre 2026'!$B$25:$B$29,"*-Cristina")+COUNTIF('Calendario Octubre 2026'!$N$43:$N$47,"*-Cristina")+COUNTIF('Calendario Octubre 2026'!$B$52:$B$56,"*-Cristina")</f>
        <v>0</v>
      </c>
    </row>
    <row r="5" customFormat="false" ht="15" hidden="false" customHeight="false" outlineLevel="0" collapsed="false">
      <c r="A5" s="57" t="s">
        <v>196</v>
      </c>
      <c r="B5" s="58" t="s">
        <v>197</v>
      </c>
      <c r="C5" s="59"/>
      <c r="D5" s="59"/>
      <c r="E5" s="59"/>
      <c r="F5" s="59"/>
      <c r="G5" s="60" t="s">
        <v>198</v>
      </c>
      <c r="H5" s="61" t="n">
        <f aca="false">COUNTIF('Calendario Octubre 2026'!$A$5:$N$58,"MAY-Miriam")</f>
        <v>0</v>
      </c>
      <c r="I5" s="61" t="n">
        <f aca="false">COUNTIF('Calendario Octubre 2026'!$A$5:$N$58,"TX-Miriam")</f>
        <v>0</v>
      </c>
      <c r="J5" s="61" t="n">
        <f aca="false">COUNTIF('Calendario Octubre 2026'!$A$5:$N$58,"UCQ-Miriam")</f>
        <v>0</v>
      </c>
      <c r="K5" s="61" t="n">
        <f aca="false">COUNTIF('Calendario Octubre 2026'!$A$5:$N$58,"PEQ-Miriam")</f>
        <v>3</v>
      </c>
      <c r="L5" s="62" t="n">
        <f aca="false">SUM(H5:K5)</f>
        <v>3</v>
      </c>
      <c r="M5" s="60" t="n">
        <f aca="false">COUNTIF('Calendario Octubre 2026'!$B$5:$B$58,"*-Miriam")</f>
        <v>0</v>
      </c>
      <c r="N5" s="60" t="n">
        <f aca="false">COUNTIF('Calendario Octubre 2026'!$D$5:$D$58,"*-Miriam")</f>
        <v>0</v>
      </c>
      <c r="O5" s="60" t="n">
        <f aca="false">COUNTIF('Calendario Octubre 2026'!$F$5:$F$58,"*-Miriam")</f>
        <v>1</v>
      </c>
      <c r="P5" s="60" t="n">
        <f aca="false">COUNTIF('Calendario Octubre 2026'!$H$5:$H$58,"*-Miriam")</f>
        <v>0</v>
      </c>
      <c r="Q5" s="60" t="n">
        <f aca="false">COUNTIF('Calendario Octubre 2026'!$J$5:$J$58,"*-Miriam")</f>
        <v>1</v>
      </c>
      <c r="R5" s="60" t="n">
        <f aca="false">COUNTIF('Calendario Octubre 2026'!$L$5:$L$58,"*-Miriam")</f>
        <v>0</v>
      </c>
      <c r="S5" s="60" t="n">
        <f aca="false">COUNTIF('Calendario Octubre 2026'!$N$5:$N$58,"*-Miriam")</f>
        <v>1</v>
      </c>
      <c r="T5" s="60" t="n">
        <f aca="false">COUNTIF('Calendario Octubre 2026'!$B$25:$B$29,"*-Miriam")+COUNTIF('Calendario Octubre 2026'!$N$43:$N$47,"*-Miriam")+COUNTIF('Calendario Octubre 2026'!$B$52:$B$56,"*-Miriam")</f>
        <v>1</v>
      </c>
    </row>
    <row r="6" customFormat="false" ht="15" hidden="false" customHeight="false" outlineLevel="0" collapsed="false">
      <c r="A6" s="63" t="s">
        <v>199</v>
      </c>
      <c r="B6" s="64" t="s">
        <v>200</v>
      </c>
      <c r="C6" s="59"/>
      <c r="D6" s="59"/>
      <c r="E6" s="59"/>
      <c r="F6" s="59"/>
      <c r="G6" s="65" t="s">
        <v>193</v>
      </c>
      <c r="H6" s="61" t="n">
        <f aca="false">COUNTIF('Calendario Octubre 2026'!$A$5:$N$58,"MAY-David")</f>
        <v>0</v>
      </c>
      <c r="I6" s="61" t="n">
        <f aca="false">COUNTIF('Calendario Octubre 2026'!$A$5:$N$58,"TX-David")</f>
        <v>0</v>
      </c>
      <c r="J6" s="61" t="n">
        <f aca="false">COUNTIF('Calendario Octubre 2026'!$A$5:$N$58,"UCQ-David")</f>
        <v>0</v>
      </c>
      <c r="K6" s="61" t="n">
        <f aca="false">COUNTIF('Calendario Octubre 2026'!$A$5:$N$58,"PEQ-David")</f>
        <v>3</v>
      </c>
      <c r="L6" s="62" t="n">
        <f aca="false">SUM(H6:K6)</f>
        <v>3</v>
      </c>
      <c r="M6" s="60" t="n">
        <f aca="false">COUNTIF('Calendario Octubre 2026'!$B$5:$B$58,"*-David")</f>
        <v>0</v>
      </c>
      <c r="N6" s="60" t="n">
        <f aca="false">COUNTIF('Calendario Octubre 2026'!$D$5:$D$58,"*-David")</f>
        <v>0</v>
      </c>
      <c r="O6" s="60" t="n">
        <f aca="false">COUNTIF('Calendario Octubre 2026'!$F$5:$F$58,"*-David")</f>
        <v>0</v>
      </c>
      <c r="P6" s="60" t="n">
        <f aca="false">COUNTIF('Calendario Octubre 2026'!$H$5:$H$58,"*-David")</f>
        <v>1</v>
      </c>
      <c r="Q6" s="60" t="n">
        <f aca="false">COUNTIF('Calendario Octubre 2026'!$J$5:$J$58,"*-David")</f>
        <v>1</v>
      </c>
      <c r="R6" s="60" t="n">
        <f aca="false">COUNTIF('Calendario Octubre 2026'!$L$5:$L$58,"*-David")</f>
        <v>0</v>
      </c>
      <c r="S6" s="60" t="n">
        <f aca="false">COUNTIF('Calendario Octubre 2026'!$N$5:$N$58,"*-David")</f>
        <v>1</v>
      </c>
      <c r="T6" s="60" t="n">
        <f aca="false">COUNTIF('Calendario Octubre 2026'!$B$25:$B$29,"*-David")+COUNTIF('Calendario Octubre 2026'!$N$43:$N$47,"*-David")+COUNTIF('Calendario Octubre 2026'!$B$52:$B$56,"*-David")</f>
        <v>0</v>
      </c>
    </row>
    <row r="7" customFormat="false" ht="15" hidden="false" customHeight="false" outlineLevel="0" collapsed="false">
      <c r="A7" s="57" t="s">
        <v>201</v>
      </c>
      <c r="B7" s="58" t="s">
        <v>202</v>
      </c>
      <c r="C7" s="59"/>
      <c r="D7" s="59"/>
      <c r="E7" s="59"/>
      <c r="F7" s="59"/>
      <c r="G7" s="60" t="s">
        <v>193</v>
      </c>
      <c r="H7" s="61" t="n">
        <f aca="false">COUNTIF('Calendario Octubre 2026'!$A$5:$N$58,"MAY-Mercedes")</f>
        <v>0</v>
      </c>
      <c r="I7" s="61" t="n">
        <f aca="false">COUNTIF('Calendario Octubre 2026'!$A$5:$N$58,"TX-Mercedes")</f>
        <v>0</v>
      </c>
      <c r="J7" s="61" t="n">
        <f aca="false">COUNTIF('Calendario Octubre 2026'!$A$5:$N$58,"UCQ-Mercedes")</f>
        <v>0</v>
      </c>
      <c r="K7" s="61" t="n">
        <f aca="false">COUNTIF('Calendario Octubre 2026'!$A$5:$N$58,"PEQ-Mercedes")</f>
        <v>3</v>
      </c>
      <c r="L7" s="62" t="n">
        <f aca="false">SUM(H7:K7)</f>
        <v>3</v>
      </c>
      <c r="M7" s="60" t="n">
        <f aca="false">COUNTIF('Calendario Octubre 2026'!$B$5:$B$58,"*-Mercedes")</f>
        <v>1</v>
      </c>
      <c r="N7" s="60" t="n">
        <f aca="false">COUNTIF('Calendario Octubre 2026'!$D$5:$D$58,"*-Mercedes")</f>
        <v>1</v>
      </c>
      <c r="O7" s="60" t="n">
        <f aca="false">COUNTIF('Calendario Octubre 2026'!$F$5:$F$58,"*-Mercedes")</f>
        <v>0</v>
      </c>
      <c r="P7" s="60" t="n">
        <f aca="false">COUNTIF('Calendario Octubre 2026'!$H$5:$H$58,"*-Mercedes")</f>
        <v>0</v>
      </c>
      <c r="Q7" s="60" t="n">
        <f aca="false">COUNTIF('Calendario Octubre 2026'!$J$5:$J$58,"*-Mercedes")</f>
        <v>0</v>
      </c>
      <c r="R7" s="60" t="n">
        <f aca="false">COUNTIF('Calendario Octubre 2026'!$L$5:$L$58,"*-Mercedes")</f>
        <v>1</v>
      </c>
      <c r="S7" s="60" t="n">
        <f aca="false">COUNTIF('Calendario Octubre 2026'!$N$5:$N$58,"*-Mercedes")</f>
        <v>0</v>
      </c>
      <c r="T7" s="60" t="n">
        <f aca="false">COUNTIF('Calendario Octubre 2026'!$B$25:$B$29,"*-Mercedes")+COUNTIF('Calendario Octubre 2026'!$N$43:$N$47,"*-Mercedes")+COUNTIF('Calendario Octubre 2026'!$B$52:$B$56,"*-Mercedes")</f>
        <v>1</v>
      </c>
    </row>
    <row r="8" customFormat="false" ht="15" hidden="false" customHeight="false" outlineLevel="0" collapsed="false">
      <c r="A8" s="63" t="s">
        <v>203</v>
      </c>
      <c r="B8" s="64" t="s">
        <v>204</v>
      </c>
      <c r="C8" s="59"/>
      <c r="D8" s="59"/>
      <c r="E8" s="59"/>
      <c r="F8" s="59"/>
      <c r="G8" s="65" t="s">
        <v>193</v>
      </c>
      <c r="H8" s="61" t="n">
        <f aca="false">COUNTIF('Calendario Octubre 2026'!$A$5:$N$58,"MAY-Arturo")</f>
        <v>0</v>
      </c>
      <c r="I8" s="61" t="n">
        <f aca="false">COUNTIF('Calendario Octubre 2026'!$A$5:$N$58,"TX-Arturo")</f>
        <v>0</v>
      </c>
      <c r="J8" s="61" t="n">
        <f aca="false">COUNTIF('Calendario Octubre 2026'!$A$5:$N$58,"UCQ-Arturo")</f>
        <v>0</v>
      </c>
      <c r="K8" s="61" t="n">
        <f aca="false">COUNTIF('Calendario Octubre 2026'!$A$5:$N$58,"PEQ-Arturo")</f>
        <v>3</v>
      </c>
      <c r="L8" s="62" t="n">
        <f aca="false">SUM(H8:K8)</f>
        <v>3</v>
      </c>
      <c r="M8" s="60" t="n">
        <f aca="false">COUNTIF('Calendario Octubre 2026'!$B$5:$B$58,"*-Arturo")</f>
        <v>0</v>
      </c>
      <c r="N8" s="60" t="n">
        <f aca="false">COUNTIF('Calendario Octubre 2026'!$D$5:$D$58,"*-Arturo")</f>
        <v>1</v>
      </c>
      <c r="O8" s="60" t="n">
        <f aca="false">COUNTIF('Calendario Octubre 2026'!$F$5:$F$58,"*-Arturo")</f>
        <v>1</v>
      </c>
      <c r="P8" s="60" t="n">
        <f aca="false">COUNTIF('Calendario Octubre 2026'!$H$5:$H$58,"*-Arturo")</f>
        <v>0</v>
      </c>
      <c r="Q8" s="60" t="n">
        <f aca="false">COUNTIF('Calendario Octubre 2026'!$J$5:$J$58,"*-Arturo")</f>
        <v>0</v>
      </c>
      <c r="R8" s="60" t="n">
        <f aca="false">COUNTIF('Calendario Octubre 2026'!$L$5:$L$58,"*-Arturo")</f>
        <v>1</v>
      </c>
      <c r="S8" s="60" t="n">
        <f aca="false">COUNTIF('Calendario Octubre 2026'!$N$5:$N$58,"*-Arturo")</f>
        <v>0</v>
      </c>
      <c r="T8" s="60" t="n">
        <f aca="false">COUNTIF('Calendario Octubre 2026'!$B$25:$B$29,"*-Arturo")+COUNTIF('Calendario Octubre 2026'!$N$43:$N$47,"*-Arturo")+COUNTIF('Calendario Octubre 2026'!$B$52:$B$56,"*-Arturo")</f>
        <v>0</v>
      </c>
    </row>
    <row r="9" customFormat="false" ht="15" hidden="false" customHeight="false" outlineLevel="0" collapsed="false">
      <c r="A9" s="57" t="s">
        <v>205</v>
      </c>
      <c r="B9" s="58" t="s">
        <v>206</v>
      </c>
      <c r="C9" s="59"/>
      <c r="D9" s="59"/>
      <c r="E9" s="59"/>
      <c r="F9" s="59"/>
      <c r="G9" s="60" t="s">
        <v>193</v>
      </c>
      <c r="H9" s="61" t="n">
        <f aca="false">COUNTIF('Calendario Octubre 2026'!$A$5:$N$58,"MAY-Aitor")</f>
        <v>0</v>
      </c>
      <c r="I9" s="61" t="n">
        <f aca="false">COUNTIF('Calendario Octubre 2026'!$A$5:$N$58,"TX-Aitor")</f>
        <v>0</v>
      </c>
      <c r="J9" s="61" t="n">
        <f aca="false">COUNTIF('Calendario Octubre 2026'!$A$5:$N$58,"UCQ-Aitor")</f>
        <v>0</v>
      </c>
      <c r="K9" s="61" t="n">
        <f aca="false">COUNTIF('Calendario Octubre 2026'!$A$5:$N$58,"PEQ-Aitor")</f>
        <v>2</v>
      </c>
      <c r="L9" s="62" t="n">
        <f aca="false">SUM(H9:K9)</f>
        <v>2</v>
      </c>
      <c r="M9" s="60" t="n">
        <f aca="false">COUNTIF('Calendario Octubre 2026'!$B$5:$B$58,"*-Aitor")</f>
        <v>0</v>
      </c>
      <c r="N9" s="60" t="n">
        <f aca="false">COUNTIF('Calendario Octubre 2026'!$D$5:$D$58,"*-Aitor")</f>
        <v>0</v>
      </c>
      <c r="O9" s="60" t="n">
        <f aca="false">COUNTIF('Calendario Octubre 2026'!$F$5:$F$58,"*-Aitor")</f>
        <v>0</v>
      </c>
      <c r="P9" s="60" t="n">
        <f aca="false">COUNTIF('Calendario Octubre 2026'!$H$5:$H$58,"*-Aitor")</f>
        <v>0</v>
      </c>
      <c r="Q9" s="60" t="n">
        <f aca="false">COUNTIF('Calendario Octubre 2026'!$J$5:$J$58,"*-Aitor")</f>
        <v>1</v>
      </c>
      <c r="R9" s="60" t="n">
        <f aca="false">COUNTIF('Calendario Octubre 2026'!$L$5:$L$58,"*-Aitor")</f>
        <v>0</v>
      </c>
      <c r="S9" s="60" t="n">
        <f aca="false">COUNTIF('Calendario Octubre 2026'!$N$5:$N$58,"*-Aitor")</f>
        <v>1</v>
      </c>
      <c r="T9" s="60" t="n">
        <f aca="false">COUNTIF('Calendario Octubre 2026'!$B$25:$B$29,"*-Aitor")+COUNTIF('Calendario Octubre 2026'!$N$43:$N$47,"*-Aitor")+COUNTIF('Calendario Octubre 2026'!$B$52:$B$56,"*-Aitor")</f>
        <v>0</v>
      </c>
    </row>
    <row r="10" customFormat="false" ht="15" hidden="false" customHeight="false" outlineLevel="0" collapsed="false">
      <c r="A10" s="63" t="s">
        <v>207</v>
      </c>
      <c r="B10" s="64" t="s">
        <v>208</v>
      </c>
      <c r="C10" s="59"/>
      <c r="D10" s="59"/>
      <c r="E10" s="66"/>
      <c r="F10" s="59"/>
      <c r="G10" s="67" t="s">
        <v>193</v>
      </c>
      <c r="H10" s="61" t="n">
        <f aca="false">COUNTIF('Calendario Octubre 2026'!$A$5:$N$58,"MAY-Fatima")</f>
        <v>0</v>
      </c>
      <c r="I10" s="61" t="n">
        <f aca="false">COUNTIF('Calendario Octubre 2026'!$A$5:$N$58,"TX-Fatima")</f>
        <v>0</v>
      </c>
      <c r="J10" s="61" t="n">
        <f aca="false">COUNTIF('Calendario Octubre 2026'!$A$5:$N$58,"UCQ-Fatima")</f>
        <v>0</v>
      </c>
      <c r="K10" s="61" t="n">
        <f aca="false">COUNTIF('Calendario Octubre 2026'!$A$5:$N$58,"PEQ-Fatima")</f>
        <v>3</v>
      </c>
      <c r="L10" s="62" t="n">
        <f aca="false">SUM(H10:K10)</f>
        <v>3</v>
      </c>
      <c r="M10" s="60" t="n">
        <f aca="false">COUNTIF('Calendario Octubre 2026'!$B$5:$B$58,"*-Fatima")</f>
        <v>0</v>
      </c>
      <c r="N10" s="60" t="n">
        <f aca="false">COUNTIF('Calendario Octubre 2026'!$D$5:$D$58,"*-Fatima")</f>
        <v>0</v>
      </c>
      <c r="O10" s="60" t="n">
        <f aca="false">COUNTIF('Calendario Octubre 2026'!$F$5:$F$58,"*-Fatima")</f>
        <v>1</v>
      </c>
      <c r="P10" s="60" t="n">
        <f aca="false">COUNTIF('Calendario Octubre 2026'!$H$5:$H$58,"*-Fatima")</f>
        <v>0</v>
      </c>
      <c r="Q10" s="60" t="n">
        <f aca="false">COUNTIF('Calendario Octubre 2026'!$J$5:$J$58,"*-Fatima")</f>
        <v>1</v>
      </c>
      <c r="R10" s="60" t="n">
        <f aca="false">COUNTIF('Calendario Octubre 2026'!$L$5:$L$58,"*-Fatima")</f>
        <v>0</v>
      </c>
      <c r="S10" s="60" t="n">
        <f aca="false">COUNTIF('Calendario Octubre 2026'!$N$5:$N$58,"*-Fatima")</f>
        <v>1</v>
      </c>
      <c r="T10" s="60" t="n">
        <f aca="false">COUNTIF('Calendario Octubre 2026'!$B$25:$B$29,"*-Fatima")+COUNTIF('Calendario Octubre 2026'!$N$43:$N$47,"*-Fatima")+COUNTIF('Calendario Octubre 2026'!$B$52:$B$56,"*-Fatima")</f>
        <v>0</v>
      </c>
    </row>
    <row r="11" customFormat="false" ht="15" hidden="false" customHeight="false" outlineLevel="0" collapsed="false">
      <c r="A11" s="57" t="s">
        <v>209</v>
      </c>
      <c r="B11" s="58" t="s">
        <v>210</v>
      </c>
      <c r="C11" s="59" t="n">
        <v>6</v>
      </c>
      <c r="D11" s="59"/>
      <c r="E11" s="59"/>
      <c r="F11" s="68" t="s">
        <v>211</v>
      </c>
      <c r="G11" s="59" t="n">
        <v>0</v>
      </c>
      <c r="H11" s="61" t="n">
        <f aca="false">COUNTIF('Calendario Octubre 2026'!$A$5:$N$58,"MAY-Tania")</f>
        <v>0</v>
      </c>
      <c r="I11" s="61" t="n">
        <f aca="false">COUNTIF('Calendario Octubre 2026'!$A$5:$N$58,"TX-Tania")</f>
        <v>0</v>
      </c>
      <c r="J11" s="61" t="n">
        <f aca="false">COUNTIF('Calendario Octubre 2026'!$A$5:$N$58,"UCQ-Tania")</f>
        <v>7</v>
      </c>
      <c r="K11" s="61" t="n">
        <f aca="false">COUNTIF('Calendario Octubre 2026'!$A$5:$N$58,"PEQ-Tania")</f>
        <v>1</v>
      </c>
      <c r="L11" s="62" t="n">
        <f aca="false">SUM(H11:K11)</f>
        <v>8</v>
      </c>
      <c r="M11" s="60" t="n">
        <f aca="false">COUNTIF('Calendario Octubre 2026'!$B$5:$B$58,"*-Tania")</f>
        <v>2</v>
      </c>
      <c r="N11" s="60" t="n">
        <f aca="false">COUNTIF('Calendario Octubre 2026'!$D$5:$D$58,"*-Tania")</f>
        <v>2</v>
      </c>
      <c r="O11" s="60" t="n">
        <f aca="false">COUNTIF('Calendario Octubre 2026'!$F$5:$F$58,"*-Tania")</f>
        <v>1</v>
      </c>
      <c r="P11" s="60" t="n">
        <f aca="false">COUNTIF('Calendario Octubre 2026'!$H$5:$H$58,"*-Tania")</f>
        <v>0</v>
      </c>
      <c r="Q11" s="60" t="n">
        <f aca="false">COUNTIF('Calendario Octubre 2026'!$J$5:$J$58,"*-Tania")</f>
        <v>1</v>
      </c>
      <c r="R11" s="60" t="n">
        <f aca="false">COUNTIF('Calendario Octubre 2026'!$L$5:$L$58,"*-Tania")</f>
        <v>1</v>
      </c>
      <c r="S11" s="60" t="n">
        <f aca="false">COUNTIF('Calendario Octubre 2026'!$N$5:$N$58,"*-Tania")</f>
        <v>1</v>
      </c>
      <c r="T11" s="60" t="n">
        <f aca="false">COUNTIF('Calendario Octubre 2026'!$B$25:$B$29,"*-Tania")+COUNTIF('Calendario Octubre 2026'!$N$43:$N$47,"*-Tania")+COUNTIF('Calendario Octubre 2026'!$B$52:$B$56,"*-Tania")</f>
        <v>1</v>
      </c>
    </row>
    <row r="12" customFormat="false" ht="15" hidden="false" customHeight="false" outlineLevel="0" collapsed="false">
      <c r="A12" s="63" t="s">
        <v>212</v>
      </c>
      <c r="B12" s="64" t="s">
        <v>213</v>
      </c>
      <c r="C12" s="59" t="n">
        <v>6</v>
      </c>
      <c r="D12" s="59"/>
      <c r="E12" s="59"/>
      <c r="F12" s="67" t="s">
        <v>214</v>
      </c>
      <c r="G12" s="59"/>
      <c r="H12" s="61" t="n">
        <f aca="false">COUNTIF('Calendario Octubre 2026'!$A$5:$N$58,"MAY-Asis")</f>
        <v>0</v>
      </c>
      <c r="I12" s="61" t="n">
        <f aca="false">COUNTIF('Calendario Octubre 2026'!$A$5:$N$58,"TX-Asis")</f>
        <v>0</v>
      </c>
      <c r="J12" s="61" t="n">
        <f aca="false">COUNTIF('Calendario Octubre 2026'!$A$5:$N$58,"UCQ-Asis")</f>
        <v>0</v>
      </c>
      <c r="K12" s="61" t="n">
        <f aca="false">COUNTIF('Calendario Octubre 2026'!$A$5:$N$58,"PEQ-Asis")</f>
        <v>8</v>
      </c>
      <c r="L12" s="62" t="n">
        <f aca="false">SUM(H12:K12)</f>
        <v>8</v>
      </c>
      <c r="M12" s="60" t="n">
        <f aca="false">COUNTIF('Calendario Octubre 2026'!$B$5:$B$58,"*-Asis")</f>
        <v>2</v>
      </c>
      <c r="N12" s="60" t="n">
        <f aca="false">COUNTIF('Calendario Octubre 2026'!$D$5:$D$58,"*-Asis")</f>
        <v>0</v>
      </c>
      <c r="O12" s="60" t="n">
        <f aca="false">COUNTIF('Calendario Octubre 2026'!$F$5:$F$58,"*-Asis")</f>
        <v>3</v>
      </c>
      <c r="P12" s="60" t="n">
        <f aca="false">COUNTIF('Calendario Octubre 2026'!$H$5:$H$58,"*-Asis")</f>
        <v>0</v>
      </c>
      <c r="Q12" s="60" t="n">
        <f aca="false">COUNTIF('Calendario Octubre 2026'!$J$5:$J$58,"*-Asis")</f>
        <v>1</v>
      </c>
      <c r="R12" s="60" t="n">
        <f aca="false">COUNTIF('Calendario Octubre 2026'!$L$5:$L$58,"*-Asis")</f>
        <v>1</v>
      </c>
      <c r="S12" s="60" t="n">
        <f aca="false">COUNTIF('Calendario Octubre 2026'!$N$5:$N$58,"*-Asis")</f>
        <v>1</v>
      </c>
      <c r="T12" s="60" t="n">
        <f aca="false">COUNTIF('Calendario Octubre 2026'!$B$25:$B$29,"*-Asis")+COUNTIF('Calendario Octubre 2026'!$N$43:$N$47,"*-Asis")+COUNTIF('Calendario Octubre 2026'!$B$52:$B$56,"*-Asis")</f>
        <v>1</v>
      </c>
    </row>
    <row r="13" customFormat="false" ht="15" hidden="false" customHeight="false" outlineLevel="0" collapsed="false">
      <c r="A13" s="57" t="s">
        <v>215</v>
      </c>
      <c r="B13" s="58" t="s">
        <v>216</v>
      </c>
      <c r="C13" s="59" t="n">
        <v>6</v>
      </c>
      <c r="D13" s="59"/>
      <c r="E13" s="59"/>
      <c r="F13" s="68" t="s">
        <v>211</v>
      </c>
      <c r="G13" s="59" t="n">
        <v>0</v>
      </c>
      <c r="H13" s="61" t="n">
        <f aca="false">COUNTIF('Calendario Octubre 2026'!$A$5:$N$58,"MAY-PatriciaR2")</f>
        <v>0</v>
      </c>
      <c r="I13" s="61" t="n">
        <f aca="false">COUNTIF('Calendario Octubre 2026'!$A$5:$N$58,"TX-PatriciaR2")</f>
        <v>0</v>
      </c>
      <c r="J13" s="61" t="n">
        <f aca="false">COUNTIF('Calendario Octubre 2026'!$A$5:$N$58,"UCQ-PatriciaR2")</f>
        <v>7</v>
      </c>
      <c r="K13" s="61" t="n">
        <f aca="false">COUNTIF('Calendario Octubre 2026'!$A$5:$N$58,"PEQ-PatriciaR2")</f>
        <v>1</v>
      </c>
      <c r="L13" s="62" t="n">
        <f aca="false">SUM(H13:K13)</f>
        <v>8</v>
      </c>
      <c r="M13" s="60" t="n">
        <f aca="false">COUNTIF('Calendario Octubre 2026'!$B$5:$B$58,"*-PatriciaR2")</f>
        <v>2</v>
      </c>
      <c r="N13" s="60" t="n">
        <f aca="false">COUNTIF('Calendario Octubre 2026'!$D$5:$D$58,"*-PatriciaR2")</f>
        <v>1</v>
      </c>
      <c r="O13" s="60" t="n">
        <f aca="false">COUNTIF('Calendario Octubre 2026'!$F$5:$F$58,"*-PatriciaR2")</f>
        <v>2</v>
      </c>
      <c r="P13" s="60" t="n">
        <f aca="false">COUNTIF('Calendario Octubre 2026'!$H$5:$H$58,"*-PatriciaR2")</f>
        <v>0</v>
      </c>
      <c r="Q13" s="60" t="n">
        <f aca="false">COUNTIF('Calendario Octubre 2026'!$J$5:$J$58,"*-PatriciaR2")</f>
        <v>1</v>
      </c>
      <c r="R13" s="60" t="n">
        <f aca="false">COUNTIF('Calendario Octubre 2026'!$L$5:$L$58,"*-PatriciaR2")</f>
        <v>1</v>
      </c>
      <c r="S13" s="60" t="n">
        <f aca="false">COUNTIF('Calendario Octubre 2026'!$N$5:$N$58,"*-PatriciaR2")</f>
        <v>1</v>
      </c>
      <c r="T13" s="60" t="n">
        <f aca="false">COUNTIF('Calendario Octubre 2026'!$B$25:$B$29,"*-PatriciaR2")+COUNTIF('Calendario Octubre 2026'!$N$43:$N$47,"*-PatriciaR2")+COUNTIF('Calendario Octubre 2026'!$B$52:$B$56,"*-PatriciaR2")</f>
        <v>1</v>
      </c>
    </row>
    <row r="14" customFormat="false" ht="15" hidden="false" customHeight="false" outlineLevel="0" collapsed="false">
      <c r="A14" s="63" t="s">
        <v>217</v>
      </c>
      <c r="B14" s="64" t="s">
        <v>218</v>
      </c>
      <c r="C14" s="59" t="n">
        <v>6</v>
      </c>
      <c r="D14" s="59"/>
      <c r="E14" s="59"/>
      <c r="F14" s="67" t="s">
        <v>214</v>
      </c>
      <c r="G14" s="69"/>
      <c r="H14" s="61" t="n">
        <f aca="false">COUNTIF('Calendario Octubre 2026'!$A$5:$N$58,"MAY-Eva")</f>
        <v>0</v>
      </c>
      <c r="I14" s="61" t="n">
        <f aca="false">COUNTIF('Calendario Octubre 2026'!$A$5:$N$58,"TX-Eva")</f>
        <v>0</v>
      </c>
      <c r="J14" s="61" t="n">
        <f aca="false">COUNTIF('Calendario Octubre 2026'!$A$5:$N$58,"UCQ-Eva")</f>
        <v>1</v>
      </c>
      <c r="K14" s="61" t="n">
        <f aca="false">COUNTIF('Calendario Octubre 2026'!$A$5:$N$58,"PEQ-Eva")</f>
        <v>7</v>
      </c>
      <c r="L14" s="62" t="n">
        <f aca="false">SUM(H14:K14)</f>
        <v>8</v>
      </c>
      <c r="M14" s="60" t="n">
        <f aca="false">COUNTIF('Calendario Octubre 2026'!$B$5:$B$58,"*-Eva")</f>
        <v>0</v>
      </c>
      <c r="N14" s="60" t="n">
        <f aca="false">COUNTIF('Calendario Octubre 2026'!$D$5:$D$58,"*-Eva")</f>
        <v>1</v>
      </c>
      <c r="O14" s="60" t="n">
        <f aca="false">COUNTIF('Calendario Octubre 2026'!$F$5:$F$58,"*-Eva")</f>
        <v>0</v>
      </c>
      <c r="P14" s="60" t="n">
        <f aca="false">COUNTIF('Calendario Octubre 2026'!$H$5:$H$58,"*-Eva")</f>
        <v>3</v>
      </c>
      <c r="Q14" s="60" t="n">
        <f aca="false">COUNTIF('Calendario Octubre 2026'!$J$5:$J$58,"*-Eva")</f>
        <v>1</v>
      </c>
      <c r="R14" s="60" t="n">
        <f aca="false">COUNTIF('Calendario Octubre 2026'!$L$5:$L$58,"*-Eva")</f>
        <v>2</v>
      </c>
      <c r="S14" s="60" t="n">
        <f aca="false">COUNTIF('Calendario Octubre 2026'!$N$5:$N$58,"*-Eva")</f>
        <v>1</v>
      </c>
      <c r="T14" s="60" t="n">
        <f aca="false">COUNTIF('Calendario Octubre 2026'!$B$25:$B$29,"*-Eva")+COUNTIF('Calendario Octubre 2026'!$N$43:$N$47,"*-Eva")+COUNTIF('Calendario Octubre 2026'!$B$52:$B$56,"*-Eva")</f>
        <v>0</v>
      </c>
    </row>
    <row r="15" customFormat="false" ht="15" hidden="false" customHeight="false" outlineLevel="0" collapsed="false">
      <c r="A15" s="57" t="s">
        <v>219</v>
      </c>
      <c r="B15" s="58" t="s">
        <v>220</v>
      </c>
      <c r="C15" s="59" t="n">
        <v>6</v>
      </c>
      <c r="D15" s="59"/>
      <c r="E15" s="59"/>
      <c r="F15" s="68" t="s">
        <v>214</v>
      </c>
      <c r="G15" s="59"/>
      <c r="H15" s="61" t="n">
        <f aca="false">COUNTIF('Calendario Octubre 2026'!$A$5:$N$58,"MAY-Emilio")</f>
        <v>0</v>
      </c>
      <c r="I15" s="61" t="n">
        <f aca="false">COUNTIF('Calendario Octubre 2026'!$A$5:$N$58,"TX-Emilio")</f>
        <v>0</v>
      </c>
      <c r="J15" s="61" t="n">
        <f aca="false">COUNTIF('Calendario Octubre 2026'!$A$5:$N$58,"UCQ-Emilio")</f>
        <v>3</v>
      </c>
      <c r="K15" s="61" t="n">
        <f aca="false">COUNTIF('Calendario Octubre 2026'!$A$5:$N$58,"PEQ-Emilio")</f>
        <v>5</v>
      </c>
      <c r="L15" s="62" t="n">
        <f aca="false">SUM(H15:K15)</f>
        <v>8</v>
      </c>
      <c r="M15" s="60" t="n">
        <f aca="false">COUNTIF('Calendario Octubre 2026'!$B$5:$B$58,"*-Emilio")</f>
        <v>0</v>
      </c>
      <c r="N15" s="60" t="n">
        <f aca="false">COUNTIF('Calendario Octubre 2026'!$D$5:$D$58,"*-Emilio")</f>
        <v>2</v>
      </c>
      <c r="O15" s="60" t="n">
        <f aca="false">COUNTIF('Calendario Octubre 2026'!$F$5:$F$58,"*-Emilio")</f>
        <v>0</v>
      </c>
      <c r="P15" s="60" t="n">
        <f aca="false">COUNTIF('Calendario Octubre 2026'!$H$5:$H$58,"*-Emilio")</f>
        <v>3</v>
      </c>
      <c r="Q15" s="60" t="n">
        <f aca="false">COUNTIF('Calendario Octubre 2026'!$J$5:$J$58,"*-Emilio")</f>
        <v>1</v>
      </c>
      <c r="R15" s="60" t="n">
        <f aca="false">COUNTIF('Calendario Octubre 2026'!$L$5:$L$58,"*-Emilio")</f>
        <v>1</v>
      </c>
      <c r="S15" s="60" t="n">
        <f aca="false">COUNTIF('Calendario Octubre 2026'!$N$5:$N$58,"*-Emilio")</f>
        <v>1</v>
      </c>
      <c r="T15" s="60" t="n">
        <f aca="false">COUNTIF('Calendario Octubre 2026'!$B$25:$B$29,"*-Emilio")+COUNTIF('Calendario Octubre 2026'!$N$43:$N$47,"*-Emilio")+COUNTIF('Calendario Octubre 2026'!$B$52:$B$56,"*-Emilio")</f>
        <v>0</v>
      </c>
    </row>
    <row r="16" customFormat="false" ht="15" hidden="false" customHeight="false" outlineLevel="0" collapsed="false">
      <c r="A16" s="63" t="s">
        <v>221</v>
      </c>
      <c r="B16" s="64" t="s">
        <v>222</v>
      </c>
      <c r="C16" s="59" t="n">
        <v>6</v>
      </c>
      <c r="D16" s="59"/>
      <c r="E16" s="59"/>
      <c r="F16" s="67" t="s">
        <v>214</v>
      </c>
      <c r="G16" s="69"/>
      <c r="H16" s="61" t="n">
        <f aca="false">COUNTIF('Calendario Octubre 2026'!$A$5:$N$58,"MAY-Antonio")</f>
        <v>0</v>
      </c>
      <c r="I16" s="61" t="n">
        <f aca="false">COUNTIF('Calendario Octubre 2026'!$A$5:$N$58,"TX-Antonio")</f>
        <v>0</v>
      </c>
      <c r="J16" s="61" t="n">
        <f aca="false">COUNTIF('Calendario Octubre 2026'!$A$5:$N$58,"UCQ-Antonio")</f>
        <v>0</v>
      </c>
      <c r="K16" s="61" t="n">
        <f aca="false">COUNTIF('Calendario Octubre 2026'!$A$5:$N$58,"PEQ-Antonio")</f>
        <v>8</v>
      </c>
      <c r="L16" s="62" t="n">
        <f aca="false">SUM(H16:K16)</f>
        <v>8</v>
      </c>
      <c r="M16" s="60" t="n">
        <f aca="false">COUNTIF('Calendario Octubre 2026'!$B$5:$B$58,"*-Antonio")</f>
        <v>2</v>
      </c>
      <c r="N16" s="60" t="n">
        <f aca="false">COUNTIF('Calendario Octubre 2026'!$D$5:$D$58,"*-Antonio")</f>
        <v>0</v>
      </c>
      <c r="O16" s="60" t="n">
        <f aca="false">COUNTIF('Calendario Octubre 2026'!$F$5:$F$58,"*-Antonio")</f>
        <v>1</v>
      </c>
      <c r="P16" s="60" t="n">
        <f aca="false">COUNTIF('Calendario Octubre 2026'!$H$5:$H$58,"*-Antonio")</f>
        <v>2</v>
      </c>
      <c r="Q16" s="60" t="n">
        <f aca="false">COUNTIF('Calendario Octubre 2026'!$J$5:$J$58,"*-Antonio")</f>
        <v>0</v>
      </c>
      <c r="R16" s="60" t="n">
        <f aca="false">COUNTIF('Calendario Octubre 2026'!$L$5:$L$58,"*-Antonio")</f>
        <v>3</v>
      </c>
      <c r="S16" s="60" t="n">
        <f aca="false">COUNTIF('Calendario Octubre 2026'!$N$5:$N$58,"*-Antonio")</f>
        <v>0</v>
      </c>
      <c r="T16" s="60" t="n">
        <f aca="false">COUNTIF('Calendario Octubre 2026'!$B$25:$B$29,"*-Antonio")+COUNTIF('Calendario Octubre 2026'!$N$43:$N$47,"*-Antonio")+COUNTIF('Calendario Octubre 2026'!$B$52:$B$56,"*-Antonio")</f>
        <v>1</v>
      </c>
    </row>
    <row r="17" customFormat="false" ht="15" hidden="false" customHeight="false" outlineLevel="0" collapsed="false">
      <c r="A17" s="57" t="s">
        <v>223</v>
      </c>
      <c r="B17" s="58" t="s">
        <v>224</v>
      </c>
      <c r="C17" s="59" t="n">
        <v>6</v>
      </c>
      <c r="D17" s="59"/>
      <c r="E17" s="59"/>
      <c r="F17" s="68" t="s">
        <v>214</v>
      </c>
      <c r="G17" s="69"/>
      <c r="H17" s="61" t="n">
        <f aca="false">COUNTIF('Calendario Octubre 2026'!$A$5:$N$58,"MAY-AnaR2")</f>
        <v>0</v>
      </c>
      <c r="I17" s="61" t="n">
        <f aca="false">COUNTIF('Calendario Octubre 2026'!$A$5:$N$58,"TX-AnaR2")</f>
        <v>0</v>
      </c>
      <c r="J17" s="61" t="n">
        <f aca="false">COUNTIF('Calendario Octubre 2026'!$A$5:$N$58,"UCQ-AnaR2")</f>
        <v>3</v>
      </c>
      <c r="K17" s="61" t="n">
        <f aca="false">COUNTIF('Calendario Octubre 2026'!$A$5:$N$58,"PEQ-AnaR2")</f>
        <v>5</v>
      </c>
      <c r="L17" s="62" t="n">
        <f aca="false">SUM(H17:K17)</f>
        <v>8</v>
      </c>
      <c r="M17" s="60" t="n">
        <f aca="false">COUNTIF('Calendario Octubre 2026'!$B$5:$B$58,"*-AnaR2")</f>
        <v>1</v>
      </c>
      <c r="N17" s="60" t="n">
        <f aca="false">COUNTIF('Calendario Octubre 2026'!$D$5:$D$58,"*-AnaR2")</f>
        <v>1</v>
      </c>
      <c r="O17" s="60" t="n">
        <f aca="false">COUNTIF('Calendario Octubre 2026'!$F$5:$F$58,"*-AnaR2")</f>
        <v>0</v>
      </c>
      <c r="P17" s="60" t="n">
        <f aca="false">COUNTIF('Calendario Octubre 2026'!$H$5:$H$58,"*-AnaR2")</f>
        <v>2</v>
      </c>
      <c r="Q17" s="60" t="n">
        <f aca="false">COUNTIF('Calendario Octubre 2026'!$J$5:$J$58,"*-AnaR2")</f>
        <v>2</v>
      </c>
      <c r="R17" s="60" t="n">
        <f aca="false">COUNTIF('Calendario Octubre 2026'!$L$5:$L$58,"*-AnaR2")</f>
        <v>0</v>
      </c>
      <c r="S17" s="60" t="n">
        <f aca="false">COUNTIF('Calendario Octubre 2026'!$N$5:$N$58,"*-AnaR2")</f>
        <v>2</v>
      </c>
      <c r="T17" s="60" t="n">
        <f aca="false">COUNTIF('Calendario Octubre 2026'!$B$25:$B$29,"*-AnaR2")+COUNTIF('Calendario Octubre 2026'!$N$43:$N$47,"*-AnaR2")+COUNTIF('Calendario Octubre 2026'!$B$52:$B$56,"*-AnaR2")</f>
        <v>1</v>
      </c>
    </row>
    <row r="18" customFormat="false" ht="15" hidden="false" customHeight="false" outlineLevel="0" collapsed="false">
      <c r="A18" s="63" t="s">
        <v>225</v>
      </c>
      <c r="B18" s="64" t="s">
        <v>226</v>
      </c>
      <c r="C18" s="59" t="n">
        <v>6</v>
      </c>
      <c r="D18" s="59"/>
      <c r="E18" s="59"/>
      <c r="F18" s="67" t="s">
        <v>214</v>
      </c>
      <c r="G18" s="69" t="n">
        <v>6</v>
      </c>
      <c r="H18" s="61" t="n">
        <f aca="false">COUNTIF('Calendario Octubre 2026'!$A$5:$N$58,"MAY-Marc")</f>
        <v>0</v>
      </c>
      <c r="I18" s="61" t="n">
        <f aca="false">COUNTIF('Calendario Octubre 2026'!$A$5:$N$58,"TX-Marc")</f>
        <v>0</v>
      </c>
      <c r="J18" s="61" t="n">
        <f aca="false">COUNTIF('Calendario Octubre 2026'!$A$5:$N$58,"UCQ-Marc")</f>
        <v>0</v>
      </c>
      <c r="K18" s="61" t="n">
        <f aca="false">COUNTIF('Calendario Octubre 2026'!$A$5:$N$58,"PEQ-Marc")</f>
        <v>8</v>
      </c>
      <c r="L18" s="62" t="n">
        <f aca="false">SUM(H18:K18)</f>
        <v>8</v>
      </c>
      <c r="M18" s="60" t="n">
        <f aca="false">COUNTIF('Calendario Octubre 2026'!$B$5:$B$58,"*-Marc")</f>
        <v>1</v>
      </c>
      <c r="N18" s="60" t="n">
        <f aca="false">COUNTIF('Calendario Octubre 2026'!$D$5:$D$58,"*-Marc")</f>
        <v>1</v>
      </c>
      <c r="O18" s="60" t="n">
        <f aca="false">COUNTIF('Calendario Octubre 2026'!$F$5:$F$58,"*-Marc")</f>
        <v>1</v>
      </c>
      <c r="P18" s="60" t="n">
        <f aca="false">COUNTIF('Calendario Octubre 2026'!$H$5:$H$58,"*-Marc")</f>
        <v>1</v>
      </c>
      <c r="Q18" s="60" t="n">
        <f aca="false">COUNTIF('Calendario Octubre 2026'!$J$5:$J$58,"*-Marc")</f>
        <v>2</v>
      </c>
      <c r="R18" s="60" t="n">
        <f aca="false">COUNTIF('Calendario Octubre 2026'!$L$5:$L$58,"*-Marc")</f>
        <v>0</v>
      </c>
      <c r="S18" s="60" t="n">
        <f aca="false">COUNTIF('Calendario Octubre 2026'!$N$5:$N$58,"*-Marc")</f>
        <v>2</v>
      </c>
      <c r="T18" s="60" t="n">
        <f aca="false">COUNTIF('Calendario Octubre 2026'!$B$25:$B$29,"*-Marc")+COUNTIF('Calendario Octubre 2026'!$N$43:$N$47,"*-Marc")+COUNTIF('Calendario Octubre 2026'!$B$52:$B$56,"*-Marc")</f>
        <v>0</v>
      </c>
    </row>
    <row r="19" customFormat="false" ht="15" hidden="false" customHeight="false" outlineLevel="0" collapsed="false">
      <c r="A19" s="57" t="s">
        <v>227</v>
      </c>
      <c r="B19" s="58" t="s">
        <v>228</v>
      </c>
      <c r="C19" s="59" t="n">
        <v>6</v>
      </c>
      <c r="D19" s="68" t="n">
        <v>6</v>
      </c>
      <c r="E19" s="59"/>
      <c r="F19" s="59"/>
      <c r="G19" s="69"/>
      <c r="H19" s="61" t="n">
        <f aca="false">COUNTIF('Calendario Octubre 2026'!$A$5:$N$58,"MAY-PatriciaR3")</f>
        <v>5</v>
      </c>
      <c r="I19" s="61" t="n">
        <f aca="false">COUNTIF('Calendario Octubre 2026'!$A$5:$N$58,"TX-PatriciaR3")</f>
        <v>0</v>
      </c>
      <c r="J19" s="61" t="n">
        <f aca="false">COUNTIF('Calendario Octubre 2026'!$A$5:$N$58,"UCQ-PatriciaR3")</f>
        <v>0</v>
      </c>
      <c r="K19" s="61" t="n">
        <f aca="false">COUNTIF('Calendario Octubre 2026'!$A$5:$N$58,"PEQ-PatriciaR3")</f>
        <v>0</v>
      </c>
      <c r="L19" s="62" t="n">
        <f aca="false">SUM(H19:K19)</f>
        <v>5</v>
      </c>
      <c r="M19" s="60" t="n">
        <f aca="false">COUNTIF('Calendario Octubre 2026'!$B$5:$B$58,"*-PatriciaR3")</f>
        <v>0</v>
      </c>
      <c r="N19" s="60" t="n">
        <f aca="false">COUNTIF('Calendario Octubre 2026'!$D$5:$D$58,"*-PatriciaR3")</f>
        <v>1</v>
      </c>
      <c r="O19" s="60" t="n">
        <f aca="false">COUNTIF('Calendario Octubre 2026'!$F$5:$F$58,"*-PatriciaR3")</f>
        <v>0</v>
      </c>
      <c r="P19" s="60" t="n">
        <f aca="false">COUNTIF('Calendario Octubre 2026'!$H$5:$H$58,"*-PatriciaR3")</f>
        <v>1</v>
      </c>
      <c r="Q19" s="60" t="n">
        <f aca="false">COUNTIF('Calendario Octubre 2026'!$J$5:$J$58,"*-PatriciaR3")</f>
        <v>1</v>
      </c>
      <c r="R19" s="60" t="n">
        <f aca="false">COUNTIF('Calendario Octubre 2026'!$L$5:$L$58,"*-PatriciaR3")</f>
        <v>1</v>
      </c>
      <c r="S19" s="60" t="n">
        <f aca="false">COUNTIF('Calendario Octubre 2026'!$N$5:$N$58,"*-PatriciaR3")</f>
        <v>1</v>
      </c>
      <c r="T19" s="60" t="n">
        <f aca="false">COUNTIF('Calendario Octubre 2026'!$B$25:$B$29,"*-PatriciaR3")+COUNTIF('Calendario Octubre 2026'!$N$43:$N$47,"*-PatriciaR3")+COUNTIF('Calendario Octubre 2026'!$B$52:$B$56,"*-PatriciaR3")</f>
        <v>0</v>
      </c>
    </row>
    <row r="20" customFormat="false" ht="15" hidden="false" customHeight="false" outlineLevel="0" collapsed="false">
      <c r="A20" s="63" t="s">
        <v>229</v>
      </c>
      <c r="B20" s="64" t="s">
        <v>230</v>
      </c>
      <c r="C20" s="59" t="n">
        <v>6</v>
      </c>
      <c r="D20" s="67"/>
      <c r="E20" s="59"/>
      <c r="F20" s="59"/>
      <c r="G20" s="69"/>
      <c r="H20" s="61" t="n">
        <f aca="false">COUNTIF('Calendario Octubre 2026'!$A$5:$N$58,"MAY-Candela")</f>
        <v>5</v>
      </c>
      <c r="I20" s="61" t="n">
        <f aca="false">COUNTIF('Calendario Octubre 2026'!$A$5:$N$58,"TX-Candela")</f>
        <v>0</v>
      </c>
      <c r="J20" s="61" t="n">
        <f aca="false">COUNTIF('Calendario Octubre 2026'!$A$5:$N$58,"UCQ-Candela")</f>
        <v>0</v>
      </c>
      <c r="K20" s="61" t="n">
        <f aca="false">COUNTIF('Calendario Octubre 2026'!$A$5:$N$58,"PEQ-Candela")</f>
        <v>0</v>
      </c>
      <c r="L20" s="62" t="n">
        <f aca="false">SUM(H20:K20)</f>
        <v>5</v>
      </c>
      <c r="M20" s="60" t="n">
        <f aca="false">COUNTIF('Calendario Octubre 2026'!$B$5:$B$58,"*-Candela")</f>
        <v>0</v>
      </c>
      <c r="N20" s="60" t="n">
        <f aca="false">COUNTIF('Calendario Octubre 2026'!$D$5:$D$58,"*-Candela")</f>
        <v>2</v>
      </c>
      <c r="O20" s="60" t="n">
        <f aca="false">COUNTIF('Calendario Octubre 2026'!$F$5:$F$58,"*-Candela")</f>
        <v>0</v>
      </c>
      <c r="P20" s="60" t="n">
        <f aca="false">COUNTIF('Calendario Octubre 2026'!$H$5:$H$58,"*-Candela")</f>
        <v>0</v>
      </c>
      <c r="Q20" s="60" t="n">
        <f aca="false">COUNTIF('Calendario Octubre 2026'!$J$5:$J$58,"*-Candela")</f>
        <v>1</v>
      </c>
      <c r="R20" s="60" t="n">
        <f aca="false">COUNTIF('Calendario Octubre 2026'!$L$5:$L$58,"*-Candela")</f>
        <v>1</v>
      </c>
      <c r="S20" s="60" t="n">
        <f aca="false">COUNTIF('Calendario Octubre 2026'!$N$5:$N$58,"*-Candela")</f>
        <v>1</v>
      </c>
      <c r="T20" s="60" t="n">
        <f aca="false">COUNTIF('Calendario Octubre 2026'!$B$25:$B$29,"*-Candela")+COUNTIF('Calendario Octubre 2026'!$N$43:$N$47,"*-Candela")+COUNTIF('Calendario Octubre 2026'!$B$52:$B$56,"*-Candela")</f>
        <v>0</v>
      </c>
    </row>
    <row r="21" customFormat="false" ht="15" hidden="false" customHeight="false" outlineLevel="0" collapsed="false">
      <c r="A21" s="57" t="s">
        <v>231</v>
      </c>
      <c r="B21" s="58" t="s">
        <v>232</v>
      </c>
      <c r="C21" s="59" t="n">
        <v>6</v>
      </c>
      <c r="D21" s="59"/>
      <c r="E21" s="59"/>
      <c r="F21" s="68" t="s">
        <v>211</v>
      </c>
      <c r="G21" s="69" t="n">
        <v>0</v>
      </c>
      <c r="H21" s="61" t="n">
        <f aca="false">COUNTIF('Calendario Octubre 2026'!$A$5:$N$58,"MAY-Fabian")</f>
        <v>0</v>
      </c>
      <c r="I21" s="61" t="n">
        <f aca="false">COUNTIF('Calendario Octubre 2026'!$A$5:$N$58,"TX-Fabian")</f>
        <v>0</v>
      </c>
      <c r="J21" s="61" t="n">
        <f aca="false">COUNTIF('Calendario Octubre 2026'!$A$5:$N$58,"UCQ-Fabian")</f>
        <v>6</v>
      </c>
      <c r="K21" s="61" t="n">
        <f aca="false">COUNTIF('Calendario Octubre 2026'!$A$5:$N$58,"PEQ-Fabian")</f>
        <v>0</v>
      </c>
      <c r="L21" s="62" t="n">
        <f aca="false">SUM(H21:K21)</f>
        <v>6</v>
      </c>
      <c r="M21" s="60" t="n">
        <f aca="false">COUNTIF('Calendario Octubre 2026'!$B$5:$B$58,"*-Fabian")</f>
        <v>1</v>
      </c>
      <c r="N21" s="60" t="n">
        <f aca="false">COUNTIF('Calendario Octubre 2026'!$D$5:$D$58,"*-Fabian")</f>
        <v>1</v>
      </c>
      <c r="O21" s="60" t="n">
        <f aca="false">COUNTIF('Calendario Octubre 2026'!$F$5:$F$58,"*-Fabian")</f>
        <v>0</v>
      </c>
      <c r="P21" s="60" t="n">
        <f aca="false">COUNTIF('Calendario Octubre 2026'!$H$5:$H$58,"*-Fabian")</f>
        <v>1</v>
      </c>
      <c r="Q21" s="60" t="n">
        <f aca="false">COUNTIF('Calendario Octubre 2026'!$J$5:$J$58,"*-Fabian")</f>
        <v>1</v>
      </c>
      <c r="R21" s="60" t="n">
        <f aca="false">COUNTIF('Calendario Octubre 2026'!$L$5:$L$58,"*-Fabian")</f>
        <v>1</v>
      </c>
      <c r="S21" s="60" t="n">
        <f aca="false">COUNTIF('Calendario Octubre 2026'!$N$5:$N$58,"*-Fabian")</f>
        <v>1</v>
      </c>
      <c r="T21" s="60" t="n">
        <f aca="false">COUNTIF('Calendario Octubre 2026'!$B$25:$B$29,"*-Fabian")+COUNTIF('Calendario Octubre 2026'!$N$43:$N$47,"*-Fabian")+COUNTIF('Calendario Octubre 2026'!$B$52:$B$56,"*-Fabian")</f>
        <v>0</v>
      </c>
    </row>
    <row r="22" customFormat="false" ht="15" hidden="false" customHeight="false" outlineLevel="0" collapsed="false">
      <c r="A22" s="63" t="s">
        <v>233</v>
      </c>
      <c r="B22" s="64" t="s">
        <v>234</v>
      </c>
      <c r="C22" s="59" t="n">
        <v>6</v>
      </c>
      <c r="D22" s="59"/>
      <c r="E22" s="59"/>
      <c r="F22" s="67" t="s">
        <v>211</v>
      </c>
      <c r="G22" s="69" t="n">
        <v>0</v>
      </c>
      <c r="H22" s="61" t="n">
        <f aca="false">COUNTIF('Calendario Octubre 2026'!$A$5:$N$58,"MAY-Tony")</f>
        <v>0</v>
      </c>
      <c r="I22" s="61" t="n">
        <f aca="false">COUNTIF('Calendario Octubre 2026'!$A$5:$N$58,"TX-Tony")</f>
        <v>0</v>
      </c>
      <c r="J22" s="61" t="n">
        <f aca="false">COUNTIF('Calendario Octubre 2026'!$A$5:$N$58,"UCQ-Tony")</f>
        <v>6</v>
      </c>
      <c r="K22" s="61" t="n">
        <f aca="false">COUNTIF('Calendario Octubre 2026'!$A$5:$N$58,"PEQ-Tony")</f>
        <v>0</v>
      </c>
      <c r="L22" s="62" t="n">
        <f aca="false">SUM(H22:K22)</f>
        <v>6</v>
      </c>
      <c r="M22" s="60" t="n">
        <f aca="false">COUNTIF('Calendario Octubre 2026'!$B$5:$B$58,"*-Tony")</f>
        <v>1</v>
      </c>
      <c r="N22" s="60" t="n">
        <f aca="false">COUNTIF('Calendario Octubre 2026'!$D$5:$D$58,"*-Tony")</f>
        <v>0</v>
      </c>
      <c r="O22" s="60" t="n">
        <f aca="false">COUNTIF('Calendario Octubre 2026'!$F$5:$F$58,"*-Tony")</f>
        <v>1</v>
      </c>
      <c r="P22" s="60" t="n">
        <f aca="false">COUNTIF('Calendario Octubre 2026'!$H$5:$H$58,"*-Tony")</f>
        <v>1</v>
      </c>
      <c r="Q22" s="60" t="n">
        <f aca="false">COUNTIF('Calendario Octubre 2026'!$J$5:$J$58,"*-Tony")</f>
        <v>1</v>
      </c>
      <c r="R22" s="60" t="n">
        <f aca="false">COUNTIF('Calendario Octubre 2026'!$L$5:$L$58,"*-Tony")</f>
        <v>1</v>
      </c>
      <c r="S22" s="60" t="n">
        <f aca="false">COUNTIF('Calendario Octubre 2026'!$N$5:$N$58,"*-Tony")</f>
        <v>1</v>
      </c>
      <c r="T22" s="60" t="n">
        <f aca="false">COUNTIF('Calendario Octubre 2026'!$B$25:$B$29,"*-Tony")+COUNTIF('Calendario Octubre 2026'!$N$43:$N$47,"*-Tony")+COUNTIF('Calendario Octubre 2026'!$B$52:$B$56,"*-Tony")</f>
        <v>1</v>
      </c>
    </row>
    <row r="23" customFormat="false" ht="15" hidden="false" customHeight="false" outlineLevel="0" collapsed="false">
      <c r="A23" s="57" t="s">
        <v>235</v>
      </c>
      <c r="B23" s="58" t="s">
        <v>236</v>
      </c>
      <c r="C23" s="59"/>
      <c r="D23" s="68" t="s">
        <v>198</v>
      </c>
      <c r="E23" s="68" t="n">
        <v>7</v>
      </c>
      <c r="F23" s="59" t="n">
        <v>0</v>
      </c>
      <c r="G23" s="69"/>
      <c r="H23" s="61" t="n">
        <f aca="false">COUNTIF('Calendario Octubre 2026'!$A$5:$N$58,"MAY-Carlota")</f>
        <v>5</v>
      </c>
      <c r="I23" s="61" t="n">
        <f aca="false">COUNTIF('Calendario Octubre 2026'!$A$5:$N$58,"TX-Carlota")</f>
        <v>7</v>
      </c>
      <c r="J23" s="61" t="n">
        <f aca="false">COUNTIF('Calendario Octubre 2026'!$A$5:$N$58,"UCQ-Carlota")</f>
        <v>0</v>
      </c>
      <c r="K23" s="61" t="n">
        <f aca="false">COUNTIF('Calendario Octubre 2026'!$A$5:$N$58,"PEQ-Carlota")</f>
        <v>0</v>
      </c>
      <c r="L23" s="62" t="n">
        <f aca="false">SUM(H23:K23)</f>
        <v>12</v>
      </c>
      <c r="M23" s="60" t="n">
        <f aca="false">COUNTIF('Calendario Octubre 2026'!$B$5:$B$58,"*-Carlota")</f>
        <v>1</v>
      </c>
      <c r="N23" s="60" t="n">
        <f aca="false">COUNTIF('Calendario Octubre 2026'!$D$5:$D$58,"*-Carlota")</f>
        <v>2</v>
      </c>
      <c r="O23" s="60" t="n">
        <f aca="false">COUNTIF('Calendario Octubre 2026'!$F$5:$F$58,"*-Carlota")</f>
        <v>1</v>
      </c>
      <c r="P23" s="60" t="n">
        <f aca="false">COUNTIF('Calendario Octubre 2026'!$H$5:$H$58,"*-Carlota")</f>
        <v>3</v>
      </c>
      <c r="Q23" s="60" t="n">
        <f aca="false">COUNTIF('Calendario Octubre 2026'!$J$5:$J$58,"*-Carlota")</f>
        <v>2</v>
      </c>
      <c r="R23" s="60" t="n">
        <f aca="false">COUNTIF('Calendario Octubre 2026'!$L$5:$L$58,"*-Carlota")</f>
        <v>1</v>
      </c>
      <c r="S23" s="60" t="n">
        <f aca="false">COUNTIF('Calendario Octubre 2026'!$N$5:$N$58,"*-Carlota")</f>
        <v>2</v>
      </c>
      <c r="T23" s="60" t="n">
        <f aca="false">COUNTIF('Calendario Octubre 2026'!$B$25:$B$29,"*-Carlota")+COUNTIF('Calendario Octubre 2026'!$N$43:$N$47,"*-Carlota")+COUNTIF('Calendario Octubre 2026'!$B$52:$B$56,"*-Carlota")</f>
        <v>1</v>
      </c>
    </row>
    <row r="24" customFormat="false" ht="15" hidden="false" customHeight="false" outlineLevel="0" collapsed="false">
      <c r="A24" s="63" t="s">
        <v>237</v>
      </c>
      <c r="B24" s="64" t="s">
        <v>238</v>
      </c>
      <c r="C24" s="59"/>
      <c r="D24" s="67" t="s">
        <v>198</v>
      </c>
      <c r="E24" s="67" t="n">
        <v>7</v>
      </c>
      <c r="F24" s="59" t="n">
        <v>0</v>
      </c>
      <c r="G24" s="69"/>
      <c r="H24" s="61" t="n">
        <f aca="false">COUNTIF('Calendario Octubre 2026'!$A$5:$N$58,"MAY-Almudena")</f>
        <v>5</v>
      </c>
      <c r="I24" s="61" t="n">
        <f aca="false">COUNTIF('Calendario Octubre 2026'!$A$5:$N$58,"TX-Almudena")</f>
        <v>6</v>
      </c>
      <c r="J24" s="61" t="n">
        <f aca="false">COUNTIF('Calendario Octubre 2026'!$A$5:$N$58,"UCQ-Almudena")</f>
        <v>0</v>
      </c>
      <c r="K24" s="61" t="n">
        <f aca="false">COUNTIF('Calendario Octubre 2026'!$A$5:$N$58,"PEQ-Almudena")</f>
        <v>0</v>
      </c>
      <c r="L24" s="62" t="n">
        <f aca="false">SUM(H24:K24)</f>
        <v>11</v>
      </c>
      <c r="M24" s="60" t="n">
        <f aca="false">COUNTIF('Calendario Octubre 2026'!$B$5:$B$58,"*-Almudena")</f>
        <v>3</v>
      </c>
      <c r="N24" s="60" t="n">
        <f aca="false">COUNTIF('Calendario Octubre 2026'!$D$5:$D$58,"*-Almudena")</f>
        <v>0</v>
      </c>
      <c r="O24" s="60" t="n">
        <f aca="false">COUNTIF('Calendario Octubre 2026'!$F$5:$F$58,"*-Almudena")</f>
        <v>3</v>
      </c>
      <c r="P24" s="60" t="n">
        <f aca="false">COUNTIF('Calendario Octubre 2026'!$H$5:$H$58,"*-Almudena")</f>
        <v>1</v>
      </c>
      <c r="Q24" s="60" t="n">
        <f aca="false">COUNTIF('Calendario Octubre 2026'!$J$5:$J$58,"*-Almudena")</f>
        <v>1</v>
      </c>
      <c r="R24" s="60" t="n">
        <f aca="false">COUNTIF('Calendario Octubre 2026'!$L$5:$L$58,"*-Almudena")</f>
        <v>2</v>
      </c>
      <c r="S24" s="60" t="n">
        <f aca="false">COUNTIF('Calendario Octubre 2026'!$N$5:$N$58,"*-Almudena")</f>
        <v>1</v>
      </c>
      <c r="T24" s="60" t="n">
        <f aca="false">COUNTIF('Calendario Octubre 2026'!$B$25:$B$29,"*-Almudena")+COUNTIF('Calendario Octubre 2026'!$N$43:$N$47,"*-Almudena")+COUNTIF('Calendario Octubre 2026'!$B$52:$B$56,"*-Almudena")</f>
        <v>1</v>
      </c>
    </row>
    <row r="25" customFormat="false" ht="15" hidden="false" customHeight="false" outlineLevel="0" collapsed="false">
      <c r="A25" s="57" t="s">
        <v>239</v>
      </c>
      <c r="B25" s="58" t="s">
        <v>240</v>
      </c>
      <c r="C25" s="59"/>
      <c r="D25" s="68" t="s">
        <v>214</v>
      </c>
      <c r="E25" s="68" t="n">
        <v>4</v>
      </c>
      <c r="F25" s="59" t="n">
        <v>0</v>
      </c>
      <c r="G25" s="69"/>
      <c r="H25" s="61" t="n">
        <f aca="false">COUNTIF('Calendario Octubre 2026'!$A$5:$N$58,"MAY-AnaR4")</f>
        <v>1</v>
      </c>
      <c r="I25" s="61" t="n">
        <f aca="false">COUNTIF('Calendario Octubre 2026'!$A$5:$N$58,"TX-AnaR4")</f>
        <v>7</v>
      </c>
      <c r="J25" s="61" t="n">
        <f aca="false">COUNTIF('Calendario Octubre 2026'!$A$5:$N$58,"UCQ-AnaR4")</f>
        <v>0</v>
      </c>
      <c r="K25" s="61" t="n">
        <f aca="false">COUNTIF('Calendario Octubre 2026'!$A$5:$N$58,"PEQ-AnaR4")</f>
        <v>0</v>
      </c>
      <c r="L25" s="62" t="n">
        <f aca="false">SUM(H25:K25)</f>
        <v>8</v>
      </c>
      <c r="M25" s="60" t="n">
        <f aca="false">COUNTIF('Calendario Octubre 2026'!$B$5:$B$58,"*-AnaR4")</f>
        <v>3</v>
      </c>
      <c r="N25" s="60" t="n">
        <f aca="false">COUNTIF('Calendario Octubre 2026'!$D$5:$D$58,"*-AnaR4")</f>
        <v>0</v>
      </c>
      <c r="O25" s="60" t="n">
        <f aca="false">COUNTIF('Calendario Octubre 2026'!$F$5:$F$58,"*-AnaR4")</f>
        <v>0</v>
      </c>
      <c r="P25" s="60" t="n">
        <f aca="false">COUNTIF('Calendario Octubre 2026'!$H$5:$H$58,"*-AnaR4")</f>
        <v>2</v>
      </c>
      <c r="Q25" s="60" t="n">
        <f aca="false">COUNTIF('Calendario Octubre 2026'!$J$5:$J$58,"*-AnaR4")</f>
        <v>1</v>
      </c>
      <c r="R25" s="60" t="n">
        <f aca="false">COUNTIF('Calendario Octubre 2026'!$L$5:$L$58,"*-AnaR4")</f>
        <v>1</v>
      </c>
      <c r="S25" s="60" t="n">
        <f aca="false">COUNTIF('Calendario Octubre 2026'!$N$5:$N$58,"*-AnaR4")</f>
        <v>1</v>
      </c>
      <c r="T25" s="60" t="n">
        <f aca="false">COUNTIF('Calendario Octubre 2026'!$B$25:$B$29,"*-AnaR4")+COUNTIF('Calendario Octubre 2026'!$N$43:$N$47,"*-AnaR4")+COUNTIF('Calendario Octubre 2026'!$B$52:$B$56,"*-AnaR4")</f>
        <v>2</v>
      </c>
    </row>
    <row r="26" customFormat="false" ht="15" hidden="false" customHeight="false" outlineLevel="0" collapsed="false">
      <c r="A26" s="63" t="s">
        <v>241</v>
      </c>
      <c r="B26" s="64" t="s">
        <v>242</v>
      </c>
      <c r="C26" s="59"/>
      <c r="D26" s="67" t="s">
        <v>198</v>
      </c>
      <c r="E26" s="67" t="n">
        <v>8</v>
      </c>
      <c r="F26" s="59" t="n">
        <v>0</v>
      </c>
      <c r="G26" s="69"/>
      <c r="H26" s="61" t="n">
        <f aca="false">COUNTIF('Calendario Octubre 2026'!$A$5:$N$58,"MAY-Sandra")</f>
        <v>5</v>
      </c>
      <c r="I26" s="61" t="n">
        <f aca="false">COUNTIF('Calendario Octubre 2026'!$A$5:$N$58,"TX-Sandra")</f>
        <v>6</v>
      </c>
      <c r="J26" s="61" t="n">
        <f aca="false">COUNTIF('Calendario Octubre 2026'!$A$5:$N$58,"UCQ-Sandra")</f>
        <v>0</v>
      </c>
      <c r="K26" s="61" t="n">
        <f aca="false">COUNTIF('Calendario Octubre 2026'!$A$5:$N$58,"PEQ-Sandra")</f>
        <v>0</v>
      </c>
      <c r="L26" s="62" t="n">
        <f aca="false">SUM(H26:K26)</f>
        <v>11</v>
      </c>
      <c r="M26" s="60" t="n">
        <f aca="false">COUNTIF('Calendario Octubre 2026'!$B$5:$B$58,"*-Sandra")</f>
        <v>1</v>
      </c>
      <c r="N26" s="60" t="n">
        <f aca="false">COUNTIF('Calendario Octubre 2026'!$D$5:$D$58,"*-Sandra")</f>
        <v>1</v>
      </c>
      <c r="O26" s="60" t="n">
        <f aca="false">COUNTIF('Calendario Octubre 2026'!$F$5:$F$58,"*-Sandra")</f>
        <v>3</v>
      </c>
      <c r="P26" s="60" t="n">
        <f aca="false">COUNTIF('Calendario Octubre 2026'!$H$5:$H$58,"*-Sandra")</f>
        <v>1</v>
      </c>
      <c r="Q26" s="60" t="n">
        <f aca="false">COUNTIF('Calendario Octubre 2026'!$J$5:$J$58,"*-Sandra")</f>
        <v>1</v>
      </c>
      <c r="R26" s="60" t="n">
        <f aca="false">COUNTIF('Calendario Octubre 2026'!$L$5:$L$58,"*-Sandra")</f>
        <v>3</v>
      </c>
      <c r="S26" s="60" t="n">
        <f aca="false">COUNTIF('Calendario Octubre 2026'!$N$5:$N$58,"*-Sandra")</f>
        <v>1</v>
      </c>
      <c r="T26" s="60" t="n">
        <f aca="false">COUNTIF('Calendario Octubre 2026'!$B$25:$B$29,"*-Sandra")+COUNTIF('Calendario Octubre 2026'!$N$43:$N$47,"*-Sandra")+COUNTIF('Calendario Octubre 2026'!$B$52:$B$56,"*-Sandra")</f>
        <v>1</v>
      </c>
    </row>
    <row r="27" customFormat="false" ht="15" hidden="false" customHeight="false" outlineLevel="0" collapsed="false">
      <c r="A27" s="57" t="s">
        <v>243</v>
      </c>
      <c r="B27" s="58" t="s">
        <v>244</v>
      </c>
      <c r="C27" s="59"/>
      <c r="D27" s="68" t="s">
        <v>198</v>
      </c>
      <c r="E27" s="68" t="n">
        <v>7</v>
      </c>
      <c r="F27" s="59" t="n">
        <v>0</v>
      </c>
      <c r="G27" s="69"/>
      <c r="H27" s="61" t="n">
        <f aca="false">COUNTIF('Calendario Octubre 2026'!$A$5:$N$58,"MAY-Isa")</f>
        <v>5</v>
      </c>
      <c r="I27" s="61" t="n">
        <f aca="false">COUNTIF('Calendario Octubre 2026'!$A$5:$N$58,"TX-Isa")</f>
        <v>7</v>
      </c>
      <c r="J27" s="61" t="n">
        <f aca="false">COUNTIF('Calendario Octubre 2026'!$A$5:$N$58,"UCQ-Isa")</f>
        <v>0</v>
      </c>
      <c r="K27" s="61" t="n">
        <f aca="false">COUNTIF('Calendario Octubre 2026'!$A$5:$N$58,"PEQ-Isa")</f>
        <v>0</v>
      </c>
      <c r="L27" s="62" t="n">
        <f aca="false">SUM(H27:K27)</f>
        <v>12</v>
      </c>
      <c r="M27" s="60" t="n">
        <f aca="false">COUNTIF('Calendario Octubre 2026'!$B$5:$B$58,"*-Isa")</f>
        <v>2</v>
      </c>
      <c r="N27" s="60" t="n">
        <f aca="false">COUNTIF('Calendario Octubre 2026'!$D$5:$D$58,"*-Isa")</f>
        <v>2</v>
      </c>
      <c r="O27" s="60" t="n">
        <f aca="false">COUNTIF('Calendario Octubre 2026'!$F$5:$F$58,"*-Isa")</f>
        <v>1</v>
      </c>
      <c r="P27" s="60" t="n">
        <f aca="false">COUNTIF('Calendario Octubre 2026'!$H$5:$H$58,"*-Isa")</f>
        <v>2</v>
      </c>
      <c r="Q27" s="60" t="n">
        <f aca="false">COUNTIF('Calendario Octubre 2026'!$J$5:$J$58,"*-Isa")</f>
        <v>2</v>
      </c>
      <c r="R27" s="60" t="n">
        <f aca="false">COUNTIF('Calendario Octubre 2026'!$L$5:$L$58,"*-Isa")</f>
        <v>1</v>
      </c>
      <c r="S27" s="60" t="n">
        <f aca="false">COUNTIF('Calendario Octubre 2026'!$N$5:$N$58,"*-Isa")</f>
        <v>2</v>
      </c>
      <c r="T27" s="60" t="n">
        <f aca="false">COUNTIF('Calendario Octubre 2026'!$B$25:$B$29,"*-Isa")+COUNTIF('Calendario Octubre 2026'!$N$43:$N$47,"*-Isa")+COUNTIF('Calendario Octubre 2026'!$B$52:$B$56,"*-Isa")</f>
        <v>1</v>
      </c>
    </row>
    <row r="28" customFormat="false" ht="15" hidden="false" customHeight="false" outlineLevel="0" collapsed="false">
      <c r="A28" s="70" t="s">
        <v>245</v>
      </c>
      <c r="H28" s="71" t="n">
        <f aca="false">SUM(H3:H27)</f>
        <v>31</v>
      </c>
      <c r="I28" s="71" t="n">
        <f aca="false">SUM(I3:I27)</f>
        <v>33</v>
      </c>
      <c r="J28" s="71" t="n">
        <f aca="false">SUM(J3:J27)</f>
        <v>33</v>
      </c>
      <c r="K28" s="71" t="n">
        <f aca="false">SUM(K3:K27)</f>
        <v>66</v>
      </c>
      <c r="L28" s="71" t="n">
        <f aca="false">SUM(L3:L27)</f>
        <v>163</v>
      </c>
      <c r="M28" s="71" t="n">
        <f aca="false">SUM(M3:M27)</f>
        <v>25</v>
      </c>
      <c r="N28" s="71" t="n">
        <f aca="false">SUM(N3:N27)</f>
        <v>20</v>
      </c>
      <c r="O28" s="71" t="n">
        <f aca="false">SUM(O3:O27)</f>
        <v>20</v>
      </c>
      <c r="P28" s="71" t="n">
        <f aca="false">SUM(P3:P27)</f>
        <v>25</v>
      </c>
      <c r="Q28" s="71" t="n">
        <f aca="false">SUM(Q3:Q27)</f>
        <v>24</v>
      </c>
      <c r="R28" s="71" t="n">
        <f aca="false">SUM(R3:R27)</f>
        <v>25</v>
      </c>
      <c r="S28" s="71" t="n">
        <f aca="false">SUM(S3:S27)</f>
        <v>24</v>
      </c>
      <c r="T28" s="71" t="n">
        <f aca="false">SUM(T3:T27)</f>
        <v>15</v>
      </c>
    </row>
    <row r="30" customFormat="false" ht="15" hidden="false" customHeight="false" outlineLevel="0" collapsed="false">
      <c r="A30" s="54" t="s">
        <v>246</v>
      </c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</sheetData>
  <mergeCells count="4">
    <mergeCell ref="A1:G1"/>
    <mergeCell ref="H1:L1"/>
    <mergeCell ref="M1:T1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39" activeCellId="0" sqref="O39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8"/>
    <col collapsed="false" customWidth="true" hidden="false" outlineLevel="0" max="35" min="3" style="1" width="3.33"/>
  </cols>
  <sheetData>
    <row r="1" customFormat="false" ht="27.75" hidden="false" customHeight="true" outlineLevel="0" collapsed="false">
      <c r="A1" s="37" t="s">
        <v>247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</row>
    <row r="2" customFormat="false" ht="18" hidden="false" customHeight="true" outlineLevel="0" collapsed="false">
      <c r="A2" s="72"/>
      <c r="B2" s="73" t="s">
        <v>248</v>
      </c>
      <c r="C2" s="73"/>
      <c r="D2" s="73"/>
      <c r="E2" s="73"/>
      <c r="F2" s="73"/>
      <c r="G2" s="73"/>
      <c r="H2" s="73"/>
      <c r="J2" s="74"/>
      <c r="K2" s="73" t="s">
        <v>249</v>
      </c>
      <c r="L2" s="73"/>
      <c r="M2" s="73"/>
      <c r="N2" s="73"/>
      <c r="O2" s="73"/>
      <c r="P2" s="73"/>
      <c r="Q2" s="73"/>
      <c r="S2" s="75"/>
      <c r="T2" s="73" t="s">
        <v>250</v>
      </c>
      <c r="U2" s="73"/>
      <c r="V2" s="73"/>
      <c r="W2" s="73"/>
      <c r="X2" s="73"/>
      <c r="Y2" s="73"/>
      <c r="Z2" s="73"/>
      <c r="AB2" s="76"/>
      <c r="AC2" s="73" t="s">
        <v>251</v>
      </c>
      <c r="AD2" s="73"/>
      <c r="AE2" s="73"/>
      <c r="AF2" s="73"/>
      <c r="AG2" s="73"/>
      <c r="AH2" s="73"/>
      <c r="AI2" s="73"/>
    </row>
    <row r="3" customFormat="false" ht="15" hidden="false" customHeight="false" outlineLevel="0" collapsed="false">
      <c r="C3" s="77" t="s">
        <v>186</v>
      </c>
      <c r="D3" s="77" t="s">
        <v>187</v>
      </c>
      <c r="E3" s="77" t="s">
        <v>188</v>
      </c>
      <c r="F3" s="77" t="s">
        <v>189</v>
      </c>
      <c r="G3" s="77" t="s">
        <v>183</v>
      </c>
      <c r="H3" s="77" t="s">
        <v>184</v>
      </c>
      <c r="I3" s="77" t="s">
        <v>184</v>
      </c>
      <c r="J3" s="77" t="s">
        <v>186</v>
      </c>
      <c r="K3" s="77" t="s">
        <v>187</v>
      </c>
      <c r="L3" s="77" t="s">
        <v>188</v>
      </c>
      <c r="M3" s="77" t="s">
        <v>189</v>
      </c>
      <c r="N3" s="77" t="s">
        <v>183</v>
      </c>
      <c r="O3" s="77" t="s">
        <v>184</v>
      </c>
      <c r="P3" s="77" t="s">
        <v>184</v>
      </c>
      <c r="Q3" s="77" t="s">
        <v>186</v>
      </c>
      <c r="R3" s="77" t="s">
        <v>187</v>
      </c>
      <c r="S3" s="77" t="s">
        <v>188</v>
      </c>
      <c r="T3" s="77" t="s">
        <v>189</v>
      </c>
      <c r="U3" s="77" t="s">
        <v>183</v>
      </c>
      <c r="V3" s="77" t="s">
        <v>184</v>
      </c>
      <c r="W3" s="77" t="s">
        <v>184</v>
      </c>
      <c r="X3" s="77" t="s">
        <v>186</v>
      </c>
      <c r="Y3" s="77" t="s">
        <v>187</v>
      </c>
      <c r="Z3" s="77" t="s">
        <v>188</v>
      </c>
      <c r="AA3" s="77" t="s">
        <v>189</v>
      </c>
      <c r="AB3" s="77" t="s">
        <v>183</v>
      </c>
      <c r="AC3" s="77" t="s">
        <v>184</v>
      </c>
      <c r="AD3" s="77" t="s">
        <v>184</v>
      </c>
      <c r="AE3" s="77" t="s">
        <v>186</v>
      </c>
      <c r="AF3" s="77" t="s">
        <v>187</v>
      </c>
      <c r="AG3" s="77" t="s">
        <v>188</v>
      </c>
      <c r="AH3" s="77" t="s">
        <v>189</v>
      </c>
      <c r="AI3" s="77" t="s">
        <v>183</v>
      </c>
    </row>
    <row r="4" customFormat="false" ht="15" hidden="false" customHeight="false" outlineLevel="0" collapsed="false">
      <c r="A4" s="78" t="s">
        <v>252</v>
      </c>
      <c r="B4" s="79" t="s">
        <v>176</v>
      </c>
      <c r="C4" s="80" t="s">
        <v>35</v>
      </c>
      <c r="D4" s="80" t="s">
        <v>36</v>
      </c>
      <c r="E4" s="81" t="s">
        <v>37</v>
      </c>
      <c r="F4" s="81" t="s">
        <v>38</v>
      </c>
      <c r="G4" s="80" t="s">
        <v>56</v>
      </c>
      <c r="H4" s="80" t="s">
        <v>57</v>
      </c>
      <c r="I4" s="80" t="s">
        <v>58</v>
      </c>
      <c r="J4" s="80" t="s">
        <v>59</v>
      </c>
      <c r="K4" s="80" t="s">
        <v>60</v>
      </c>
      <c r="L4" s="81" t="s">
        <v>61</v>
      </c>
      <c r="M4" s="81" t="s">
        <v>62</v>
      </c>
      <c r="N4" s="82" t="s">
        <v>253</v>
      </c>
      <c r="O4" s="80" t="s">
        <v>82</v>
      </c>
      <c r="P4" s="80" t="s">
        <v>83</v>
      </c>
      <c r="Q4" s="80" t="s">
        <v>84</v>
      </c>
      <c r="R4" s="80" t="s">
        <v>85</v>
      </c>
      <c r="S4" s="81" t="s">
        <v>86</v>
      </c>
      <c r="T4" s="81" t="s">
        <v>87</v>
      </c>
      <c r="U4" s="80" t="s">
        <v>98</v>
      </c>
      <c r="V4" s="80" t="s">
        <v>99</v>
      </c>
      <c r="W4" s="80" t="s">
        <v>100</v>
      </c>
      <c r="X4" s="80" t="s">
        <v>101</v>
      </c>
      <c r="Y4" s="80" t="s">
        <v>102</v>
      </c>
      <c r="Z4" s="81" t="s">
        <v>103</v>
      </c>
      <c r="AA4" s="81" t="s">
        <v>104</v>
      </c>
      <c r="AB4" s="80" t="s">
        <v>115</v>
      </c>
      <c r="AC4" s="80" t="s">
        <v>116</v>
      </c>
      <c r="AD4" s="80" t="s">
        <v>117</v>
      </c>
      <c r="AE4" s="80" t="s">
        <v>118</v>
      </c>
      <c r="AF4" s="80" t="s">
        <v>119</v>
      </c>
      <c r="AG4" s="81" t="s">
        <v>120</v>
      </c>
      <c r="AH4" s="82" t="s">
        <v>254</v>
      </c>
      <c r="AI4" s="82" t="s">
        <v>255</v>
      </c>
    </row>
    <row r="5" customFormat="false" ht="15" hidden="false" customHeight="true" outlineLevel="0" collapsed="false">
      <c r="A5" s="83" t="s">
        <v>191</v>
      </c>
      <c r="B5" s="84" t="s">
        <v>192</v>
      </c>
      <c r="C5" s="85"/>
      <c r="D5" s="86" t="s">
        <v>185</v>
      </c>
      <c r="E5" s="86" t="s">
        <v>185</v>
      </c>
      <c r="F5" s="86" t="s">
        <v>185</v>
      </c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6" t="s">
        <v>185</v>
      </c>
      <c r="X5" s="86" t="s">
        <v>185</v>
      </c>
      <c r="Y5" s="86" t="s">
        <v>185</v>
      </c>
      <c r="Z5" s="86" t="s">
        <v>185</v>
      </c>
      <c r="AA5" s="86" t="s">
        <v>185</v>
      </c>
      <c r="AB5" s="85"/>
      <c r="AC5" s="85"/>
      <c r="AD5" s="85"/>
      <c r="AE5" s="85"/>
      <c r="AF5" s="85"/>
      <c r="AG5" s="85"/>
      <c r="AH5" s="85"/>
      <c r="AI5" s="85"/>
    </row>
    <row r="6" customFormat="false" ht="15" hidden="false" customHeight="true" outlineLevel="0" collapsed="false">
      <c r="A6" s="87" t="s">
        <v>194</v>
      </c>
      <c r="B6" s="88" t="s">
        <v>195</v>
      </c>
      <c r="C6" s="85"/>
      <c r="D6" s="86" t="s">
        <v>185</v>
      </c>
      <c r="E6" s="86" t="s">
        <v>185</v>
      </c>
      <c r="F6" s="86" t="s">
        <v>185</v>
      </c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6" t="s">
        <v>185</v>
      </c>
      <c r="Z6" s="86" t="s">
        <v>185</v>
      </c>
      <c r="AA6" s="86" t="s">
        <v>185</v>
      </c>
      <c r="AB6" s="85"/>
      <c r="AC6" s="85"/>
      <c r="AD6" s="85"/>
      <c r="AE6" s="85"/>
      <c r="AF6" s="85"/>
      <c r="AG6" s="85"/>
      <c r="AH6" s="85"/>
      <c r="AI6" s="85"/>
    </row>
    <row r="7" customFormat="false" ht="15" hidden="false" customHeight="true" outlineLevel="0" collapsed="false">
      <c r="A7" s="83" t="s">
        <v>196</v>
      </c>
      <c r="B7" s="84" t="s">
        <v>197</v>
      </c>
      <c r="C7" s="85"/>
      <c r="D7" s="85"/>
      <c r="E7" s="85"/>
      <c r="F7" s="85"/>
      <c r="G7" s="85"/>
      <c r="H7" s="85"/>
      <c r="I7" s="85"/>
      <c r="J7" s="85"/>
      <c r="K7" s="86" t="s">
        <v>185</v>
      </c>
      <c r="L7" s="86" t="s">
        <v>185</v>
      </c>
      <c r="M7" s="86" t="s">
        <v>185</v>
      </c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6" t="s">
        <v>185</v>
      </c>
      <c r="Z7" s="86" t="s">
        <v>185</v>
      </c>
      <c r="AA7" s="86" t="s">
        <v>185</v>
      </c>
      <c r="AB7" s="85"/>
      <c r="AC7" s="85"/>
      <c r="AD7" s="85"/>
      <c r="AE7" s="85"/>
      <c r="AF7" s="85"/>
      <c r="AG7" s="85"/>
      <c r="AH7" s="85"/>
      <c r="AI7" s="85"/>
    </row>
    <row r="8" customFormat="false" ht="15" hidden="false" customHeight="true" outlineLevel="0" collapsed="false">
      <c r="A8" s="87" t="s">
        <v>199</v>
      </c>
      <c r="B8" s="88" t="s">
        <v>200</v>
      </c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6" t="s">
        <v>185</v>
      </c>
      <c r="Z8" s="86" t="s">
        <v>185</v>
      </c>
      <c r="AA8" s="86" t="s">
        <v>185</v>
      </c>
      <c r="AB8" s="85"/>
      <c r="AC8" s="85"/>
      <c r="AD8" s="85"/>
      <c r="AE8" s="85"/>
      <c r="AF8" s="85"/>
      <c r="AG8" s="85"/>
      <c r="AH8" s="85"/>
      <c r="AI8" s="85"/>
    </row>
    <row r="9" customFormat="false" ht="15" hidden="false" customHeight="true" outlineLevel="0" collapsed="false">
      <c r="A9" s="83" t="s">
        <v>201</v>
      </c>
      <c r="B9" s="84" t="s">
        <v>202</v>
      </c>
      <c r="C9" s="85"/>
      <c r="D9" s="86" t="s">
        <v>185</v>
      </c>
      <c r="E9" s="86" t="s">
        <v>185</v>
      </c>
      <c r="F9" s="86" t="s">
        <v>185</v>
      </c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6" t="s">
        <v>185</v>
      </c>
      <c r="Z9" s="86" t="s">
        <v>185</v>
      </c>
      <c r="AA9" s="86" t="s">
        <v>185</v>
      </c>
      <c r="AB9" s="85"/>
      <c r="AC9" s="85"/>
      <c r="AD9" s="85"/>
      <c r="AE9" s="85"/>
      <c r="AF9" s="85"/>
      <c r="AG9" s="85"/>
      <c r="AH9" s="85"/>
      <c r="AI9" s="85"/>
    </row>
    <row r="10" customFormat="false" ht="15" hidden="false" customHeight="true" outlineLevel="0" collapsed="false">
      <c r="A10" s="87" t="s">
        <v>203</v>
      </c>
      <c r="B10" s="88" t="s">
        <v>204</v>
      </c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6" t="s">
        <v>185</v>
      </c>
      <c r="Z10" s="86" t="s">
        <v>185</v>
      </c>
      <c r="AA10" s="86" t="s">
        <v>185</v>
      </c>
      <c r="AB10" s="85"/>
      <c r="AC10" s="85"/>
      <c r="AD10" s="85"/>
      <c r="AE10" s="85"/>
      <c r="AF10" s="85"/>
      <c r="AG10" s="85"/>
      <c r="AH10" s="85"/>
      <c r="AI10" s="85"/>
    </row>
    <row r="11" customFormat="false" ht="15" hidden="false" customHeight="true" outlineLevel="0" collapsed="false">
      <c r="A11" s="83" t="s">
        <v>205</v>
      </c>
      <c r="B11" s="84" t="s">
        <v>206</v>
      </c>
      <c r="C11" s="85"/>
      <c r="D11" s="86" t="s">
        <v>185</v>
      </c>
      <c r="E11" s="86" t="s">
        <v>185</v>
      </c>
      <c r="F11" s="86" t="s">
        <v>185</v>
      </c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6" t="s">
        <v>185</v>
      </c>
      <c r="Z11" s="86" t="s">
        <v>185</v>
      </c>
      <c r="AA11" s="86" t="s">
        <v>185</v>
      </c>
      <c r="AB11" s="85"/>
      <c r="AC11" s="85"/>
      <c r="AD11" s="85"/>
      <c r="AE11" s="85"/>
      <c r="AF11" s="85"/>
      <c r="AG11" s="85"/>
      <c r="AH11" s="85"/>
      <c r="AI11" s="85"/>
    </row>
    <row r="12" customFormat="false" ht="15" hidden="false" customHeight="true" outlineLevel="0" collapsed="false">
      <c r="A12" s="87" t="s">
        <v>207</v>
      </c>
      <c r="B12" s="88" t="s">
        <v>208</v>
      </c>
      <c r="C12" s="85"/>
      <c r="D12" s="85"/>
      <c r="E12" s="85"/>
      <c r="F12" s="85"/>
      <c r="G12" s="85"/>
      <c r="H12" s="85"/>
      <c r="I12" s="85"/>
      <c r="J12" s="85"/>
      <c r="K12" s="86" t="s">
        <v>185</v>
      </c>
      <c r="L12" s="86" t="s">
        <v>185</v>
      </c>
      <c r="M12" s="86" t="s">
        <v>185</v>
      </c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6" t="s">
        <v>185</v>
      </c>
      <c r="Z12" s="86" t="s">
        <v>185</v>
      </c>
      <c r="AA12" s="86" t="s">
        <v>185</v>
      </c>
      <c r="AB12" s="85"/>
      <c r="AC12" s="85"/>
      <c r="AD12" s="85"/>
      <c r="AE12" s="85"/>
      <c r="AF12" s="85"/>
      <c r="AG12" s="85"/>
      <c r="AH12" s="85"/>
      <c r="AI12" s="85"/>
    </row>
    <row r="13" customFormat="false" ht="15" hidden="false" customHeight="true" outlineLevel="0" collapsed="false">
      <c r="A13" s="83" t="s">
        <v>209</v>
      </c>
      <c r="B13" s="84" t="s">
        <v>210</v>
      </c>
      <c r="C13" s="85"/>
      <c r="D13" s="85"/>
      <c r="E13" s="85"/>
      <c r="F13" s="85"/>
      <c r="G13" s="85"/>
      <c r="H13" s="85"/>
      <c r="I13" s="85"/>
      <c r="J13" s="85"/>
      <c r="K13" s="85"/>
      <c r="L13" s="86" t="s">
        <v>185</v>
      </c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</row>
    <row r="14" customFormat="false" ht="15" hidden="false" customHeight="true" outlineLevel="0" collapsed="false">
      <c r="A14" s="87" t="s">
        <v>212</v>
      </c>
      <c r="B14" s="88" t="s">
        <v>213</v>
      </c>
      <c r="C14" s="85"/>
      <c r="D14" s="85"/>
      <c r="E14" s="85"/>
      <c r="F14" s="85"/>
      <c r="G14" s="85"/>
      <c r="H14" s="85"/>
      <c r="I14" s="85"/>
      <c r="J14" s="86" t="s">
        <v>185</v>
      </c>
      <c r="K14" s="86" t="s">
        <v>185</v>
      </c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6" t="s">
        <v>185</v>
      </c>
      <c r="Z14" s="86" t="s">
        <v>185</v>
      </c>
      <c r="AA14" s="86" t="s">
        <v>185</v>
      </c>
      <c r="AB14" s="85"/>
      <c r="AC14" s="85"/>
      <c r="AD14" s="85"/>
      <c r="AE14" s="85"/>
      <c r="AF14" s="85"/>
      <c r="AG14" s="85"/>
      <c r="AH14" s="85"/>
      <c r="AI14" s="85"/>
    </row>
    <row r="15" customFormat="false" ht="15" hidden="false" customHeight="true" outlineLevel="0" collapsed="false">
      <c r="A15" s="83" t="s">
        <v>215</v>
      </c>
      <c r="B15" s="84" t="s">
        <v>216</v>
      </c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</row>
    <row r="16" customFormat="false" ht="15" hidden="false" customHeight="true" outlineLevel="0" collapsed="false">
      <c r="A16" s="87" t="s">
        <v>217</v>
      </c>
      <c r="B16" s="88" t="s">
        <v>218</v>
      </c>
      <c r="C16" s="86" t="s">
        <v>185</v>
      </c>
      <c r="D16" s="86" t="s">
        <v>185</v>
      </c>
      <c r="E16" s="86" t="s">
        <v>185</v>
      </c>
      <c r="F16" s="86" t="s">
        <v>185</v>
      </c>
      <c r="G16" s="86" t="s">
        <v>185</v>
      </c>
      <c r="H16" s="86" t="s">
        <v>185</v>
      </c>
      <c r="I16" s="86" t="s">
        <v>185</v>
      </c>
      <c r="J16" s="86" t="s">
        <v>185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</row>
    <row r="17" customFormat="false" ht="15" hidden="false" customHeight="true" outlineLevel="0" collapsed="false">
      <c r="A17" s="83" t="s">
        <v>219</v>
      </c>
      <c r="B17" s="84" t="s">
        <v>220</v>
      </c>
      <c r="C17" s="86" t="s">
        <v>185</v>
      </c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6" t="s">
        <v>185</v>
      </c>
      <c r="AC17" s="85"/>
      <c r="AD17" s="85"/>
      <c r="AE17" s="85"/>
      <c r="AF17" s="86" t="s">
        <v>185</v>
      </c>
      <c r="AG17" s="85"/>
      <c r="AH17" s="85"/>
      <c r="AI17" s="85"/>
    </row>
    <row r="18" customFormat="false" ht="15" hidden="false" customHeight="true" outlineLevel="0" collapsed="false">
      <c r="A18" s="87" t="s">
        <v>221</v>
      </c>
      <c r="B18" s="88" t="s">
        <v>222</v>
      </c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6" t="s">
        <v>185</v>
      </c>
      <c r="R18" s="86" t="s">
        <v>185</v>
      </c>
      <c r="S18" s="86" t="s">
        <v>185</v>
      </c>
      <c r="T18" s="86" t="s">
        <v>185</v>
      </c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</row>
    <row r="19" customFormat="false" ht="15" hidden="false" customHeight="true" outlineLevel="0" collapsed="false">
      <c r="A19" s="83" t="s">
        <v>223</v>
      </c>
      <c r="B19" s="84" t="s">
        <v>224</v>
      </c>
      <c r="C19" s="85"/>
      <c r="D19" s="85"/>
      <c r="E19" s="86" t="s">
        <v>185</v>
      </c>
      <c r="F19" s="86" t="s">
        <v>185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6" t="s">
        <v>185</v>
      </c>
      <c r="Z19" s="86" t="s">
        <v>185</v>
      </c>
      <c r="AA19" s="86" t="s">
        <v>185</v>
      </c>
      <c r="AB19" s="85"/>
      <c r="AC19" s="85"/>
      <c r="AD19" s="85"/>
      <c r="AE19" s="85"/>
      <c r="AF19" s="85"/>
      <c r="AG19" s="85"/>
      <c r="AH19" s="85"/>
      <c r="AI19" s="85"/>
    </row>
    <row r="20" customFormat="false" ht="15" hidden="false" customHeight="true" outlineLevel="0" collapsed="false">
      <c r="A20" s="87" t="s">
        <v>225</v>
      </c>
      <c r="B20" s="88" t="s">
        <v>226</v>
      </c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</row>
    <row r="21" customFormat="false" ht="15" hidden="false" customHeight="true" outlineLevel="0" collapsed="false">
      <c r="A21" s="83" t="s">
        <v>227</v>
      </c>
      <c r="B21" s="84" t="s">
        <v>228</v>
      </c>
      <c r="C21" s="85"/>
      <c r="D21" s="85"/>
      <c r="E21" s="85"/>
      <c r="F21" s="85"/>
      <c r="G21" s="85"/>
      <c r="H21" s="85"/>
      <c r="I21" s="85"/>
      <c r="J21" s="86" t="s">
        <v>185</v>
      </c>
      <c r="K21" s="86" t="s">
        <v>185</v>
      </c>
      <c r="L21" s="86" t="s">
        <v>185</v>
      </c>
      <c r="M21" s="86" t="s">
        <v>185</v>
      </c>
      <c r="N21" s="86" t="s">
        <v>185</v>
      </c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</row>
    <row r="22" customFormat="false" ht="15" hidden="false" customHeight="true" outlineLevel="0" collapsed="false">
      <c r="A22" s="87" t="s">
        <v>229</v>
      </c>
      <c r="B22" s="88" t="s">
        <v>230</v>
      </c>
      <c r="C22" s="85"/>
      <c r="D22" s="85"/>
      <c r="E22" s="85"/>
      <c r="F22" s="85"/>
      <c r="G22" s="85"/>
      <c r="H22" s="85"/>
      <c r="I22" s="85"/>
      <c r="J22" s="86" t="s">
        <v>185</v>
      </c>
      <c r="K22" s="86" t="s">
        <v>185</v>
      </c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6" t="s">
        <v>185</v>
      </c>
      <c r="Y22" s="86" t="s">
        <v>185</v>
      </c>
      <c r="Z22" s="86" t="s">
        <v>185</v>
      </c>
      <c r="AA22" s="86" t="s">
        <v>185</v>
      </c>
      <c r="AB22" s="85"/>
      <c r="AC22" s="85"/>
      <c r="AD22" s="85"/>
      <c r="AE22" s="85"/>
      <c r="AF22" s="85"/>
      <c r="AG22" s="85"/>
      <c r="AH22" s="85"/>
      <c r="AI22" s="85"/>
    </row>
    <row r="23" customFormat="false" ht="15" hidden="false" customHeight="true" outlineLevel="0" collapsed="false">
      <c r="A23" s="83" t="s">
        <v>231</v>
      </c>
      <c r="B23" s="84" t="s">
        <v>232</v>
      </c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6" t="s">
        <v>185</v>
      </c>
      <c r="AA23" s="86" t="s">
        <v>185</v>
      </c>
      <c r="AB23" s="85"/>
      <c r="AC23" s="85"/>
      <c r="AD23" s="85"/>
      <c r="AE23" s="85"/>
      <c r="AF23" s="85"/>
      <c r="AG23" s="85"/>
      <c r="AH23" s="85"/>
      <c r="AI23" s="85"/>
    </row>
    <row r="24" customFormat="false" ht="15" hidden="false" customHeight="true" outlineLevel="0" collapsed="false">
      <c r="A24" s="87" t="s">
        <v>233</v>
      </c>
      <c r="B24" s="88" t="s">
        <v>234</v>
      </c>
      <c r="C24" s="85"/>
      <c r="D24" s="85"/>
      <c r="E24" s="85"/>
      <c r="F24" s="85"/>
      <c r="G24" s="85"/>
      <c r="H24" s="85"/>
      <c r="I24" s="85"/>
      <c r="J24" s="85"/>
      <c r="K24" s="86" t="s">
        <v>185</v>
      </c>
      <c r="L24" s="86" t="s">
        <v>185</v>
      </c>
      <c r="M24" s="86" t="s">
        <v>185</v>
      </c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</row>
    <row r="25" customFormat="false" ht="15" hidden="false" customHeight="true" outlineLevel="0" collapsed="false">
      <c r="A25" s="83" t="s">
        <v>235</v>
      </c>
      <c r="B25" s="84" t="s">
        <v>236</v>
      </c>
      <c r="C25" s="85"/>
      <c r="D25" s="89" t="s">
        <v>256</v>
      </c>
      <c r="E25" s="89" t="s">
        <v>256</v>
      </c>
      <c r="F25" s="89" t="s">
        <v>256</v>
      </c>
      <c r="G25" s="85"/>
      <c r="H25" s="85"/>
      <c r="I25" s="85"/>
      <c r="J25" s="85"/>
      <c r="K25" s="85"/>
      <c r="L25" s="85"/>
      <c r="M25" s="89" t="s">
        <v>256</v>
      </c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9" t="s">
        <v>256</v>
      </c>
      <c r="Z25" s="89" t="s">
        <v>256</v>
      </c>
      <c r="AA25" s="89" t="s">
        <v>256</v>
      </c>
      <c r="AB25" s="85"/>
      <c r="AC25" s="85"/>
      <c r="AD25" s="85"/>
      <c r="AE25" s="85"/>
      <c r="AF25" s="85"/>
      <c r="AG25" s="85"/>
      <c r="AH25" s="85"/>
      <c r="AI25" s="85"/>
    </row>
    <row r="26" customFormat="false" ht="15" hidden="false" customHeight="true" outlineLevel="0" collapsed="false">
      <c r="A26" s="87" t="s">
        <v>237</v>
      </c>
      <c r="B26" s="88" t="s">
        <v>238</v>
      </c>
      <c r="C26" s="85"/>
      <c r="D26" s="86" t="s">
        <v>185</v>
      </c>
      <c r="E26" s="86" t="s">
        <v>185</v>
      </c>
      <c r="F26" s="86" t="s">
        <v>185</v>
      </c>
      <c r="G26" s="85"/>
      <c r="H26" s="85"/>
      <c r="I26" s="85"/>
      <c r="J26" s="85"/>
      <c r="K26" s="86" t="s">
        <v>185</v>
      </c>
      <c r="L26" s="86" t="s">
        <v>185</v>
      </c>
      <c r="M26" s="86" t="s">
        <v>185</v>
      </c>
      <c r="N26" s="85"/>
      <c r="O26" s="85"/>
      <c r="P26" s="85"/>
      <c r="Q26" s="86" t="s">
        <v>185</v>
      </c>
      <c r="R26" s="86" t="s">
        <v>185</v>
      </c>
      <c r="S26" s="86" t="s">
        <v>185</v>
      </c>
      <c r="T26" s="86" t="s">
        <v>185</v>
      </c>
      <c r="U26" s="86" t="s">
        <v>185</v>
      </c>
      <c r="V26" s="86" t="s">
        <v>185</v>
      </c>
      <c r="W26" s="86" t="s">
        <v>185</v>
      </c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</row>
    <row r="27" customFormat="false" ht="15" hidden="false" customHeight="true" outlineLevel="0" collapsed="false">
      <c r="A27" s="83" t="s">
        <v>239</v>
      </c>
      <c r="B27" s="84" t="s">
        <v>240</v>
      </c>
      <c r="C27" s="90" t="s">
        <v>257</v>
      </c>
      <c r="D27" s="85"/>
      <c r="E27" s="85"/>
      <c r="F27" s="90" t="s">
        <v>257</v>
      </c>
      <c r="G27" s="85"/>
      <c r="H27" s="85"/>
      <c r="I27" s="90" t="s">
        <v>257</v>
      </c>
      <c r="J27" s="85"/>
      <c r="K27" s="85"/>
      <c r="L27" s="90" t="s">
        <v>257</v>
      </c>
      <c r="M27" s="85"/>
      <c r="N27" s="85"/>
      <c r="O27" s="90" t="s">
        <v>257</v>
      </c>
      <c r="P27" s="85"/>
      <c r="Q27" s="85"/>
      <c r="R27" s="89" t="s">
        <v>256</v>
      </c>
      <c r="S27" s="89" t="s">
        <v>256</v>
      </c>
      <c r="T27" s="90" t="s">
        <v>257</v>
      </c>
      <c r="U27" s="85"/>
      <c r="V27" s="85"/>
      <c r="W27" s="90" t="s">
        <v>257</v>
      </c>
      <c r="X27" s="85"/>
      <c r="Y27" s="85"/>
      <c r="Z27" s="85"/>
      <c r="AA27" s="90" t="s">
        <v>257</v>
      </c>
      <c r="AB27" s="85"/>
      <c r="AC27" s="85"/>
      <c r="AD27" s="90" t="s">
        <v>257</v>
      </c>
      <c r="AE27" s="85"/>
      <c r="AF27" s="85"/>
      <c r="AG27" s="85"/>
      <c r="AH27" s="85"/>
      <c r="AI27" s="85"/>
    </row>
    <row r="28" customFormat="false" ht="15" hidden="false" customHeight="true" outlineLevel="0" collapsed="false">
      <c r="A28" s="87" t="s">
        <v>241</v>
      </c>
      <c r="B28" s="88" t="s">
        <v>242</v>
      </c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6" t="s">
        <v>185</v>
      </c>
      <c r="AF28" s="86" t="s">
        <v>185</v>
      </c>
      <c r="AG28" s="86" t="s">
        <v>185</v>
      </c>
      <c r="AH28" s="86" t="s">
        <v>185</v>
      </c>
      <c r="AI28" s="85"/>
    </row>
    <row r="29" customFormat="false" ht="15" hidden="false" customHeight="true" outlineLevel="0" collapsed="false">
      <c r="A29" s="83" t="s">
        <v>243</v>
      </c>
      <c r="B29" s="84" t="s">
        <v>244</v>
      </c>
      <c r="C29" s="85"/>
      <c r="D29" s="85"/>
      <c r="E29" s="86" t="s">
        <v>185</v>
      </c>
      <c r="F29" s="86" t="s">
        <v>185</v>
      </c>
      <c r="G29" s="85"/>
      <c r="H29" s="85"/>
      <c r="I29" s="85"/>
      <c r="J29" s="85"/>
      <c r="K29" s="85"/>
      <c r="L29" s="85"/>
      <c r="M29" s="85"/>
      <c r="N29" s="85"/>
      <c r="O29" s="85"/>
      <c r="P29" s="86" t="s">
        <v>185</v>
      </c>
      <c r="Q29" s="86" t="s">
        <v>185</v>
      </c>
      <c r="R29" s="86" t="s">
        <v>185</v>
      </c>
      <c r="S29" s="86" t="s">
        <v>185</v>
      </c>
      <c r="T29" s="86" t="s">
        <v>185</v>
      </c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</row>
    <row r="30" customFormat="false" ht="15.75" hidden="false" customHeight="true" outlineLevel="0" collapsed="false">
      <c r="A30" s="91" t="s">
        <v>258</v>
      </c>
      <c r="C30" s="92" t="n">
        <v>3</v>
      </c>
      <c r="D30" s="93" t="n">
        <v>7</v>
      </c>
      <c r="E30" s="94" t="n">
        <v>8</v>
      </c>
      <c r="F30" s="94" t="n">
        <v>10</v>
      </c>
      <c r="G30" s="92" t="n">
        <v>1</v>
      </c>
      <c r="H30" s="92" t="n">
        <v>1</v>
      </c>
      <c r="I30" s="92" t="n">
        <v>2</v>
      </c>
      <c r="J30" s="93" t="n">
        <v>4</v>
      </c>
      <c r="K30" s="93" t="n">
        <v>7</v>
      </c>
      <c r="L30" s="93" t="n">
        <v>7</v>
      </c>
      <c r="M30" s="93" t="n">
        <v>6</v>
      </c>
      <c r="N30" s="92" t="n">
        <v>1</v>
      </c>
      <c r="O30" s="92" t="n">
        <v>1</v>
      </c>
      <c r="P30" s="92" t="n">
        <v>1</v>
      </c>
      <c r="Q30" s="92" t="n">
        <v>3</v>
      </c>
      <c r="R30" s="93" t="n">
        <v>4</v>
      </c>
      <c r="S30" s="93" t="n">
        <v>4</v>
      </c>
      <c r="T30" s="93" t="n">
        <v>4</v>
      </c>
      <c r="U30" s="92" t="n">
        <v>1</v>
      </c>
      <c r="V30" s="92" t="n">
        <v>1</v>
      </c>
      <c r="W30" s="92" t="n">
        <v>3</v>
      </c>
      <c r="X30" s="92" t="n">
        <v>2</v>
      </c>
      <c r="Y30" s="94" t="n">
        <v>12</v>
      </c>
      <c r="Z30" s="94" t="n">
        <v>13</v>
      </c>
      <c r="AA30" s="94" t="n">
        <v>14</v>
      </c>
      <c r="AB30" s="92" t="n">
        <v>1</v>
      </c>
      <c r="AC30" s="92" t="n">
        <v>0</v>
      </c>
      <c r="AD30" s="92" t="n">
        <v>1</v>
      </c>
      <c r="AE30" s="92" t="n">
        <v>1</v>
      </c>
      <c r="AF30" s="92" t="n">
        <v>2</v>
      </c>
      <c r="AG30" s="92" t="n">
        <v>1</v>
      </c>
      <c r="AH30" s="92" t="n">
        <v>1</v>
      </c>
      <c r="AI30" s="92" t="n">
        <v>0</v>
      </c>
    </row>
  </sheetData>
  <mergeCells count="5">
    <mergeCell ref="A1:AI1"/>
    <mergeCell ref="B2:H2"/>
    <mergeCell ref="K2:Q2"/>
    <mergeCell ref="T2:Z2"/>
    <mergeCell ref="AC2:A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5"/>
    <col collapsed="false" customWidth="true" hidden="false" outlineLevel="0" max="3" min="3" style="1" width="14"/>
    <col collapsed="false" customWidth="true" hidden="false" outlineLevel="0" max="4" min="4" style="1" width="55"/>
  </cols>
  <sheetData>
    <row r="1" customFormat="false" ht="21.75" hidden="false" customHeight="true" outlineLevel="0" collapsed="false">
      <c r="A1" s="95" t="s">
        <v>259</v>
      </c>
      <c r="B1" s="95"/>
      <c r="C1" s="95"/>
      <c r="D1" s="95"/>
    </row>
    <row r="3" customFormat="false" ht="15" hidden="false" customHeight="false" outlineLevel="0" collapsed="false">
      <c r="A3" s="78" t="s">
        <v>260</v>
      </c>
      <c r="B3" s="78" t="s">
        <v>261</v>
      </c>
      <c r="C3" s="78" t="s">
        <v>262</v>
      </c>
      <c r="D3" s="78" t="s">
        <v>263</v>
      </c>
    </row>
    <row r="4" customFormat="false" ht="27.75" hidden="false" customHeight="true" outlineLevel="0" collapsed="false">
      <c r="A4" s="96" t="s">
        <v>264</v>
      </c>
      <c r="B4" s="97" t="s">
        <v>265</v>
      </c>
      <c r="C4" s="98" t="s">
        <v>266</v>
      </c>
      <c r="D4" s="99" t="s">
        <v>267</v>
      </c>
    </row>
    <row r="5" customFormat="false" ht="27.75" hidden="false" customHeight="true" outlineLevel="0" collapsed="false">
      <c r="A5" s="100" t="s">
        <v>268</v>
      </c>
      <c r="B5" s="101" t="s">
        <v>269</v>
      </c>
      <c r="C5" s="98" t="s">
        <v>270</v>
      </c>
      <c r="D5" s="102" t="s">
        <v>271</v>
      </c>
    </row>
    <row r="6" customFormat="false" ht="27.75" hidden="false" customHeight="true" outlineLevel="0" collapsed="false">
      <c r="A6" s="96" t="s">
        <v>272</v>
      </c>
      <c r="B6" s="97" t="s">
        <v>273</v>
      </c>
      <c r="C6" s="98" t="s">
        <v>270</v>
      </c>
      <c r="D6" s="99" t="s">
        <v>271</v>
      </c>
    </row>
    <row r="7" customFormat="false" ht="27.75" hidden="false" customHeight="true" outlineLevel="0" collapsed="false">
      <c r="A7" s="100" t="s">
        <v>274</v>
      </c>
      <c r="B7" s="101" t="s">
        <v>275</v>
      </c>
      <c r="C7" s="98" t="s">
        <v>270</v>
      </c>
      <c r="D7" s="102" t="s">
        <v>271</v>
      </c>
    </row>
    <row r="8" customFormat="false" ht="27.75" hidden="false" customHeight="true" outlineLevel="0" collapsed="false">
      <c r="A8" s="96" t="s">
        <v>276</v>
      </c>
      <c r="B8" s="97" t="s">
        <v>277</v>
      </c>
      <c r="C8" s="98" t="s">
        <v>266</v>
      </c>
      <c r="D8" s="99" t="s">
        <v>278</v>
      </c>
    </row>
    <row r="9" customFormat="false" ht="27.75" hidden="false" customHeight="true" outlineLevel="0" collapsed="false">
      <c r="A9" s="100" t="s">
        <v>279</v>
      </c>
      <c r="B9" s="101" t="s">
        <v>280</v>
      </c>
      <c r="C9" s="98" t="s">
        <v>270</v>
      </c>
      <c r="D9" s="102" t="s">
        <v>271</v>
      </c>
    </row>
    <row r="10" customFormat="false" ht="27.75" hidden="false" customHeight="true" outlineLevel="0" collapsed="false">
      <c r="A10" s="96" t="s">
        <v>281</v>
      </c>
      <c r="B10" s="97" t="s">
        <v>282</v>
      </c>
      <c r="C10" s="98" t="s">
        <v>270</v>
      </c>
      <c r="D10" s="99" t="s">
        <v>271</v>
      </c>
    </row>
    <row r="11" customFormat="false" ht="27.75" hidden="false" customHeight="true" outlineLevel="0" collapsed="false">
      <c r="A11" s="100" t="s">
        <v>283</v>
      </c>
      <c r="B11" s="101" t="s">
        <v>284</v>
      </c>
      <c r="C11" s="98" t="s">
        <v>270</v>
      </c>
      <c r="D11" s="102" t="s">
        <v>271</v>
      </c>
    </row>
    <row r="12" customFormat="false" ht="27.75" hidden="false" customHeight="true" outlineLevel="0" collapsed="false">
      <c r="A12" s="96" t="s">
        <v>285</v>
      </c>
      <c r="B12" s="97" t="s">
        <v>286</v>
      </c>
      <c r="C12" s="98" t="s">
        <v>270</v>
      </c>
      <c r="D12" s="99"/>
    </row>
    <row r="13" customFormat="false" ht="27.75" hidden="false" customHeight="true" outlineLevel="0" collapsed="false">
      <c r="A13" s="100" t="s">
        <v>287</v>
      </c>
      <c r="B13" s="101" t="s">
        <v>288</v>
      </c>
      <c r="C13" s="98" t="s">
        <v>270</v>
      </c>
      <c r="D13" s="102" t="s">
        <v>289</v>
      </c>
      <c r="E13" s="103" t="s">
        <v>290</v>
      </c>
    </row>
    <row r="14" customFormat="false" ht="27.75" hidden="false" customHeight="true" outlineLevel="0" collapsed="false">
      <c r="A14" s="96" t="s">
        <v>291</v>
      </c>
      <c r="B14" s="97" t="s">
        <v>292</v>
      </c>
      <c r="C14" s="98" t="s">
        <v>270</v>
      </c>
      <c r="D14" s="99" t="s">
        <v>271</v>
      </c>
    </row>
    <row r="15" customFormat="false" ht="27.75" hidden="false" customHeight="true" outlineLevel="0" collapsed="false">
      <c r="A15" s="100" t="s">
        <v>293</v>
      </c>
      <c r="B15" s="101" t="s">
        <v>294</v>
      </c>
      <c r="C15" s="98" t="s">
        <v>270</v>
      </c>
      <c r="D15" s="102" t="s">
        <v>271</v>
      </c>
    </row>
    <row r="16" customFormat="false" ht="27.75" hidden="false" customHeight="true" outlineLevel="0" collapsed="false">
      <c r="A16" s="96" t="s">
        <v>295</v>
      </c>
      <c r="B16" s="97" t="s">
        <v>296</v>
      </c>
      <c r="C16" s="98" t="s">
        <v>270</v>
      </c>
      <c r="D16" s="99" t="s">
        <v>271</v>
      </c>
    </row>
    <row r="17" customFormat="false" ht="27.75" hidden="false" customHeight="true" outlineLevel="0" collapsed="false">
      <c r="A17" s="100" t="s">
        <v>297</v>
      </c>
      <c r="B17" s="101" t="s">
        <v>298</v>
      </c>
      <c r="C17" s="98" t="s">
        <v>270</v>
      </c>
      <c r="D17" s="102" t="s">
        <v>271</v>
      </c>
    </row>
    <row r="18" customFormat="false" ht="27.75" hidden="false" customHeight="true" outlineLevel="0" collapsed="false">
      <c r="A18" s="96" t="s">
        <v>299</v>
      </c>
      <c r="B18" s="97" t="s">
        <v>300</v>
      </c>
      <c r="C18" s="98" t="s">
        <v>270</v>
      </c>
      <c r="D18" s="99" t="s">
        <v>301</v>
      </c>
    </row>
    <row r="19" customFormat="false" ht="27.75" hidden="false" customHeight="true" outlineLevel="0" collapsed="false">
      <c r="A19" s="100" t="s">
        <v>302</v>
      </c>
      <c r="B19" s="101" t="s">
        <v>303</v>
      </c>
      <c r="C19" s="98" t="s">
        <v>270</v>
      </c>
      <c r="D19" s="102" t="s">
        <v>271</v>
      </c>
      <c r="G19" s="103" t="s">
        <v>304</v>
      </c>
    </row>
    <row r="20" customFormat="false" ht="27.75" hidden="false" customHeight="true" outlineLevel="0" collapsed="false">
      <c r="A20" s="96" t="s">
        <v>305</v>
      </c>
      <c r="B20" s="97" t="s">
        <v>306</v>
      </c>
      <c r="C20" s="98" t="s">
        <v>270</v>
      </c>
      <c r="D20" s="99" t="s">
        <v>271</v>
      </c>
      <c r="G20" s="103" t="s">
        <v>307</v>
      </c>
    </row>
    <row r="21" customFormat="false" ht="27.75" hidden="false" customHeight="true" outlineLevel="0" collapsed="false">
      <c r="A21" s="100" t="s">
        <v>308</v>
      </c>
      <c r="B21" s="101" t="s">
        <v>309</v>
      </c>
      <c r="C21" s="98" t="s">
        <v>270</v>
      </c>
      <c r="D21" s="102" t="s">
        <v>271</v>
      </c>
      <c r="G21" s="103" t="s">
        <v>310</v>
      </c>
    </row>
    <row r="23" customFormat="false" ht="15" hidden="false" customHeight="false" outlineLevel="0" collapsed="false">
      <c r="A23" s="104" t="s">
        <v>311</v>
      </c>
      <c r="B23" s="104"/>
      <c r="C23" s="104"/>
      <c r="D23" s="104"/>
    </row>
    <row r="24" customFormat="false" ht="26.85" hidden="false" customHeight="false" outlineLevel="0" collapsed="false">
      <c r="A24" s="70" t="s">
        <v>262</v>
      </c>
      <c r="B24" s="105" t="s">
        <v>312</v>
      </c>
    </row>
    <row r="27" customFormat="false" ht="15.75" hidden="false" customHeight="true" outlineLevel="0" collapsed="false">
      <c r="A27" s="106" t="s">
        <v>313</v>
      </c>
      <c r="B27" s="106"/>
      <c r="C27" s="106"/>
      <c r="D27" s="106"/>
    </row>
    <row r="28" customFormat="false" ht="15" hidden="false" customHeight="false" outlineLevel="0" collapsed="false">
      <c r="A28" s="78" t="s">
        <v>260</v>
      </c>
      <c r="B28" s="78" t="s">
        <v>314</v>
      </c>
      <c r="C28" s="78" t="s">
        <v>315</v>
      </c>
      <c r="D28" s="78" t="s">
        <v>316</v>
      </c>
    </row>
    <row r="29" customFormat="false" ht="15" hidden="false" customHeight="false" outlineLevel="0" collapsed="false">
      <c r="A29" s="96" t="s">
        <v>317</v>
      </c>
      <c r="B29" s="107" t="s">
        <v>318</v>
      </c>
      <c r="C29" s="108" t="n">
        <v>10</v>
      </c>
      <c r="D29" s="109" t="n">
        <v>10</v>
      </c>
    </row>
    <row r="30" customFormat="false" ht="15" hidden="false" customHeight="false" outlineLevel="0" collapsed="false">
      <c r="A30" s="100" t="s">
        <v>319</v>
      </c>
      <c r="B30" s="110" t="s">
        <v>320</v>
      </c>
      <c r="C30" s="111" t="n">
        <v>10</v>
      </c>
      <c r="D30" s="109" t="n">
        <v>8</v>
      </c>
    </row>
    <row r="31" customFormat="false" ht="15" hidden="false" customHeight="false" outlineLevel="0" collapsed="false">
      <c r="A31" s="96" t="s">
        <v>321</v>
      </c>
      <c r="B31" s="107" t="s">
        <v>322</v>
      </c>
      <c r="C31" s="108" t="n">
        <v>6</v>
      </c>
      <c r="D31" s="109" t="n">
        <v>0</v>
      </c>
    </row>
    <row r="32" customFormat="false" ht="15" hidden="false" customHeight="false" outlineLevel="0" collapsed="false">
      <c r="A32" s="100" t="s">
        <v>323</v>
      </c>
      <c r="B32" s="110" t="s">
        <v>324</v>
      </c>
      <c r="C32" s="111" t="n">
        <v>6</v>
      </c>
      <c r="D32" s="109" t="n">
        <v>5</v>
      </c>
    </row>
    <row r="33" customFormat="false" ht="15" hidden="false" customHeight="false" outlineLevel="0" collapsed="false">
      <c r="A33" s="96" t="s">
        <v>325</v>
      </c>
      <c r="B33" s="107" t="s">
        <v>326</v>
      </c>
      <c r="C33" s="108" t="n">
        <v>5</v>
      </c>
      <c r="D33" s="109" t="n">
        <v>0</v>
      </c>
    </row>
    <row r="34" customFormat="false" ht="15" hidden="false" customHeight="false" outlineLevel="0" collapsed="false">
      <c r="A34" s="100"/>
      <c r="B34" s="110"/>
      <c r="C34" s="111"/>
      <c r="D34" s="109"/>
    </row>
    <row r="35" customFormat="false" ht="15" hidden="false" customHeight="false" outlineLevel="0" collapsed="false">
      <c r="A35" s="96" t="s">
        <v>327</v>
      </c>
      <c r="B35" s="107" t="s">
        <v>328</v>
      </c>
      <c r="C35" s="108" t="n">
        <v>2</v>
      </c>
      <c r="D35" s="109" t="n">
        <v>0</v>
      </c>
    </row>
    <row r="36" customFormat="false" ht="15" hidden="false" customHeight="false" outlineLevel="0" collapsed="false">
      <c r="B36" s="70" t="s">
        <v>245</v>
      </c>
      <c r="C36" s="70" t="n">
        <f aca="false">SUM(C29:C35)</f>
        <v>39</v>
      </c>
      <c r="D36" s="70" t="n">
        <f aca="false">SUM(D29:D35)</f>
        <v>23</v>
      </c>
    </row>
    <row r="39" customFormat="false" ht="15.75" hidden="false" customHeight="true" outlineLevel="0" collapsed="false">
      <c r="A39" s="106" t="s">
        <v>329</v>
      </c>
      <c r="B39" s="106"/>
      <c r="C39" s="106"/>
      <c r="D39" s="106"/>
    </row>
    <row r="40" customFormat="false" ht="15" hidden="false" customHeight="false" outlineLevel="0" collapsed="false">
      <c r="A40" s="78" t="s">
        <v>330</v>
      </c>
      <c r="B40" s="78" t="s">
        <v>331</v>
      </c>
      <c r="C40" s="78" t="s">
        <v>332</v>
      </c>
      <c r="D40" s="78" t="s">
        <v>333</v>
      </c>
    </row>
    <row r="41" customFormat="false" ht="176.1" hidden="false" customHeight="false" outlineLevel="0" collapsed="false">
      <c r="A41" s="1" t="s">
        <v>334</v>
      </c>
      <c r="B41" s="112" t="s">
        <v>335</v>
      </c>
      <c r="C41" s="112" t="s">
        <v>336</v>
      </c>
      <c r="D41" s="1" t="s">
        <v>337</v>
      </c>
    </row>
    <row r="42" customFormat="false" ht="82.05" hidden="false" customHeight="false" outlineLevel="0" collapsed="false">
      <c r="A42" s="1" t="s">
        <v>338</v>
      </c>
      <c r="B42" s="112" t="s">
        <v>339</v>
      </c>
      <c r="C42" s="112" t="s">
        <v>340</v>
      </c>
      <c r="D42" s="1" t="s">
        <v>341</v>
      </c>
    </row>
    <row r="43" customFormat="false" ht="41.75" hidden="false" customHeight="false" outlineLevel="0" collapsed="false">
      <c r="A43" s="1" t="s">
        <v>338</v>
      </c>
      <c r="B43" s="112" t="s">
        <v>342</v>
      </c>
      <c r="C43" s="112" t="s">
        <v>343</v>
      </c>
      <c r="D43" s="1" t="s">
        <v>341</v>
      </c>
    </row>
  </sheetData>
  <mergeCells count="4">
    <mergeCell ref="A1:D1"/>
    <mergeCell ref="A23:D23"/>
    <mergeCell ref="A27:D27"/>
    <mergeCell ref="A39:D39"/>
  </mergeCells>
  <dataValidations count="1">
    <dataValidation allowBlank="true" errorStyle="stop" operator="between" showDropDown="false" showErrorMessage="false" showInputMessage="false" sqref="C4:C21 B24" type="list">
      <formula1>"Pendiente,✅,❌"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P37" activeCellId="0" sqref="P37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8"/>
    <col collapsed="false" customWidth="true" hidden="false" outlineLevel="0" max="3" min="3" style="1" width="60"/>
  </cols>
  <sheetData>
    <row r="1" customFormat="false" ht="21.75" hidden="false" customHeight="true" outlineLevel="0" collapsed="false">
      <c r="A1" s="113" t="s">
        <v>344</v>
      </c>
      <c r="B1" s="113"/>
      <c r="C1" s="113"/>
    </row>
    <row r="2" customFormat="false" ht="15" hidden="false" customHeight="false" outlineLevel="0" collapsed="false">
      <c r="A2" s="78" t="s">
        <v>252</v>
      </c>
      <c r="B2" s="78" t="s">
        <v>176</v>
      </c>
      <c r="C2" s="78" t="s">
        <v>345</v>
      </c>
    </row>
    <row r="3" customFormat="false" ht="15.75" hidden="false" customHeight="true" outlineLevel="0" collapsed="false">
      <c r="A3" s="57" t="s">
        <v>191</v>
      </c>
      <c r="B3" s="58" t="s">
        <v>192</v>
      </c>
      <c r="C3" s="114" t="s">
        <v>346</v>
      </c>
    </row>
    <row r="4" customFormat="false" ht="15.75" hidden="false" customHeight="true" outlineLevel="0" collapsed="false">
      <c r="A4" s="63" t="s">
        <v>194</v>
      </c>
      <c r="B4" s="64" t="s">
        <v>195</v>
      </c>
      <c r="C4" s="115" t="s">
        <v>347</v>
      </c>
    </row>
    <row r="5" customFormat="false" ht="15.75" hidden="false" customHeight="true" outlineLevel="0" collapsed="false">
      <c r="A5" s="57" t="s">
        <v>196</v>
      </c>
      <c r="B5" s="58" t="s">
        <v>197</v>
      </c>
      <c r="C5" s="114" t="s">
        <v>348</v>
      </c>
    </row>
    <row r="6" customFormat="false" ht="15.75" hidden="false" customHeight="true" outlineLevel="0" collapsed="false">
      <c r="A6" s="63" t="s">
        <v>199</v>
      </c>
      <c r="B6" s="64" t="s">
        <v>200</v>
      </c>
      <c r="C6" s="115" t="s">
        <v>349</v>
      </c>
    </row>
    <row r="7" customFormat="false" ht="15.75" hidden="false" customHeight="true" outlineLevel="0" collapsed="false">
      <c r="A7" s="57" t="s">
        <v>201</v>
      </c>
      <c r="B7" s="58" t="s">
        <v>202</v>
      </c>
      <c r="C7" s="114" t="s">
        <v>347</v>
      </c>
    </row>
    <row r="8" customFormat="false" ht="15.75" hidden="false" customHeight="true" outlineLevel="0" collapsed="false">
      <c r="A8" s="63" t="s">
        <v>203</v>
      </c>
      <c r="B8" s="64" t="s">
        <v>204</v>
      </c>
      <c r="C8" s="115" t="s">
        <v>349</v>
      </c>
    </row>
    <row r="9" customFormat="false" ht="15.75" hidden="false" customHeight="true" outlineLevel="0" collapsed="false">
      <c r="A9" s="57" t="s">
        <v>205</v>
      </c>
      <c r="B9" s="58" t="s">
        <v>206</v>
      </c>
      <c r="C9" s="114" t="s">
        <v>347</v>
      </c>
    </row>
    <row r="10" customFormat="false" ht="15.75" hidden="false" customHeight="true" outlineLevel="0" collapsed="false">
      <c r="A10" s="63" t="s">
        <v>207</v>
      </c>
      <c r="B10" s="64" t="s">
        <v>208</v>
      </c>
      <c r="C10" s="115" t="s">
        <v>348</v>
      </c>
    </row>
    <row r="11" customFormat="false" ht="15.75" hidden="false" customHeight="true" outlineLevel="0" collapsed="false">
      <c r="A11" s="57" t="s">
        <v>209</v>
      </c>
      <c r="B11" s="58" t="s">
        <v>210</v>
      </c>
      <c r="C11" s="114" t="s">
        <v>61</v>
      </c>
    </row>
    <row r="12" customFormat="false" ht="15.75" hidden="false" customHeight="true" outlineLevel="0" collapsed="false">
      <c r="A12" s="63" t="s">
        <v>212</v>
      </c>
      <c r="B12" s="64" t="s">
        <v>213</v>
      </c>
      <c r="C12" s="115" t="s">
        <v>350</v>
      </c>
    </row>
    <row r="13" customFormat="false" ht="15.75" hidden="false" customHeight="true" outlineLevel="0" collapsed="false">
      <c r="A13" s="57" t="s">
        <v>215</v>
      </c>
      <c r="B13" s="58" t="s">
        <v>216</v>
      </c>
      <c r="C13" s="114" t="s">
        <v>351</v>
      </c>
    </row>
    <row r="14" customFormat="false" ht="15.75" hidden="false" customHeight="true" outlineLevel="0" collapsed="false">
      <c r="A14" s="63" t="s">
        <v>217</v>
      </c>
      <c r="B14" s="64" t="s">
        <v>218</v>
      </c>
      <c r="C14" s="115" t="s">
        <v>352</v>
      </c>
    </row>
    <row r="15" customFormat="false" ht="15.75" hidden="false" customHeight="true" outlineLevel="0" collapsed="false">
      <c r="A15" s="57" t="s">
        <v>219</v>
      </c>
      <c r="B15" s="58" t="s">
        <v>220</v>
      </c>
      <c r="C15" s="114" t="s">
        <v>353</v>
      </c>
    </row>
    <row r="16" customFormat="false" ht="15.75" hidden="false" customHeight="true" outlineLevel="0" collapsed="false">
      <c r="A16" s="63" t="s">
        <v>221</v>
      </c>
      <c r="B16" s="64" t="s">
        <v>222</v>
      </c>
      <c r="C16" s="115" t="s">
        <v>354</v>
      </c>
    </row>
    <row r="17" customFormat="false" ht="15.75" hidden="false" customHeight="true" outlineLevel="0" collapsed="false">
      <c r="A17" s="57" t="s">
        <v>223</v>
      </c>
      <c r="B17" s="58" t="s">
        <v>224</v>
      </c>
      <c r="C17" s="114" t="s">
        <v>355</v>
      </c>
    </row>
    <row r="18" customFormat="false" ht="15.75" hidden="false" customHeight="true" outlineLevel="0" collapsed="false">
      <c r="A18" s="63" t="s">
        <v>225</v>
      </c>
      <c r="B18" s="64" t="s">
        <v>226</v>
      </c>
      <c r="C18" s="115" t="s">
        <v>351</v>
      </c>
    </row>
    <row r="19" customFormat="false" ht="15.75" hidden="false" customHeight="true" outlineLevel="0" collapsed="false">
      <c r="A19" s="57" t="s">
        <v>227</v>
      </c>
      <c r="B19" s="58" t="s">
        <v>228</v>
      </c>
      <c r="C19" s="114" t="s">
        <v>356</v>
      </c>
    </row>
    <row r="20" customFormat="false" ht="15.75" hidden="false" customHeight="true" outlineLevel="0" collapsed="false">
      <c r="A20" s="63" t="s">
        <v>229</v>
      </c>
      <c r="B20" s="64" t="s">
        <v>230</v>
      </c>
      <c r="C20" s="115" t="s">
        <v>357</v>
      </c>
    </row>
    <row r="21" customFormat="false" ht="15.75" hidden="false" customHeight="true" outlineLevel="0" collapsed="false">
      <c r="A21" s="57" t="s">
        <v>231</v>
      </c>
      <c r="B21" s="58" t="s">
        <v>232</v>
      </c>
      <c r="C21" s="114" t="s">
        <v>358</v>
      </c>
    </row>
    <row r="22" customFormat="false" ht="15.75" hidden="false" customHeight="true" outlineLevel="0" collapsed="false">
      <c r="A22" s="63" t="s">
        <v>233</v>
      </c>
      <c r="B22" s="64" t="s">
        <v>234</v>
      </c>
      <c r="C22" s="115" t="s">
        <v>359</v>
      </c>
    </row>
    <row r="23" customFormat="false" ht="15.75" hidden="false" customHeight="true" outlineLevel="0" collapsed="false">
      <c r="A23" s="57" t="s">
        <v>235</v>
      </c>
      <c r="B23" s="58" t="s">
        <v>236</v>
      </c>
      <c r="C23" s="114" t="s">
        <v>360</v>
      </c>
    </row>
    <row r="24" customFormat="false" ht="15.75" hidden="false" customHeight="true" outlineLevel="0" collapsed="false">
      <c r="A24" s="63" t="s">
        <v>237</v>
      </c>
      <c r="B24" s="64" t="s">
        <v>238</v>
      </c>
      <c r="C24" s="115" t="s">
        <v>361</v>
      </c>
    </row>
    <row r="25" customFormat="false" ht="15.75" hidden="false" customHeight="true" outlineLevel="0" collapsed="false">
      <c r="A25" s="57" t="s">
        <v>239</v>
      </c>
      <c r="B25" s="58" t="s">
        <v>240</v>
      </c>
      <c r="C25" s="114" t="s">
        <v>362</v>
      </c>
    </row>
    <row r="26" customFormat="false" ht="15.75" hidden="false" customHeight="true" outlineLevel="0" collapsed="false">
      <c r="A26" s="63" t="s">
        <v>241</v>
      </c>
      <c r="B26" s="64" t="s">
        <v>242</v>
      </c>
      <c r="C26" s="115" t="s">
        <v>363</v>
      </c>
    </row>
    <row r="27" customFormat="false" ht="15.75" hidden="false" customHeight="true" outlineLevel="0" collapsed="false">
      <c r="A27" s="57" t="s">
        <v>243</v>
      </c>
      <c r="B27" s="58" t="s">
        <v>244</v>
      </c>
      <c r="C27" s="114" t="s">
        <v>364</v>
      </c>
    </row>
    <row r="29" customFormat="false" ht="15.75" hidden="false" customHeight="true" outlineLevel="0" collapsed="false">
      <c r="A29" s="106" t="s">
        <v>365</v>
      </c>
      <c r="B29" s="106"/>
      <c r="C29" s="106"/>
    </row>
    <row r="30" customFormat="false" ht="15" hidden="false" customHeight="false" outlineLevel="0" collapsed="false">
      <c r="A30" s="78" t="s">
        <v>366</v>
      </c>
      <c r="B30" s="78" t="s">
        <v>367</v>
      </c>
      <c r="C30" s="78" t="s">
        <v>368</v>
      </c>
    </row>
    <row r="31" customFormat="false" ht="15" hidden="false" customHeight="false" outlineLevel="0" collapsed="false">
      <c r="A31" s="116" t="s">
        <v>369</v>
      </c>
      <c r="B31" s="116" t="s">
        <v>370</v>
      </c>
      <c r="C31" s="116" t="s">
        <v>371</v>
      </c>
    </row>
    <row r="32" customFormat="false" ht="15" hidden="false" customHeight="false" outlineLevel="0" collapsed="false">
      <c r="A32" s="116" t="s">
        <v>372</v>
      </c>
      <c r="B32" s="116" t="s">
        <v>373</v>
      </c>
      <c r="C32" s="116" t="s">
        <v>374</v>
      </c>
    </row>
    <row r="33" customFormat="false" ht="15" hidden="false" customHeight="false" outlineLevel="0" collapsed="false">
      <c r="A33" s="116" t="s">
        <v>375</v>
      </c>
      <c r="B33" s="116" t="s">
        <v>370</v>
      </c>
      <c r="C33" s="116" t="s">
        <v>371</v>
      </c>
    </row>
    <row r="34" customFormat="false" ht="15" hidden="false" customHeight="false" outlineLevel="0" collapsed="false">
      <c r="A34" s="116" t="s">
        <v>376</v>
      </c>
      <c r="B34" s="116" t="s">
        <v>373</v>
      </c>
      <c r="C34" s="116" t="s">
        <v>374</v>
      </c>
    </row>
    <row r="35" customFormat="false" ht="15" hidden="false" customHeight="false" outlineLevel="0" collapsed="false">
      <c r="A35" s="116" t="s">
        <v>377</v>
      </c>
      <c r="B35" s="116" t="s">
        <v>370</v>
      </c>
      <c r="C35" s="116" t="s">
        <v>371</v>
      </c>
    </row>
    <row r="36" customFormat="false" ht="15" hidden="false" customHeight="false" outlineLevel="0" collapsed="false">
      <c r="A36" s="116" t="s">
        <v>378</v>
      </c>
      <c r="B36" s="116" t="s">
        <v>373</v>
      </c>
      <c r="C36" s="116" t="s">
        <v>374</v>
      </c>
    </row>
    <row r="37" customFormat="false" ht="15" hidden="false" customHeight="false" outlineLevel="0" collapsed="false">
      <c r="A37" s="116" t="s">
        <v>379</v>
      </c>
      <c r="B37" s="116" t="s">
        <v>370</v>
      </c>
      <c r="C37" s="116" t="s">
        <v>371</v>
      </c>
    </row>
    <row r="38" customFormat="false" ht="15" hidden="false" customHeight="false" outlineLevel="0" collapsed="false">
      <c r="A38" s="116" t="s">
        <v>380</v>
      </c>
      <c r="B38" s="116" t="s">
        <v>370</v>
      </c>
      <c r="C38" s="116" t="s">
        <v>371</v>
      </c>
    </row>
    <row r="39" customFormat="false" ht="15" hidden="false" customHeight="false" outlineLevel="0" collapsed="false">
      <c r="A39" s="116" t="s">
        <v>381</v>
      </c>
      <c r="B39" s="116" t="s">
        <v>373</v>
      </c>
      <c r="C39" s="116" t="s">
        <v>374</v>
      </c>
    </row>
  </sheetData>
  <mergeCells count="2">
    <mergeCell ref="A1:C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8" activeCellId="0" sqref="C8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5"/>
    <col collapsed="false" customWidth="true" hidden="false" outlineLevel="0" max="3" min="3" style="1" width="45"/>
    <col collapsed="false" customWidth="true" hidden="false" outlineLevel="0" max="4" min="4" style="1" width="22"/>
  </cols>
  <sheetData>
    <row r="1" customFormat="false" ht="21.75" hidden="false" customHeight="true" outlineLevel="0" collapsed="false">
      <c r="A1" s="113" t="s">
        <v>382</v>
      </c>
      <c r="B1" s="113"/>
      <c r="C1" s="113"/>
      <c r="D1" s="113"/>
    </row>
    <row r="2" customFormat="false" ht="15" hidden="false" customHeight="false" outlineLevel="0" collapsed="false">
      <c r="A2" s="78" t="s">
        <v>176</v>
      </c>
      <c r="B2" s="78" t="s">
        <v>383</v>
      </c>
      <c r="C2" s="78" t="s">
        <v>384</v>
      </c>
      <c r="D2" s="78" t="s">
        <v>385</v>
      </c>
    </row>
    <row r="3" customFormat="false" ht="30" hidden="false" customHeight="true" outlineLevel="0" collapsed="false">
      <c r="A3" s="96" t="s">
        <v>386</v>
      </c>
      <c r="B3" s="117" t="s">
        <v>387</v>
      </c>
      <c r="C3" s="118" t="s">
        <v>388</v>
      </c>
      <c r="D3" s="117" t="s">
        <v>389</v>
      </c>
    </row>
    <row r="4" customFormat="false" ht="30" hidden="false" customHeight="true" outlineLevel="0" collapsed="false">
      <c r="A4" s="100" t="s">
        <v>390</v>
      </c>
      <c r="B4" s="119" t="s">
        <v>391</v>
      </c>
      <c r="C4" s="118" t="s">
        <v>392</v>
      </c>
      <c r="D4" s="119" t="s">
        <v>393</v>
      </c>
    </row>
    <row r="5" customFormat="false" ht="30" hidden="false" customHeight="true" outlineLevel="0" collapsed="false">
      <c r="A5" s="96" t="s">
        <v>394</v>
      </c>
      <c r="B5" s="117" t="s">
        <v>395</v>
      </c>
      <c r="C5" s="120" t="s">
        <v>396</v>
      </c>
      <c r="D5" s="117" t="s">
        <v>397</v>
      </c>
    </row>
    <row r="6" customFormat="false" ht="30" hidden="false" customHeight="true" outlineLevel="0" collapsed="false">
      <c r="A6" s="100" t="s">
        <v>398</v>
      </c>
      <c r="B6" s="119" t="s">
        <v>399</v>
      </c>
      <c r="C6" s="120" t="s">
        <v>400</v>
      </c>
      <c r="D6" s="119" t="s">
        <v>389</v>
      </c>
    </row>
    <row r="7" customFormat="false" ht="30" hidden="false" customHeight="true" outlineLevel="0" collapsed="false">
      <c r="A7" s="96" t="s">
        <v>401</v>
      </c>
      <c r="B7" s="117" t="s">
        <v>402</v>
      </c>
      <c r="C7" s="120" t="s">
        <v>403</v>
      </c>
      <c r="D7" s="117" t="s">
        <v>397</v>
      </c>
    </row>
    <row r="8" customFormat="false" ht="30" hidden="false" customHeight="true" outlineLevel="0" collapsed="false">
      <c r="A8" s="100" t="s">
        <v>404</v>
      </c>
      <c r="B8" s="119" t="s">
        <v>405</v>
      </c>
      <c r="C8" s="120" t="s">
        <v>406</v>
      </c>
      <c r="D8" s="119" t="s">
        <v>407</v>
      </c>
    </row>
    <row r="9" customFormat="false" ht="30" hidden="false" customHeight="true" outlineLevel="0" collapsed="false">
      <c r="A9" s="96" t="s">
        <v>408</v>
      </c>
      <c r="B9" s="117" t="s">
        <v>409</v>
      </c>
      <c r="C9" s="118" t="s">
        <v>410</v>
      </c>
      <c r="D9" s="117" t="s">
        <v>389</v>
      </c>
    </row>
    <row r="10" customFormat="false" ht="30" hidden="false" customHeight="true" outlineLevel="0" collapsed="false">
      <c r="A10" s="100" t="s">
        <v>411</v>
      </c>
      <c r="B10" s="119" t="s">
        <v>412</v>
      </c>
      <c r="C10" s="118" t="s">
        <v>413</v>
      </c>
      <c r="D10" s="119" t="s">
        <v>389</v>
      </c>
    </row>
    <row r="11" customFormat="false" ht="30" hidden="false" customHeight="true" outlineLevel="0" collapsed="false">
      <c r="A11" s="96" t="s">
        <v>414</v>
      </c>
      <c r="B11" s="117" t="s">
        <v>415</v>
      </c>
      <c r="C11" s="118" t="s">
        <v>416</v>
      </c>
      <c r="D11" s="117" t="s">
        <v>389</v>
      </c>
    </row>
    <row r="12" customFormat="false" ht="30" hidden="false" customHeight="true" outlineLevel="0" collapsed="false">
      <c r="A12" s="100" t="s">
        <v>417</v>
      </c>
      <c r="B12" s="119" t="s">
        <v>418</v>
      </c>
      <c r="C12" s="118" t="s">
        <v>419</v>
      </c>
      <c r="D12" s="119" t="s">
        <v>393</v>
      </c>
    </row>
    <row r="13" customFormat="false" ht="30" hidden="false" customHeight="true" outlineLevel="0" collapsed="false">
      <c r="A13" s="96" t="s">
        <v>420</v>
      </c>
      <c r="B13" s="117" t="s">
        <v>421</v>
      </c>
      <c r="C13" s="121" t="s">
        <v>422</v>
      </c>
      <c r="D13" s="117" t="s">
        <v>423</v>
      </c>
    </row>
    <row r="14" customFormat="false" ht="30" hidden="false" customHeight="true" outlineLevel="0" collapsed="false">
      <c r="A14" s="100" t="s">
        <v>424</v>
      </c>
      <c r="B14" s="119" t="s">
        <v>425</v>
      </c>
      <c r="C14" s="118" t="s">
        <v>426</v>
      </c>
      <c r="D14" s="119" t="s">
        <v>397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F27" activeCellId="0" sqref="F27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8"/>
    <col collapsed="false" customWidth="true" hidden="false" outlineLevel="0" max="6" min="4" style="1" width="12"/>
    <col collapsed="false" customWidth="true" hidden="false" outlineLevel="0" max="7" min="7" style="1" width="8"/>
  </cols>
  <sheetData>
    <row r="1" customFormat="false" ht="21.75" hidden="false" customHeight="true" outlineLevel="0" collapsed="false">
      <c r="A1" s="113" t="s">
        <v>427</v>
      </c>
      <c r="B1" s="113"/>
      <c r="C1" s="113"/>
      <c r="D1" s="113"/>
      <c r="E1" s="113"/>
      <c r="F1" s="113"/>
    </row>
    <row r="2" customFormat="false" ht="15" hidden="false" customHeight="false" outlineLevel="0" collapsed="false">
      <c r="A2" s="122" t="s">
        <v>176</v>
      </c>
      <c r="B2" s="122" t="s">
        <v>428</v>
      </c>
      <c r="C2" s="122" t="s">
        <v>429</v>
      </c>
      <c r="D2" s="122" t="s">
        <v>430</v>
      </c>
      <c r="E2" s="122" t="s">
        <v>431</v>
      </c>
      <c r="F2" s="122" t="s">
        <v>432</v>
      </c>
      <c r="G2" s="122" t="s">
        <v>19</v>
      </c>
    </row>
    <row r="3" customFormat="false" ht="15" hidden="false" customHeight="false" outlineLevel="0" collapsed="false">
      <c r="A3" s="57" t="s">
        <v>192</v>
      </c>
      <c r="B3" s="57" t="s">
        <v>191</v>
      </c>
      <c r="C3" s="57" t="s">
        <v>433</v>
      </c>
      <c r="D3" s="123"/>
      <c r="E3" s="123"/>
      <c r="F3" s="123" t="s">
        <v>434</v>
      </c>
      <c r="G3" s="123"/>
    </row>
    <row r="4" customFormat="false" ht="15" hidden="false" customHeight="false" outlineLevel="0" collapsed="false">
      <c r="A4" s="63" t="s">
        <v>195</v>
      </c>
      <c r="B4" s="63" t="s">
        <v>194</v>
      </c>
      <c r="C4" s="63" t="s">
        <v>433</v>
      </c>
      <c r="D4" s="124"/>
      <c r="E4" s="124"/>
      <c r="F4" s="124" t="s">
        <v>434</v>
      </c>
      <c r="G4" s="124"/>
    </row>
    <row r="5" customFormat="false" ht="15" hidden="false" customHeight="false" outlineLevel="0" collapsed="false">
      <c r="A5" s="57" t="s">
        <v>197</v>
      </c>
      <c r="B5" s="57" t="s">
        <v>196</v>
      </c>
      <c r="C5" s="57" t="s">
        <v>433</v>
      </c>
      <c r="D5" s="123"/>
      <c r="E5" s="123"/>
      <c r="F5" s="123" t="s">
        <v>434</v>
      </c>
      <c r="G5" s="123"/>
    </row>
    <row r="6" customFormat="false" ht="15" hidden="false" customHeight="false" outlineLevel="0" collapsed="false">
      <c r="A6" s="63" t="s">
        <v>200</v>
      </c>
      <c r="B6" s="63" t="s">
        <v>199</v>
      </c>
      <c r="C6" s="63" t="s">
        <v>433</v>
      </c>
      <c r="D6" s="124"/>
      <c r="E6" s="124"/>
      <c r="F6" s="124" t="s">
        <v>434</v>
      </c>
      <c r="G6" s="124"/>
    </row>
    <row r="7" customFormat="false" ht="15" hidden="false" customHeight="false" outlineLevel="0" collapsed="false">
      <c r="A7" s="57" t="s">
        <v>202</v>
      </c>
      <c r="B7" s="57" t="s">
        <v>201</v>
      </c>
      <c r="C7" s="57" t="s">
        <v>433</v>
      </c>
      <c r="D7" s="123"/>
      <c r="E7" s="123"/>
      <c r="F7" s="123" t="s">
        <v>434</v>
      </c>
      <c r="G7" s="123"/>
    </row>
    <row r="8" customFormat="false" ht="15" hidden="false" customHeight="false" outlineLevel="0" collapsed="false">
      <c r="A8" s="63" t="s">
        <v>204</v>
      </c>
      <c r="B8" s="63" t="s">
        <v>203</v>
      </c>
      <c r="C8" s="63" t="s">
        <v>433</v>
      </c>
      <c r="D8" s="124"/>
      <c r="E8" s="124"/>
      <c r="F8" s="124" t="s">
        <v>434</v>
      </c>
      <c r="G8" s="124"/>
    </row>
    <row r="9" customFormat="false" ht="15" hidden="false" customHeight="false" outlineLevel="0" collapsed="false">
      <c r="A9" s="57" t="s">
        <v>206</v>
      </c>
      <c r="B9" s="57" t="s">
        <v>205</v>
      </c>
      <c r="C9" s="57" t="s">
        <v>433</v>
      </c>
      <c r="D9" s="123"/>
      <c r="E9" s="123"/>
      <c r="F9" s="123" t="s">
        <v>434</v>
      </c>
      <c r="G9" s="123"/>
    </row>
    <row r="10" customFormat="false" ht="15" hidden="false" customHeight="false" outlineLevel="0" collapsed="false">
      <c r="A10" s="63" t="s">
        <v>208</v>
      </c>
      <c r="B10" s="63" t="s">
        <v>207</v>
      </c>
      <c r="C10" s="63" t="s">
        <v>433</v>
      </c>
      <c r="D10" s="124"/>
      <c r="E10" s="124"/>
      <c r="F10" s="124" t="s">
        <v>434</v>
      </c>
      <c r="G10" s="124"/>
    </row>
    <row r="11" customFormat="false" ht="15" hidden="false" customHeight="false" outlineLevel="0" collapsed="false">
      <c r="A11" s="57" t="s">
        <v>210</v>
      </c>
      <c r="B11" s="57" t="s">
        <v>209</v>
      </c>
      <c r="C11" s="57" t="s">
        <v>435</v>
      </c>
      <c r="D11" s="123"/>
      <c r="E11" s="123" t="s">
        <v>434</v>
      </c>
      <c r="F11" s="123"/>
      <c r="G11" s="123"/>
    </row>
    <row r="12" customFormat="false" ht="15" hidden="false" customHeight="false" outlineLevel="0" collapsed="false">
      <c r="A12" s="63" t="s">
        <v>213</v>
      </c>
      <c r="B12" s="63" t="s">
        <v>212</v>
      </c>
      <c r="C12" s="63" t="s">
        <v>435</v>
      </c>
      <c r="D12" s="124"/>
      <c r="E12" s="124" t="s">
        <v>434</v>
      </c>
      <c r="F12" s="124" t="s">
        <v>434</v>
      </c>
      <c r="G12" s="124"/>
    </row>
    <row r="13" customFormat="false" ht="15" hidden="false" customHeight="false" outlineLevel="0" collapsed="false">
      <c r="A13" s="57" t="s">
        <v>216</v>
      </c>
      <c r="B13" s="57" t="s">
        <v>215</v>
      </c>
      <c r="C13" s="57" t="s">
        <v>435</v>
      </c>
      <c r="D13" s="123"/>
      <c r="E13" s="123" t="s">
        <v>434</v>
      </c>
      <c r="F13" s="123"/>
      <c r="G13" s="123"/>
    </row>
    <row r="14" customFormat="false" ht="15" hidden="false" customHeight="false" outlineLevel="0" collapsed="false">
      <c r="A14" s="63" t="s">
        <v>218</v>
      </c>
      <c r="B14" s="63" t="s">
        <v>217</v>
      </c>
      <c r="C14" s="63" t="s">
        <v>435</v>
      </c>
      <c r="D14" s="124"/>
      <c r="E14" s="124" t="s">
        <v>434</v>
      </c>
      <c r="F14" s="124" t="s">
        <v>434</v>
      </c>
      <c r="G14" s="124"/>
    </row>
    <row r="15" customFormat="false" ht="15" hidden="false" customHeight="false" outlineLevel="0" collapsed="false">
      <c r="A15" s="57" t="s">
        <v>220</v>
      </c>
      <c r="B15" s="57" t="s">
        <v>219</v>
      </c>
      <c r="C15" s="57" t="s">
        <v>435</v>
      </c>
      <c r="D15" s="123"/>
      <c r="E15" s="123" t="s">
        <v>434</v>
      </c>
      <c r="F15" s="123" t="s">
        <v>434</v>
      </c>
      <c r="G15" s="123"/>
    </row>
    <row r="16" customFormat="false" ht="15" hidden="false" customHeight="false" outlineLevel="0" collapsed="false">
      <c r="A16" s="63" t="s">
        <v>222</v>
      </c>
      <c r="B16" s="63" t="s">
        <v>221</v>
      </c>
      <c r="C16" s="63" t="s">
        <v>435</v>
      </c>
      <c r="D16" s="124"/>
      <c r="E16" s="124" t="s">
        <v>434</v>
      </c>
      <c r="F16" s="124" t="s">
        <v>434</v>
      </c>
      <c r="G16" s="124"/>
    </row>
    <row r="17" customFormat="false" ht="15" hidden="false" customHeight="false" outlineLevel="0" collapsed="false">
      <c r="A17" s="57" t="s">
        <v>224</v>
      </c>
      <c r="B17" s="57" t="s">
        <v>223</v>
      </c>
      <c r="C17" s="57" t="s">
        <v>435</v>
      </c>
      <c r="D17" s="123"/>
      <c r="E17" s="123" t="s">
        <v>434</v>
      </c>
      <c r="F17" s="123" t="s">
        <v>434</v>
      </c>
      <c r="G17" s="123"/>
    </row>
    <row r="18" customFormat="false" ht="15" hidden="false" customHeight="false" outlineLevel="0" collapsed="false">
      <c r="A18" s="63" t="s">
        <v>226</v>
      </c>
      <c r="B18" s="63" t="s">
        <v>225</v>
      </c>
      <c r="C18" s="63" t="s">
        <v>435</v>
      </c>
      <c r="D18" s="124"/>
      <c r="E18" s="124" t="s">
        <v>434</v>
      </c>
      <c r="F18" s="124" t="s">
        <v>434</v>
      </c>
      <c r="G18" s="124"/>
    </row>
    <row r="19" customFormat="false" ht="15" hidden="false" customHeight="false" outlineLevel="0" collapsed="false">
      <c r="A19" s="57" t="s">
        <v>228</v>
      </c>
      <c r="B19" s="57" t="s">
        <v>227</v>
      </c>
      <c r="C19" s="57" t="s">
        <v>436</v>
      </c>
      <c r="D19" s="123" t="s">
        <v>434</v>
      </c>
      <c r="E19" s="123"/>
      <c r="F19" s="123"/>
      <c r="G19" s="123"/>
    </row>
    <row r="20" customFormat="false" ht="15" hidden="false" customHeight="false" outlineLevel="0" collapsed="false">
      <c r="A20" s="63" t="s">
        <v>230</v>
      </c>
      <c r="B20" s="63" t="s">
        <v>229</v>
      </c>
      <c r="C20" s="63" t="s">
        <v>436</v>
      </c>
      <c r="D20" s="124" t="s">
        <v>434</v>
      </c>
      <c r="E20" s="124"/>
      <c r="F20" s="124"/>
      <c r="G20" s="124"/>
    </row>
    <row r="21" customFormat="false" ht="15" hidden="false" customHeight="false" outlineLevel="0" collapsed="false">
      <c r="A21" s="57" t="s">
        <v>232</v>
      </c>
      <c r="B21" s="57" t="s">
        <v>231</v>
      </c>
      <c r="C21" s="57" t="s">
        <v>436</v>
      </c>
      <c r="D21" s="123"/>
      <c r="E21" s="123" t="s">
        <v>434</v>
      </c>
      <c r="F21" s="123"/>
      <c r="G21" s="123"/>
    </row>
    <row r="22" customFormat="false" ht="15" hidden="false" customHeight="false" outlineLevel="0" collapsed="false">
      <c r="A22" s="63" t="s">
        <v>234</v>
      </c>
      <c r="B22" s="63" t="s">
        <v>233</v>
      </c>
      <c r="C22" s="63" t="s">
        <v>436</v>
      </c>
      <c r="D22" s="124"/>
      <c r="E22" s="124" t="s">
        <v>434</v>
      </c>
      <c r="F22" s="124"/>
      <c r="G22" s="124"/>
    </row>
    <row r="23" customFormat="false" ht="15" hidden="false" customHeight="false" outlineLevel="0" collapsed="false">
      <c r="A23" s="57" t="s">
        <v>236</v>
      </c>
      <c r="B23" s="57" t="s">
        <v>235</v>
      </c>
      <c r="C23" s="57" t="s">
        <v>437</v>
      </c>
      <c r="D23" s="123" t="s">
        <v>434</v>
      </c>
      <c r="E23" s="123"/>
      <c r="F23" s="123"/>
      <c r="G23" s="123" t="s">
        <v>434</v>
      </c>
    </row>
    <row r="24" customFormat="false" ht="15" hidden="false" customHeight="false" outlineLevel="0" collapsed="false">
      <c r="A24" s="63" t="s">
        <v>238</v>
      </c>
      <c r="B24" s="63" t="s">
        <v>237</v>
      </c>
      <c r="C24" s="63" t="s">
        <v>437</v>
      </c>
      <c r="D24" s="124" t="s">
        <v>434</v>
      </c>
      <c r="E24" s="124"/>
      <c r="F24" s="124"/>
      <c r="G24" s="124" t="s">
        <v>434</v>
      </c>
    </row>
    <row r="25" customFormat="false" ht="15" hidden="false" customHeight="false" outlineLevel="0" collapsed="false">
      <c r="A25" s="57" t="s">
        <v>240</v>
      </c>
      <c r="B25" s="57" t="s">
        <v>239</v>
      </c>
      <c r="C25" s="57" t="s">
        <v>437</v>
      </c>
      <c r="D25" s="123" t="s">
        <v>434</v>
      </c>
      <c r="E25" s="123"/>
      <c r="F25" s="123"/>
      <c r="G25" s="123" t="s">
        <v>434</v>
      </c>
    </row>
    <row r="26" customFormat="false" ht="15" hidden="false" customHeight="false" outlineLevel="0" collapsed="false">
      <c r="A26" s="63" t="s">
        <v>242</v>
      </c>
      <c r="B26" s="63" t="s">
        <v>241</v>
      </c>
      <c r="C26" s="63" t="s">
        <v>437</v>
      </c>
      <c r="D26" s="124" t="s">
        <v>434</v>
      </c>
      <c r="E26" s="124"/>
      <c r="F26" s="124"/>
      <c r="G26" s="124" t="s">
        <v>434</v>
      </c>
    </row>
    <row r="27" customFormat="false" ht="15" hidden="false" customHeight="false" outlineLevel="0" collapsed="false">
      <c r="A27" s="57" t="s">
        <v>244</v>
      </c>
      <c r="B27" s="57" t="s">
        <v>243</v>
      </c>
      <c r="C27" s="57" t="s">
        <v>437</v>
      </c>
      <c r="D27" s="123" t="s">
        <v>434</v>
      </c>
      <c r="E27" s="123"/>
      <c r="F27" s="123"/>
      <c r="G27" s="123" t="s">
        <v>434</v>
      </c>
    </row>
    <row r="29" customFormat="false" ht="15" hidden="false" customHeight="false" outlineLevel="0" collapsed="false">
      <c r="A29" s="125" t="s">
        <v>438</v>
      </c>
      <c r="B29" s="125"/>
      <c r="C29" s="125"/>
      <c r="D29" s="125"/>
      <c r="E29" s="125"/>
      <c r="F29" s="125"/>
      <c r="G29" s="125"/>
    </row>
    <row r="30" customFormat="false" ht="15" hidden="false" customHeight="false" outlineLevel="0" collapsed="false">
      <c r="A30" s="126" t="s">
        <v>439</v>
      </c>
      <c r="B30" s="126"/>
      <c r="C30" s="126"/>
      <c r="D30" s="126"/>
      <c r="E30" s="126"/>
      <c r="F30" s="126"/>
      <c r="G30" s="126"/>
    </row>
  </sheetData>
  <mergeCells count="3">
    <mergeCell ref="A1:F1"/>
    <mergeCell ref="A29:G29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2" activeCellId="0" sqref="B3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85"/>
  </cols>
  <sheetData>
    <row r="1" customFormat="false" ht="21.75" hidden="false" customHeight="true" outlineLevel="0" collapsed="false">
      <c r="A1" s="113" t="s">
        <v>440</v>
      </c>
      <c r="B1" s="113"/>
    </row>
    <row r="3" customFormat="false" ht="15.75" hidden="false" customHeight="true" outlineLevel="0" collapsed="false">
      <c r="A3" s="127" t="s">
        <v>441</v>
      </c>
    </row>
    <row r="4" customFormat="false" ht="25.5" hidden="false" customHeight="true" outlineLevel="0" collapsed="false">
      <c r="A4" s="96" t="s">
        <v>264</v>
      </c>
      <c r="B4" s="117" t="s">
        <v>265</v>
      </c>
    </row>
    <row r="5" customFormat="false" ht="25.5" hidden="false" customHeight="true" outlineLevel="0" collapsed="false">
      <c r="A5" s="100" t="s">
        <v>268</v>
      </c>
      <c r="B5" s="119" t="s">
        <v>269</v>
      </c>
    </row>
    <row r="6" customFormat="false" ht="25.5" hidden="false" customHeight="true" outlineLevel="0" collapsed="false">
      <c r="A6" s="96" t="s">
        <v>272</v>
      </c>
      <c r="B6" s="117" t="s">
        <v>273</v>
      </c>
    </row>
    <row r="7" customFormat="false" ht="25.5" hidden="false" customHeight="true" outlineLevel="0" collapsed="false">
      <c r="A7" s="100" t="s">
        <v>274</v>
      </c>
      <c r="B7" s="119" t="s">
        <v>275</v>
      </c>
    </row>
    <row r="8" customFormat="false" ht="25.5" hidden="false" customHeight="true" outlineLevel="0" collapsed="false">
      <c r="A8" s="96" t="s">
        <v>276</v>
      </c>
      <c r="B8" s="117" t="s">
        <v>277</v>
      </c>
    </row>
    <row r="9" customFormat="false" ht="25.5" hidden="false" customHeight="true" outlineLevel="0" collapsed="false">
      <c r="A9" s="100" t="s">
        <v>279</v>
      </c>
      <c r="B9" s="119" t="s">
        <v>280</v>
      </c>
    </row>
    <row r="10" customFormat="false" ht="25.5" hidden="false" customHeight="true" outlineLevel="0" collapsed="false">
      <c r="A10" s="96" t="s">
        <v>281</v>
      </c>
      <c r="B10" s="117" t="s">
        <v>282</v>
      </c>
    </row>
    <row r="11" customFormat="false" ht="25.5" hidden="false" customHeight="true" outlineLevel="0" collapsed="false">
      <c r="A11" s="100" t="s">
        <v>283</v>
      </c>
      <c r="B11" s="119" t="s">
        <v>284</v>
      </c>
    </row>
    <row r="12" customFormat="false" ht="25.5" hidden="false" customHeight="true" outlineLevel="0" collapsed="false">
      <c r="A12" s="96" t="s">
        <v>285</v>
      </c>
      <c r="B12" s="117" t="s">
        <v>286</v>
      </c>
    </row>
    <row r="13" customFormat="false" ht="25.5" hidden="false" customHeight="true" outlineLevel="0" collapsed="false">
      <c r="A13" s="100" t="s">
        <v>287</v>
      </c>
      <c r="B13" s="119" t="s">
        <v>288</v>
      </c>
    </row>
    <row r="14" customFormat="false" ht="25.5" hidden="false" customHeight="true" outlineLevel="0" collapsed="false">
      <c r="A14" s="96" t="s">
        <v>291</v>
      </c>
      <c r="B14" s="117" t="s">
        <v>292</v>
      </c>
    </row>
    <row r="15" customFormat="false" ht="25.5" hidden="false" customHeight="true" outlineLevel="0" collapsed="false">
      <c r="A15" s="100" t="s">
        <v>293</v>
      </c>
      <c r="B15" s="119" t="s">
        <v>294</v>
      </c>
    </row>
    <row r="16" customFormat="false" ht="25.5" hidden="false" customHeight="true" outlineLevel="0" collapsed="false">
      <c r="A16" s="96" t="s">
        <v>295</v>
      </c>
      <c r="B16" s="117" t="s">
        <v>296</v>
      </c>
    </row>
    <row r="17" customFormat="false" ht="25.5" hidden="false" customHeight="true" outlineLevel="0" collapsed="false">
      <c r="A17" s="100" t="s">
        <v>297</v>
      </c>
      <c r="B17" s="119" t="s">
        <v>298</v>
      </c>
    </row>
    <row r="18" customFormat="false" ht="25.5" hidden="false" customHeight="true" outlineLevel="0" collapsed="false">
      <c r="A18" s="96" t="s">
        <v>299</v>
      </c>
      <c r="B18" s="117" t="s">
        <v>300</v>
      </c>
    </row>
    <row r="19" customFormat="false" ht="25.5" hidden="false" customHeight="true" outlineLevel="0" collapsed="false">
      <c r="A19" s="100" t="s">
        <v>302</v>
      </c>
      <c r="B19" s="119" t="s">
        <v>303</v>
      </c>
    </row>
    <row r="20" customFormat="false" ht="25.5" hidden="false" customHeight="true" outlineLevel="0" collapsed="false">
      <c r="A20" s="96" t="s">
        <v>305</v>
      </c>
      <c r="B20" s="117" t="s">
        <v>306</v>
      </c>
    </row>
    <row r="21" customFormat="false" ht="25.5" hidden="false" customHeight="true" outlineLevel="0" collapsed="false">
      <c r="A21" s="100" t="s">
        <v>308</v>
      </c>
      <c r="B21" s="119" t="s">
        <v>309</v>
      </c>
    </row>
    <row r="23" customFormat="false" ht="15.75" hidden="false" customHeight="true" outlineLevel="0" collapsed="false">
      <c r="A23" s="127" t="s">
        <v>442</v>
      </c>
    </row>
    <row r="24" customFormat="false" ht="15.75" hidden="false" customHeight="true" outlineLevel="0" collapsed="false">
      <c r="A24" s="96" t="s">
        <v>317</v>
      </c>
      <c r="B24" s="114" t="s">
        <v>443</v>
      </c>
    </row>
    <row r="25" customFormat="false" ht="15.75" hidden="false" customHeight="true" outlineLevel="0" collapsed="false">
      <c r="A25" s="100" t="s">
        <v>319</v>
      </c>
      <c r="B25" s="115" t="s">
        <v>444</v>
      </c>
    </row>
    <row r="26" customFormat="false" ht="15.75" hidden="false" customHeight="true" outlineLevel="0" collapsed="false">
      <c r="A26" s="96" t="s">
        <v>321</v>
      </c>
      <c r="B26" s="114" t="s">
        <v>445</v>
      </c>
    </row>
    <row r="27" customFormat="false" ht="15.75" hidden="false" customHeight="true" outlineLevel="0" collapsed="false">
      <c r="A27" s="100" t="s">
        <v>323</v>
      </c>
      <c r="B27" s="115" t="s">
        <v>446</v>
      </c>
    </row>
    <row r="28" customFormat="false" ht="15.75" hidden="false" customHeight="true" outlineLevel="0" collapsed="false">
      <c r="A28" s="96" t="s">
        <v>325</v>
      </c>
      <c r="B28" s="114" t="s">
        <v>447</v>
      </c>
    </row>
    <row r="29" customFormat="false" ht="15.75" hidden="false" customHeight="true" outlineLevel="0" collapsed="false">
      <c r="A29" s="100" t="s">
        <v>448</v>
      </c>
      <c r="B29" s="115" t="s">
        <v>449</v>
      </c>
    </row>
    <row r="30" customFormat="false" ht="15.75" hidden="false" customHeight="true" outlineLevel="0" collapsed="false">
      <c r="A30" s="96" t="s">
        <v>327</v>
      </c>
      <c r="B30" s="114" t="s">
        <v>450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sheetData>
    <row r="1" customFormat="false" ht="15" hidden="false" customHeight="false" outlineLevel="0" collapsed="false">
      <c r="A1" s="1" t="s">
        <v>23</v>
      </c>
      <c r="B1" s="1" t="s">
        <v>21</v>
      </c>
      <c r="C1" s="1" t="s">
        <v>25</v>
      </c>
      <c r="D1" s="1" t="s">
        <v>19</v>
      </c>
    </row>
    <row r="2" customFormat="false" ht="15" hidden="false" customHeight="false" outlineLevel="0" collapsed="false">
      <c r="A2" s="1" t="s">
        <v>44</v>
      </c>
      <c r="B2" s="1" t="s">
        <v>43</v>
      </c>
      <c r="C2" s="1" t="s">
        <v>107</v>
      </c>
      <c r="D2" s="1" t="s">
        <v>64</v>
      </c>
    </row>
    <row r="3" customFormat="false" ht="15" hidden="false" customHeight="false" outlineLevel="0" collapsed="false">
      <c r="A3" s="1" t="s">
        <v>67</v>
      </c>
      <c r="B3" s="1" t="s">
        <v>41</v>
      </c>
      <c r="C3" s="1" t="s">
        <v>91</v>
      </c>
      <c r="D3" s="1" t="s">
        <v>105</v>
      </c>
    </row>
    <row r="4" customFormat="false" ht="15" hidden="false" customHeight="false" outlineLevel="0" collapsed="false">
      <c r="A4" s="1" t="s">
        <v>89</v>
      </c>
      <c r="B4" s="1" t="s">
        <v>42</v>
      </c>
      <c r="C4" s="1" t="s">
        <v>108</v>
      </c>
      <c r="D4" s="1" t="s">
        <v>63</v>
      </c>
    </row>
    <row r="5" customFormat="false" ht="15" hidden="false" customHeight="false" outlineLevel="0" collapsed="false">
      <c r="A5" s="1" t="s">
        <v>68</v>
      </c>
      <c r="B5" s="1" t="s">
        <v>451</v>
      </c>
      <c r="C5" s="1" t="s">
        <v>72</v>
      </c>
      <c r="D5" s="1" t="s">
        <v>40</v>
      </c>
    </row>
    <row r="6" customFormat="false" ht="15" hidden="false" customHeight="false" outlineLevel="0" collapsed="false">
      <c r="A6" s="1" t="s">
        <v>106</v>
      </c>
      <c r="B6" s="1" t="s">
        <v>65</v>
      </c>
      <c r="C6" s="1" t="s">
        <v>70</v>
      </c>
      <c r="D6" s="1" t="s">
        <v>39</v>
      </c>
    </row>
    <row r="7" customFormat="false" ht="15" hidden="false" customHeight="false" outlineLevel="0" collapsed="false">
      <c r="A7" s="1" t="s">
        <v>46</v>
      </c>
      <c r="B7" s="1" t="s">
        <v>122</v>
      </c>
      <c r="C7" s="1" t="s">
        <v>49</v>
      </c>
    </row>
    <row r="8" customFormat="false" ht="15" hidden="false" customHeight="false" outlineLevel="0" collapsed="false">
      <c r="A8" s="1" t="s">
        <v>45</v>
      </c>
      <c r="B8" s="1" t="s">
        <v>88</v>
      </c>
      <c r="C8" s="1" t="s">
        <v>90</v>
      </c>
    </row>
    <row r="9" customFormat="false" ht="15" hidden="false" customHeight="false" outlineLevel="0" collapsed="false">
      <c r="B9" s="1" t="s">
        <v>452</v>
      </c>
      <c r="C9" s="1" t="s">
        <v>48</v>
      </c>
    </row>
    <row r="10" customFormat="false" ht="15" hidden="false" customHeight="false" outlineLevel="0" collapsed="false">
      <c r="B10" s="1" t="s">
        <v>66</v>
      </c>
      <c r="C10" s="1" t="s">
        <v>92</v>
      </c>
    </row>
    <row r="11" customFormat="false" ht="15" hidden="false" customHeight="false" outlineLevel="0" collapsed="false">
      <c r="B11" s="1" t="s">
        <v>453</v>
      </c>
      <c r="C11" s="1" t="s">
        <v>73</v>
      </c>
    </row>
    <row r="12" customFormat="false" ht="15" hidden="false" customHeight="false" outlineLevel="0" collapsed="false">
      <c r="C12" s="1" t="s">
        <v>69</v>
      </c>
    </row>
    <row r="13" customFormat="false" ht="15" hidden="false" customHeight="false" outlineLevel="0" collapsed="false">
      <c r="C13" s="1" t="s">
        <v>74</v>
      </c>
    </row>
    <row r="14" customFormat="false" ht="15" hidden="false" customHeight="false" outlineLevel="0" collapsed="false">
      <c r="C14" s="1" t="s">
        <v>71</v>
      </c>
    </row>
    <row r="15" customFormat="false" ht="15" hidden="false" customHeight="false" outlineLevel="0" collapsed="false">
      <c r="C15" s="1" t="s">
        <v>47</v>
      </c>
    </row>
    <row r="16" customFormat="false" ht="15" hidden="false" customHeight="false" outlineLevel="0" collapsed="false">
      <c r="C16" s="1" t="s">
        <v>50</v>
      </c>
    </row>
    <row r="17" customFormat="false" ht="15" hidden="false" customHeight="false" outlineLevel="0" collapsed="false">
      <c r="C17" s="1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2026-08-09T14:05:43Z</dcterms:created>
  <dc:creator>openpyxl</dc:creator>
  <dc:description/>
  <dc:language>en-US</dc:language>
  <cp:lastModifiedBy>Pablo Rodríguez</cp:lastModifiedBy>
  <dcterms:modified xsi:type="dcterms:W3CDTF">2026-08-10T09:12:42Z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