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Instrucciones" sheetId="1" state="visible" r:id="rId3"/>
    <sheet name="Calendario Octubre 2026" sheetId="2" state="visible" r:id="rId4"/>
    <sheet name="Cobertura por día" sheetId="3" state="visible" r:id="rId5"/>
    <sheet name="Resumen de guardias" sheetId="4" state="visible" r:id="rId6"/>
    <sheet name="Mapa de bloqueos" sheetId="5" state="visible" r:id="rId7"/>
    <sheet name="Validación H-01 a H-18" sheetId="6" state="visible" r:id="rId8"/>
    <sheet name="Bloqueos y vacaciones" sheetId="7" state="visible" r:id="rId9"/>
    <sheet name="Preguntas pendientes (Q)" sheetId="8" state="visible" r:id="rId10"/>
    <sheet name="Plantilla y elegibilidad" sheetId="9" state="visible" r:id="rId11"/>
    <sheet name="Reglas (resumen)" sheetId="10" state="visible" r:id="rId12"/>
    <sheet name="ListaValida" sheetId="11" state="hidden" r:id="rId13"/>
    <sheet name="Comparativa acumulada" sheetId="12" state="visible" r:id="rId14"/>
    <sheet name="Histórico de guardias" sheetId="13" state="visible" r:id="rId1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1" authorId="0">
      <text>
        <r>
          <rPr>
            <sz val="10"/>
            <rFont val="Arial"/>
            <family val="2"/>
          </rPr>
          <t xml:space="preserve">No disponibles el 5 oct (1):
- Eva [R2-04]</t>
        </r>
      </text>
    </comment>
    <comment ref="A23" authorId="0">
      <text>
        <r>
          <rPr>
            <sz val="10"/>
            <rFont val="Arial"/>
            <family val="2"/>
          </rPr>
          <t xml:space="preserve">Festivo: Fiesta Nacional (El Pilar)</t>
        </r>
      </text>
    </comment>
    <comment ref="A30" authorId="0">
      <text>
        <r>
          <rPr>
            <sz val="10"/>
            <rFont val="Arial"/>
            <family val="2"/>
          </rPr>
          <t xml:space="preserve">No disponibles el 12 oct (1):
- Patricia R3 [R3-01]</t>
        </r>
      </text>
    </comment>
    <comment ref="A39" authorId="0">
      <text>
        <r>
          <rPr>
            <sz val="10"/>
            <rFont val="Arial"/>
            <family val="2"/>
          </rPr>
          <t xml:space="preserve">No disponibles el 19 oct (1):
- Almudena [R4-02]</t>
        </r>
      </text>
    </comment>
    <comment ref="A48" authorId="0">
      <text>
        <r>
          <rPr>
            <sz val="10"/>
            <rFont val="Arial"/>
            <family val="2"/>
          </rPr>
          <t xml:space="preserve">No disponibles el 26 oct (1):
- Emilio [R2-05]</t>
        </r>
      </text>
    </comment>
    <comment ref="A50" authorId="0">
      <text>
        <r>
          <rPr>
            <sz val="10"/>
            <rFont val="Arial"/>
            <family val="2"/>
          </rPr>
          <t xml:space="preserve">Festivo: Traslado festivo</t>
        </r>
      </text>
    </comment>
    <comment ref="B27" authorId="0">
      <text>
        <r>
          <rPr>
            <sz val="10"/>
            <rFont val="Arial"/>
            <family val="2"/>
          </rPr>
          <t xml:space="preserve">Compromiso confirmado con Pablo (Q-08): Sandra cubre sábado 10 + lunes 12 de MAY.</t>
        </r>
      </text>
    </comment>
    <comment ref="C21" authorId="0">
      <text>
        <r>
          <rPr>
            <sz val="10"/>
            <rFont val="Arial"/>
            <family val="2"/>
          </rPr>
          <t xml:space="preserve">No disponibles el 6 oct (1):
- Eva [R2-04]</t>
        </r>
      </text>
    </comment>
    <comment ref="C23" authorId="0">
      <text>
        <r>
          <rPr>
            <sz val="10"/>
            <rFont val="Arial"/>
            <family val="2"/>
          </rPr>
          <t xml:space="preserve">Ana R4 en turno externo (24(T2) CHA) — bloqueada H-10a; ver H-10b/c/d para TX y QX-M/QX-P adyacentes.</t>
        </r>
      </text>
    </comment>
    <comment ref="C30" authorId="0">
      <text>
        <r>
          <rPr>
            <sz val="10"/>
            <rFont val="Arial"/>
            <family val="2"/>
          </rPr>
          <t xml:space="preserve">No disponibles el 13 oct (1):
- Ana R4 (Gaudioso) [R4-03] (trabajo externo 24(T2) CHA)</t>
        </r>
      </text>
    </comment>
    <comment ref="C39" authorId="0">
      <text>
        <r>
          <rPr>
            <sz val="10"/>
            <rFont val="Arial"/>
            <family val="2"/>
          </rPr>
          <t xml:space="preserve">No disponibles el 20 oct (1):
- Almudena [R4-02]</t>
        </r>
      </text>
    </comment>
    <comment ref="E14" authorId="0">
      <text>
        <r>
          <rPr>
            <sz val="10"/>
            <rFont val="Arial"/>
            <family val="2"/>
          </rPr>
          <t xml:space="preserve">Ana R4 en turno externo (24(T2) CHA) — bloqueada H-10a; ver H-10b/c/d para TX y QX-M/QX-P adyacentes.</t>
        </r>
      </text>
    </comment>
    <comment ref="E21" authorId="0">
      <text>
        <r>
          <rPr>
            <sz val="10"/>
            <rFont val="Arial"/>
            <family val="2"/>
          </rPr>
          <t xml:space="preserve">No disponibles el 7 oct (2):
- Ana R4 (Gaudioso) [R4-03] (trabajo externo 24(T2) CHA)
- Eva [R2-04]</t>
        </r>
      </text>
    </comment>
    <comment ref="E30" authorId="0">
      <text>
        <r>
          <rPr>
            <sz val="10"/>
            <rFont val="Arial"/>
            <family val="2"/>
          </rPr>
          <t xml:space="preserve">No disponibles el 14 oct (1):
- Isa [R4-05]</t>
        </r>
      </text>
    </comment>
    <comment ref="E32" authorId="0">
      <text>
        <r>
          <rPr>
            <sz val="10"/>
            <rFont val="Arial"/>
            <family val="2"/>
          </rPr>
          <t xml:space="preserve">Ana R4 en turno externo (24(T2) CHA) — bloqueada H-10a; ver H-10b/c/d para TX y QX-M/QX-P adyacentes.</t>
        </r>
      </text>
    </comment>
    <comment ref="E39" authorId="0">
      <text>
        <r>
          <rPr>
            <sz val="10"/>
            <rFont val="Arial"/>
            <family val="2"/>
          </rPr>
          <t xml:space="preserve">No disponibles el 21 oct (3):
- Almudena [R4-02]
- Ana R4 (Gaudioso) [R4-03] (trabajo externo 24(T2) CHA)
- Rosario [R1-01]</t>
        </r>
      </text>
    </comment>
    <comment ref="E41" authorId="0">
      <text>
        <r>
          <rPr>
            <sz val="10"/>
            <rFont val="Arial"/>
            <family val="2"/>
          </rPr>
          <t xml:space="preserve">Ana R4 en turno externo (MT SVA) — bloqueada H-10a; ver H-10b/c/d para TX y QX-M/QX-P adyacentes.</t>
        </r>
      </text>
    </comment>
    <comment ref="E48" authorId="0">
      <text>
        <r>
          <rPr>
            <sz val="10"/>
            <rFont val="Arial"/>
            <family val="2"/>
          </rPr>
          <t xml:space="preserve">No disponibles el 28 oct (1):
- Ana R4 (Gaudioso) [R4-03] (trabajo externo MT SVA)</t>
        </r>
      </text>
    </comment>
    <comment ref="G5" authorId="0">
      <text>
        <r>
          <rPr>
            <sz val="10"/>
            <rFont val="Arial"/>
            <family val="2"/>
          </rPr>
          <t xml:space="preserve">Ana R4 en turno externo (24(T2) CHA) — bloqueada H-10a; ver H-10b/c/d para TX y QX-M/QX-P adyacentes.</t>
        </r>
      </text>
    </comment>
    <comment ref="G12" authorId="0">
      <text>
        <r>
          <rPr>
            <sz val="10"/>
            <rFont val="Arial"/>
            <family val="2"/>
          </rPr>
          <t xml:space="preserve">No disponibles el 1 oct (3):
- Ana R4 (Gaudioso) [R4-03] (trabajo externo 24(T2) CHA)
- Emilio [R2-05]
- Eva [R2-04]</t>
        </r>
      </text>
    </comment>
    <comment ref="G21" authorId="0">
      <text>
        <r>
          <rPr>
            <sz val="10"/>
            <rFont val="Arial"/>
            <family val="2"/>
          </rPr>
          <t xml:space="preserve">No disponibles el 8 oct (4):
- Asis [R2-02]
- Candela [R3-02]
- Eva [R2-04]
- Patricia R3 [R3-01]</t>
        </r>
      </text>
    </comment>
    <comment ref="G30" authorId="0">
      <text>
        <r>
          <rPr>
            <sz val="10"/>
            <rFont val="Arial"/>
            <family val="2"/>
          </rPr>
          <t xml:space="preserve">No disponibles el 15 oct (3):
- Almudena [R4-02]
- Antonio [R2-06]
- Isa [R4-05]</t>
        </r>
      </text>
    </comment>
    <comment ref="G39" authorId="0">
      <text>
        <r>
          <rPr>
            <sz val="10"/>
            <rFont val="Arial"/>
            <family val="2"/>
          </rPr>
          <t xml:space="preserve">No disponibles el 22 oct (2):
- Candela [R3-02]
- Rosario [R1-01]</t>
        </r>
      </text>
    </comment>
    <comment ref="G48" authorId="0">
      <text>
        <r>
          <rPr>
            <sz val="10"/>
            <rFont val="Arial"/>
            <family val="2"/>
          </rPr>
          <t xml:space="preserve">No disponibles el 29 oct (1):
- Sandra [R4-04]</t>
        </r>
      </text>
    </comment>
    <comment ref="I12" authorId="0">
      <text>
        <r>
          <rPr>
            <sz val="10"/>
            <rFont val="Arial"/>
            <family val="2"/>
          </rPr>
          <t xml:space="preserve">No disponibles el 2 oct (7):
- Aitor [R1-07]
- Almudena [R4-02]
- Carlota [R4-01] (si se puede)
- Cristina [R1-02]
- Eva [R2-04]
- Mercedes [R1-05]
- Rosario [R1-01]</t>
        </r>
      </text>
    </comment>
    <comment ref="I21" authorId="0">
      <text>
        <r>
          <rPr>
            <sz val="10"/>
            <rFont val="Arial"/>
            <family val="2"/>
          </rPr>
          <t xml:space="preserve">No disponibles el 9 oct (7):
- Almudena [R4-02]
- Asis [R2-02]
- Candela [R3-02]
- Fatima [R1-08]
- Miriam [R1-03]
- Patricia R3 [R3-01]
- Tony [R3-04]</t>
        </r>
      </text>
    </comment>
    <comment ref="I30" authorId="0">
      <text>
        <r>
          <rPr>
            <sz val="10"/>
            <rFont val="Arial"/>
            <family val="2"/>
          </rPr>
          <t xml:space="preserve">No disponibles el 16 oct (4):
- Almudena [R4-02]
- Ana R4 (Gaudioso) [R4-03] (si se puede)
- Antonio [R2-06]
- Isa [R4-05]</t>
        </r>
      </text>
    </comment>
    <comment ref="I32" authorId="0">
      <text>
        <r>
          <rPr>
            <sz val="10"/>
            <rFont val="Arial"/>
            <family val="2"/>
          </rPr>
          <t xml:space="preserve">Congreso R1 (23-25 oct, H-18): los 8 R1 bloqueados. PEQ lo cubre íntegramente R2.</t>
        </r>
      </text>
    </comment>
    <comment ref="I39" authorId="0">
      <text>
        <r>
          <rPr>
            <sz val="10"/>
            <rFont val="Arial"/>
            <family val="2"/>
          </rPr>
          <t xml:space="preserve">No disponibles el 23 oct (12):
- Aitor [R1-07]
- Ana R2 [R2-07]
- Arturo [R1-06]
- Asis [R2-02]
- Candela [R3-02]
- Carlota [R4-01] (si se puede)
- Cristina [R1-02]
- David [R1-04]
- Fatima [R1-08]
- Mercedes [R1-05]
- Miriam [R1-03]
- Rosario [R1-01]
Congreso R1 (H-18): los 8 R1 bloqueados; PEQ lo cubre íntegramente R2.</t>
        </r>
      </text>
    </comment>
    <comment ref="I48" authorId="0">
      <text>
        <r>
          <rPr>
            <sz val="10"/>
            <rFont val="Arial"/>
            <family val="2"/>
          </rPr>
          <t xml:space="preserve">No disponibles el 30 oct (2):
- Emilio [R2-05]
- Sandra [R4-04]</t>
        </r>
      </text>
    </comment>
    <comment ref="J18" authorId="0">
      <text>
        <r>
          <rPr>
            <sz val="10"/>
            <rFont val="Arial"/>
            <family val="2"/>
          </rPr>
          <t xml:space="preserve">SIN CUBRIR: pareja viernes 9 + domingo 11 de MAY. Por bloqueos, solo Sandra podía cubrir ambos días; el compromiso de sábado 10 + lunes 12 (Q-08) le impide H-03 (no presencial el domingo justo después del sábado). No hay otra persona elegible confirmada — pendiente de decisión.</t>
        </r>
      </text>
    </comment>
    <comment ref="K12" authorId="0">
      <text>
        <r>
          <rPr>
            <sz val="10"/>
            <rFont val="Arial"/>
            <family val="2"/>
          </rPr>
          <t xml:space="preserve">No disponibles el 3 oct (8):
- Aitor [R1-07]
- Almudena [R4-02]
- Ana R2 [R2-07]
- Carlota [R4-01] (si se puede)
- Cristina [R1-02]
- Eva [R2-04]
- Mercedes [R1-05]
- Rosario [R1-01]</t>
        </r>
      </text>
    </comment>
    <comment ref="K14" authorId="0">
      <text>
        <r>
          <rPr>
            <sz val="10"/>
            <rFont val="Arial"/>
            <family val="2"/>
          </rPr>
          <t xml:space="preserve">Ana R4 en turno externo (MT SVA) — bloqueada H-10a; ver H-10b/c/d para TX y QX-M/QX-P adyacentes.</t>
        </r>
      </text>
    </comment>
    <comment ref="K21" authorId="0">
      <text>
        <r>
          <rPr>
            <sz val="10"/>
            <rFont val="Arial"/>
            <family val="2"/>
          </rPr>
          <t xml:space="preserve">No disponibles el 10 oct (7):
- Almudena [R4-02]
- Ana R4 (Gaudioso) [R4-03] (trabajo externo MT SVA)
- Fatima [R1-08]
- Miriam [R1-03]
- Patricia R3 [R3-01]
- Tania [R2-01]
- Tony [R3-04]</t>
        </r>
      </text>
    </comment>
    <comment ref="K30" authorId="0">
      <text>
        <r>
          <rPr>
            <sz val="10"/>
            <rFont val="Arial"/>
            <family val="2"/>
          </rPr>
          <t xml:space="preserve">No disponibles el 17 oct (4):
- Almudena [R4-02]
- Ana R4 (Gaudioso) [R4-03] (si se puede)
- Antonio [R2-06]
- Isa [R4-05]</t>
        </r>
      </text>
    </comment>
    <comment ref="K32" authorId="0">
      <text>
        <r>
          <rPr>
            <sz val="10"/>
            <rFont val="Arial"/>
            <family val="2"/>
          </rPr>
          <t xml:space="preserve">Congreso R1 (23-25 oct, H-18): los 8 R1 bloqueados. PEQ lo cubre íntegramente R2.</t>
        </r>
      </text>
    </comment>
    <comment ref="K39" authorId="0">
      <text>
        <r>
          <rPr>
            <sz val="10"/>
            <rFont val="Arial"/>
            <family val="2"/>
          </rPr>
          <t xml:space="preserve">No disponibles el 24 oct (13):
- Aitor [R1-07]
- Ana R2 [R2-07]
- Arturo [R1-06]
- Asis [R2-02]
- Candela [R3-02]
- Carlota [R4-01] (si se puede)
- Cristina [R1-02]
- David [R1-04]
- Fabian [R3-03]
- Fatima [R1-08]
- Mercedes [R1-05]
- Miriam [R1-03]
- Rosario [R1-01]
Congreso R1 (H-18): los 8 R1 bloqueados; PEQ lo cubre íntegramente R2.</t>
        </r>
      </text>
    </comment>
    <comment ref="K48" authorId="0">
      <text>
        <r>
          <rPr>
            <sz val="10"/>
            <rFont val="Arial"/>
            <family val="2"/>
          </rPr>
          <t xml:space="preserve">No disponibles el 31 oct (1):
- Sandra [R4-04]</t>
        </r>
      </text>
    </comment>
    <comment ref="L18" authorId="0">
      <text>
        <r>
          <rPr>
            <sz val="10"/>
            <rFont val="Arial"/>
            <family val="2"/>
          </rPr>
          <t xml:space="preserve">Compromiso confirmado con Pablo (Q-08): Sandra cubre sábado 10 + lunes 12 de MAY.</t>
        </r>
      </text>
    </comment>
    <comment ref="M5" authorId="0">
      <text>
        <r>
          <rPr>
            <sz val="10"/>
            <rFont val="Arial"/>
            <family val="2"/>
          </rPr>
          <t xml:space="preserve">Ana R4 en turno externo (MT SVA) — bloqueada H-10a; ver H-10b/c/d para TX y QX-M/QX-P adyacentes.</t>
        </r>
      </text>
    </comment>
    <comment ref="M12" authorId="0">
      <text>
        <r>
          <rPr>
            <sz val="10"/>
            <rFont val="Arial"/>
            <family val="2"/>
          </rPr>
          <t xml:space="preserve">No disponibles el 4 oct (10):
- Aitor [R1-07]
- Almudena [R4-02]
- Ana R2 [R2-07]
- Ana R4 (Gaudioso) [R4-03] (trabajo externo MT SVA)
- Carlota [R4-01] (si se puede)
- Cristina [R1-02]
- Eva [R2-04]
- Isa [R4-05]
- Mercedes [R1-05]
- Rosario [R1-01]</t>
        </r>
      </text>
    </comment>
    <comment ref="M21" authorId="0">
      <text>
        <r>
          <rPr>
            <sz val="10"/>
            <rFont val="Arial"/>
            <family val="2"/>
          </rPr>
          <t xml:space="preserve">No disponibles el 11 oct (6):
- Almudena [R4-02]
- Carlota [R4-01] (si se puede)
- Fatima [R1-08]
- Miriam [R1-03]
- Patricia R3 [R3-01]
- Tony [R3-04]</t>
        </r>
      </text>
    </comment>
    <comment ref="M23" authorId="0">
      <text>
        <r>
          <rPr>
            <sz val="10"/>
            <rFont val="Arial"/>
            <family val="2"/>
          </rPr>
          <t xml:space="preserve">Ana R4 en turno externo (MT SVA) — bloqueada H-10a; ver H-10b/c/d para TX y QX-M/QX-P adyacentes.</t>
        </r>
      </text>
    </comment>
    <comment ref="M30" authorId="0">
      <text>
        <r>
          <rPr>
            <sz val="10"/>
            <rFont val="Arial"/>
            <family val="2"/>
          </rPr>
          <t xml:space="preserve">No disponibles el 18 oct (4):
- Almudena [R4-02]
- Ana R4 (Gaudioso) [R4-03] (trabajo externo MT SVA)
- Antonio [R2-06]
- Isa [R4-05]</t>
        </r>
      </text>
    </comment>
    <comment ref="M32" authorId="0">
      <text>
        <r>
          <rPr>
            <sz val="10"/>
            <rFont val="Arial"/>
            <family val="2"/>
          </rPr>
          <t xml:space="preserve">Ana R4 en turno externo (24(T2) CHA) — bloqueada H-10a; ver H-10b/c/d para TX y QX-M/QX-P adyacentes.
Congreso R1 (23-25 oct, H-18): los 8 R1 bloqueados. PEQ lo cubre íntegramente R2.</t>
        </r>
      </text>
    </comment>
    <comment ref="M39" authorId="0">
      <text>
        <r>
          <rPr>
            <sz val="10"/>
            <rFont val="Arial"/>
            <family val="2"/>
          </rPr>
          <t xml:space="preserve">No disponibles el 25 oct (14):
- Aitor [R1-07]
- Ana R2 [R2-07]
- Ana R4 (Gaudioso) [R4-03] (trabajo externo 24(T2) CHA)
- Arturo [R1-06]
- Asis [R2-02]
- Candela [R3-02]
- Carlota [R4-01] (si se puede)
- Cristina [R1-02]
- David [R1-04]
- Fabian [R3-03]
- Fatima [R1-08]
- Mercedes [R1-05]
- Miriam [R1-03]
- Rosario [R1-01]
Congreso R1 (H-18): los 8 R1 bloqueados; PEQ lo cubre íntegramente R2.</t>
        </r>
      </text>
    </comment>
    <comment ref="M41" authorId="0">
      <text>
        <r>
          <rPr>
            <sz val="10"/>
            <rFont val="Arial"/>
            <family val="2"/>
          </rPr>
          <t xml:space="preserve">Festivo: Todos los Santos</t>
        </r>
      </text>
    </comment>
    <comment ref="M48" authorId="0">
      <text>
        <r>
          <rPr>
            <sz val="10"/>
            <rFont val="Arial"/>
            <family val="2"/>
          </rPr>
          <t xml:space="preserve">No disponibles el 1 nov (1):
- Sandra [R4-04]</t>
        </r>
      </text>
    </comment>
    <comment ref="N18" authorId="0">
      <text>
        <r>
          <rPr>
            <sz val="10"/>
            <rFont val="Arial"/>
            <family val="2"/>
          </rPr>
          <t xml:space="preserve">SIN CUBRIR: pareja viernes 9 + domingo 11 de MAY. Por bloqueos, solo Sandra podía cubrir ambos días; el compromiso de sábado 10 + lunes 12 (Q-08) le impide H-03 (no presencial el domingo justo después del sábado). No hay otra persona elegible confirmada — pendiente de decisión.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27" authorId="0">
      <text>
        <r>
          <rPr>
            <sz val="10"/>
            <rFont val="Arial"/>
            <family val="2"/>
          </rPr>
          <t xml:space="preserve">Ana R4 — turno externo 24(T2) CHA</t>
        </r>
      </text>
    </comment>
    <comment ref="F27" authorId="0">
      <text>
        <r>
          <rPr>
            <sz val="10"/>
            <rFont val="Arial"/>
            <family val="2"/>
          </rPr>
          <t xml:space="preserve">Ana R4 — turno externo MT SVA</t>
        </r>
      </text>
    </comment>
    <comment ref="I27" authorId="0">
      <text>
        <r>
          <rPr>
            <sz val="10"/>
            <rFont val="Arial"/>
            <family val="2"/>
          </rPr>
          <t xml:space="preserve">Ana R4 — turno externo 24(T2) CHA</t>
        </r>
      </text>
    </comment>
    <comment ref="L27" authorId="0">
      <text>
        <r>
          <rPr>
            <sz val="10"/>
            <rFont val="Arial"/>
            <family val="2"/>
          </rPr>
          <t xml:space="preserve">Ana R4 — turno externo MT SVA</t>
        </r>
      </text>
    </comment>
    <comment ref="O27" authorId="0">
      <text>
        <r>
          <rPr>
            <sz val="10"/>
            <rFont val="Arial"/>
            <family val="2"/>
          </rPr>
          <t xml:space="preserve">Ana R4 — turno externo 24(T2) CHA</t>
        </r>
      </text>
    </comment>
    <comment ref="T27" authorId="0">
      <text>
        <r>
          <rPr>
            <sz val="10"/>
            <rFont val="Arial"/>
            <family val="2"/>
          </rPr>
          <t xml:space="preserve">Ana R4 — turno externo MT SVA</t>
        </r>
      </text>
    </comment>
    <comment ref="W27" authorId="0">
      <text>
        <r>
          <rPr>
            <sz val="10"/>
            <rFont val="Arial"/>
            <family val="2"/>
          </rPr>
          <t xml:space="preserve">Ana R4 — turno externo 24(T2) CHA</t>
        </r>
      </text>
    </comment>
    <comment ref="AA27" authorId="0">
      <text>
        <r>
          <rPr>
            <sz val="10"/>
            <rFont val="Arial"/>
            <family val="2"/>
          </rPr>
          <t xml:space="preserve">Ana R4 — turno externo 24(T2) CHA</t>
        </r>
      </text>
    </comment>
    <comment ref="AD27" authorId="0">
      <text>
        <r>
          <rPr>
            <sz val="10"/>
            <rFont val="Arial"/>
            <family val="2"/>
          </rPr>
          <t xml:space="preserve">Ana R4 — turno externo MT SVA</t>
        </r>
      </text>
    </comment>
  </commentList>
</comments>
</file>

<file path=xl/sharedStrings.xml><?xml version="1.0" encoding="utf-8"?>
<sst xmlns="http://schemas.openxmlformats.org/spreadsheetml/2006/main" count="2647" uniqueCount="660">
  <si>
    <t xml:space="preserve">Cuadrante de Guardias — Servicio de Anestesiología y Reanimación</t>
  </si>
  <si>
    <t xml:space="preserve">Octubre 2026 (1 oct – 2 nov, 33 días)</t>
  </si>
  <si>
    <t xml:space="preserve">Cómo está organizado este libro</t>
  </si>
  <si>
    <t xml:space="preserve">1. Calendario Octubre 2026 — vista mensual tipo Guardiscope. Cada día tiene 5 casillas (TX, UCQ, MAY, PEQ, PEQ). Rellena con el desplegable de cada casilla (respeta la elegibilidad de cada puesto).</t>
  </si>
  <si>
    <t xml:space="preserve">2. Resumen de guardias (estilo Guardiscope) — tabla de sanitarios con rango objetivo por puesto y recuento real, calculado en vivo desde el Calendario.</t>
  </si>
  <si>
    <t xml:space="preserve">3. Validación H-01 a H-18 — checklist de reglas duras y puntuación de reglas blandas S-01 a S-07. Lo rellena el agente revisor-optimizador tras cada pasada.</t>
  </si>
  <si>
    <t xml:space="preserve">4. Preguntas pendientes (Q) — decisiones sin cerrar en la fuente de la verdad (Q-04 a Q-16). Resuélvelas aquí; el agente las usará como supuestos confirmados.</t>
  </si>
  <si>
    <t xml:space="preserve">5. Plantilla y elegibilidad — los 25 residentes con su ID único y los puestos que pueden cubrir.</t>
  </si>
  <si>
    <t xml:space="preserve">6. Bloqueos y vacaciones — vacaciones/bloqueos declarados y el parte de guardias externas de Ana R4.</t>
  </si>
  <si>
    <t xml:space="preserve">7. Reglas (resumen) — versión condensada de las reglas duras H y blandas S para consulta rápida sin salir del Excel.</t>
  </si>
  <si>
    <t xml:space="preserve">Leyenda de prefijos de las casillas</t>
  </si>
  <si>
    <t xml:space="preserve">TX = Localizada de trasplante (solo R4) · UCQ = REA/UCQ · MAY = Quirófano residente mayor (QX-M) · PEQ = Quirófano residente pequeño (QX-P, 2 plazas/día)</t>
  </si>
  <si>
    <t xml:space="preserve">Cómo rellenar una casilla</t>
  </si>
  <si>
    <t xml:space="preserve">Haz clic en la casilla vacía → aparece un desplegable con las personas elegibles para ese puesto → elige una. Ejemplo de formato de celda: "MAY-Sandra", "PEQ-Rosario", "TX-AnaR4".</t>
  </si>
  <si>
    <t xml:space="preserve">Casillas ya rellenas en verde = asignación FORZADA por la fuente de la verdad (§8ter y §8quater: el reparto del trasplante de fin de semana y el QX-M del 9+11 de octubre son la única solución compatible con las reglas). No las muevas sin releer H-06/H-07/H-15.</t>
  </si>
  <si>
    <t xml:space="preserve">Casillas de cabecera en rojo/rosa = festivo o puente. Pasa el cursor sobre el número del día para ver notas (congreso R1, turno externo de Ana R4).</t>
  </si>
  <si>
    <t xml:space="preserve">Fuente normativa</t>
  </si>
  <si>
    <t xml:space="preserve">Este Excel es una herramienta de trabajo, no la fuente de la verdad. Las reglas completas (H-01 a H-18, S-01 a S-07) viven en fuente-verdad-guardias-anestesia.md, en el repositorio, y el agente de Claude Code 'guardias-anestesia' las aplica al ayudarte a rellenar y validar este cuadrante. Ante conflicto entre este Excel y ese documento, manda el documento.</t>
  </si>
  <si>
    <t xml:space="preserve">CUADRANTE DE GUARDIAS · Anestesiología y Reanimación · Octubre 2026 (1 oct – 2 nov)</t>
  </si>
  <si>
    <t xml:space="preserve">TX</t>
  </si>
  <si>
    <t xml:space="preserve">Trasplante (R4)</t>
  </si>
  <si>
    <t xml:space="preserve">UCQ</t>
  </si>
  <si>
    <t xml:space="preserve">REA / UCQ</t>
  </si>
  <si>
    <t xml:space="preserve">MAY</t>
  </si>
  <si>
    <t xml:space="preserve">Quirófano mayor</t>
  </si>
  <si>
    <t xml:space="preserve">PEQ</t>
  </si>
  <si>
    <t xml:space="preserve">Quirófano pequeño ×2</t>
  </si>
  <si>
    <t xml:space="preserve">verde = fijado</t>
  </si>
  <si>
    <t xml:space="preserve">LUN</t>
  </si>
  <si>
    <t xml:space="preserve">MAR</t>
  </si>
  <si>
    <t xml:space="preserve">MIÉ</t>
  </si>
  <si>
    <t xml:space="preserve">JUE</t>
  </si>
  <si>
    <t xml:space="preserve">VIE</t>
  </si>
  <si>
    <t xml:space="preserve">SÁB</t>
  </si>
  <si>
    <t xml:space="preserve">DOM</t>
  </si>
  <si>
    <t xml:space="preserve">1</t>
  </si>
  <si>
    <t xml:space="preserve">2</t>
  </si>
  <si>
    <t xml:space="preserve">3</t>
  </si>
  <si>
    <t xml:space="preserve">4</t>
  </si>
  <si>
    <t xml:space="preserve">TX-Isa</t>
  </si>
  <si>
    <t xml:space="preserve">TX-Sandra</t>
  </si>
  <si>
    <t xml:space="preserve">UCQ-PatriciaR2</t>
  </si>
  <si>
    <t xml:space="preserve">UCQ-Fabian</t>
  </si>
  <si>
    <t xml:space="preserve">MAY-Almudena</t>
  </si>
  <si>
    <t xml:space="preserve">MAY-Candela</t>
  </si>
  <si>
    <t xml:space="preserve">MAY-PatriciaR3</t>
  </si>
  <si>
    <t xml:space="preserve">PEQ-Mercedes</t>
  </si>
  <si>
    <t xml:space="preserve">PEQ-Arturo</t>
  </si>
  <si>
    <t xml:space="preserve">PEQ-Miriam</t>
  </si>
  <si>
    <t xml:space="preserve">PEQ-Fatima</t>
  </si>
  <si>
    <t xml:space="preserve">PEQ-Marc</t>
  </si>
  <si>
    <t xml:space="preserve">PEQ-David</t>
  </si>
  <si>
    <t xml:space="preserve">⛔ AnaR4, Emi, Eva</t>
  </si>
  <si>
    <t xml:space="preserve">⛔ Aitor, Almu, Carlota, Cris, Eva, Merce, Rosa</t>
  </si>
  <si>
    <t xml:space="preserve">⛔ Aitor, Almu, AnaR2, Carlota, Cris, Eva, Merce, Rosa</t>
  </si>
  <si>
    <t xml:space="preserve">⛔ Aitor, Almu, AnaR2, AnaR4, Carlota, Cris, Eva, Isa, Merce, Rosa</t>
  </si>
  <si>
    <t xml:space="preserve">5</t>
  </si>
  <si>
    <t xml:space="preserve">6</t>
  </si>
  <si>
    <t xml:space="preserve">7</t>
  </si>
  <si>
    <t xml:space="preserve">8</t>
  </si>
  <si>
    <t xml:space="preserve">9</t>
  </si>
  <si>
    <t xml:space="preserve">10</t>
  </si>
  <si>
    <t xml:space="preserve">11</t>
  </si>
  <si>
    <t xml:space="preserve">TX-AnaR4</t>
  </si>
  <si>
    <t xml:space="preserve">TX-Almudena</t>
  </si>
  <si>
    <t xml:space="preserve">TX-Carlota</t>
  </si>
  <si>
    <t xml:space="preserve">UCQ-AnaR2</t>
  </si>
  <si>
    <t xml:space="preserve">UCQ-Tony</t>
  </si>
  <si>
    <t xml:space="preserve">UCQ-Tania</t>
  </si>
  <si>
    <t xml:space="preserve">MAY-Isa</t>
  </si>
  <si>
    <t xml:space="preserve">MAY-Sandra</t>
  </si>
  <si>
    <t xml:space="preserve">PEQ-Cristina</t>
  </si>
  <si>
    <t xml:space="preserve">PEQ-Rosario</t>
  </si>
  <si>
    <t xml:space="preserve">PEQ-Asis</t>
  </si>
  <si>
    <t xml:space="preserve">PEQ-Aitor</t>
  </si>
  <si>
    <t xml:space="preserve">PEQ-Antonio</t>
  </si>
  <si>
    <t xml:space="preserve">PEQ-Eva</t>
  </si>
  <si>
    <t xml:space="preserve">⛔ Eva</t>
  </si>
  <si>
    <t xml:space="preserve">⛔ AnaR4, Eva</t>
  </si>
  <si>
    <t xml:space="preserve">⛔ Asís, Cande, Eva, PatR3</t>
  </si>
  <si>
    <t xml:space="preserve">⛔ Almu, Asís, Cande, Fati, Miri, PatR3, Tony</t>
  </si>
  <si>
    <t xml:space="preserve">⛔ Almu, AnaR4, Fati, Miri, PatR3, Tania, Tony</t>
  </si>
  <si>
    <t xml:space="preserve">⛔ Almu, Carlota, Fati, Miri, PatR3, Tony</t>
  </si>
  <si>
    <t xml:space="preserve">★ 12</t>
  </si>
  <si>
    <t xml:space="preserve">13</t>
  </si>
  <si>
    <t xml:space="preserve">14</t>
  </si>
  <si>
    <t xml:space="preserve">15</t>
  </si>
  <si>
    <t xml:space="preserve">16</t>
  </si>
  <si>
    <t xml:space="preserve">17</t>
  </si>
  <si>
    <t xml:space="preserve">18</t>
  </si>
  <si>
    <t xml:space="preserve">UCQ-Marc</t>
  </si>
  <si>
    <t xml:space="preserve">MAY-AnaR4</t>
  </si>
  <si>
    <t xml:space="preserve">PEQ-Emilio</t>
  </si>
  <si>
    <t xml:space="preserve">PEQ-AnaR2</t>
  </si>
  <si>
    <t xml:space="preserve">⛔ PatR3</t>
  </si>
  <si>
    <t xml:space="preserve">⛔ AnaR4</t>
  </si>
  <si>
    <t xml:space="preserve">⛔ Isa</t>
  </si>
  <si>
    <t xml:space="preserve">⛔ Almu, Anto, Isa</t>
  </si>
  <si>
    <t xml:space="preserve">⛔ Almu, AnaR4, Anto, Isa</t>
  </si>
  <si>
    <t xml:space="preserve">19</t>
  </si>
  <si>
    <t xml:space="preserve">20</t>
  </si>
  <si>
    <t xml:space="preserve">21</t>
  </si>
  <si>
    <t xml:space="preserve">22</t>
  </si>
  <si>
    <t xml:space="preserve">23</t>
  </si>
  <si>
    <t xml:space="preserve">24</t>
  </si>
  <si>
    <t xml:space="preserve">25</t>
  </si>
  <si>
    <t xml:space="preserve">UCQ-Emilio</t>
  </si>
  <si>
    <t xml:space="preserve">UCQ-Eva</t>
  </si>
  <si>
    <t xml:space="preserve">MAY-Carlota</t>
  </si>
  <si>
    <t xml:space="preserve">⛔ Almu</t>
  </si>
  <si>
    <t xml:space="preserve">⛔ Almu, AnaR4, Rosa</t>
  </si>
  <si>
    <t xml:space="preserve">⛔ Cande, Rosa</t>
  </si>
  <si>
    <t xml:space="preserve">⛔ Aitor, AnaR2, Artu, Asís, Cande, Carlota, Cris, David, Fati, Merce, Miri, Rosa</t>
  </si>
  <si>
    <t xml:space="preserve">⛔ Aitor, AnaR2, Artu, Asís, Cande, Carlota, Cris, David, Fabi, Fati, Merce, Miri, Rosa</t>
  </si>
  <si>
    <t xml:space="preserve">⛔ Aitor, AnaR2, AnaR4, Artu, Asís, Cande, Carlota, Cris, David, Fabi, Fati, Merce, Miri, Rosa</t>
  </si>
  <si>
    <t xml:space="preserve">26</t>
  </si>
  <si>
    <t xml:space="preserve">27</t>
  </si>
  <si>
    <t xml:space="preserve">28</t>
  </si>
  <si>
    <t xml:space="preserve">29</t>
  </si>
  <si>
    <t xml:space="preserve">30</t>
  </si>
  <si>
    <t xml:space="preserve">31</t>
  </si>
  <si>
    <t xml:space="preserve">★ 1 nov</t>
  </si>
  <si>
    <t xml:space="preserve">UCQ-Asis</t>
  </si>
  <si>
    <t xml:space="preserve">⛔ Emi</t>
  </si>
  <si>
    <t xml:space="preserve">✔ sin bloqueos</t>
  </si>
  <si>
    <t xml:space="preserve">⛔ Sandra</t>
  </si>
  <si>
    <t xml:space="preserve">⛔ Emi, Sandra</t>
  </si>
  <si>
    <t xml:space="preserve">★ 2 nov</t>
  </si>
  <si>
    <t xml:space="preserve">COBERTURA POR DÍA · puestos a cubrir, asignados y pendientes (1 oct – 2 nov 2026)</t>
  </si>
  <si>
    <t xml:space="preserve">TOTALES — puestos que hay que cubrir cada día</t>
  </si>
  <si>
    <t xml:space="preserve">Turnos/Guardias</t>
  </si>
  <si>
    <t xml:space="preserve">Total</t>
  </si>
  <si>
    <t xml:space="preserve">01/10</t>
  </si>
  <si>
    <t xml:space="preserve">02/10</t>
  </si>
  <si>
    <t xml:space="preserve">03/10</t>
  </si>
  <si>
    <t xml:space="preserve">04/10</t>
  </si>
  <si>
    <t xml:space="preserve">05/10</t>
  </si>
  <si>
    <t xml:space="preserve">06/10</t>
  </si>
  <si>
    <t xml:space="preserve">07/10</t>
  </si>
  <si>
    <t xml:space="preserve">08/10</t>
  </si>
  <si>
    <t xml:space="preserve">09/10</t>
  </si>
  <si>
    <t xml:space="preserve">10/10</t>
  </si>
  <si>
    <t xml:space="preserve">11/10</t>
  </si>
  <si>
    <t xml:space="preserve">12/10</t>
  </si>
  <si>
    <t xml:space="preserve">13/10</t>
  </si>
  <si>
    <t xml:space="preserve">14/10</t>
  </si>
  <si>
    <t xml:space="preserve">15/10</t>
  </si>
  <si>
    <t xml:space="preserve">16/10</t>
  </si>
  <si>
    <t xml:space="preserve">17/10</t>
  </si>
  <si>
    <t xml:space="preserve">18/10</t>
  </si>
  <si>
    <t xml:space="preserve">19/10</t>
  </si>
  <si>
    <t xml:space="preserve">20/10</t>
  </si>
  <si>
    <t xml:space="preserve">21/10</t>
  </si>
  <si>
    <t xml:space="preserve">22/10</t>
  </si>
  <si>
    <t xml:space="preserve">23/10</t>
  </si>
  <si>
    <t xml:space="preserve">24/10</t>
  </si>
  <si>
    <t xml:space="preserve">25/10</t>
  </si>
  <si>
    <t xml:space="preserve">26/10</t>
  </si>
  <si>
    <t xml:space="preserve">27/10</t>
  </si>
  <si>
    <t xml:space="preserve">28/10</t>
  </si>
  <si>
    <t xml:space="preserve">29/10</t>
  </si>
  <si>
    <t xml:space="preserve">30/10</t>
  </si>
  <si>
    <t xml:space="preserve">31/10</t>
  </si>
  <si>
    <t xml:space="preserve">01/11</t>
  </si>
  <si>
    <t xml:space="preserve">02/11</t>
  </si>
  <si>
    <t xml:space="preserve">Tx</t>
  </si>
  <si>
    <t xml:space="preserve">ucq</t>
  </si>
  <si>
    <t xml:space="preserve">MAYORES</t>
  </si>
  <si>
    <t xml:space="preserve">qx peq</t>
  </si>
  <si>
    <t xml:space="preserve">ASIGNADOS — rellenados en el Calendario</t>
  </si>
  <si>
    <t xml:space="preserve">PENDIENTES — lo que falta por cubrir</t>
  </si>
  <si>
    <t xml:space="preserve">TOTALES es fijo (H-01: 1 Tx + 1 ucq + 1 MAY + 2 peq = 5 puestos/día × 33 días = 165). ASIGNADOS y PENDIENTES se calculan solos desde la pestaña Calendario. Columnas moradas = fin de semana, rojas = festivo.</t>
  </si>
  <si>
    <t xml:space="preserve">Rangos objetivo (editable, según fuente de la verdad)</t>
  </si>
  <si>
    <t xml:space="preserve">Recuento real (formulas -&gt; Calendario)</t>
  </si>
  <si>
    <t xml:space="preserve">Por día de la semana / festivos (recuento real)</t>
  </si>
  <si>
    <t xml:space="preserve">Sanitarios/as</t>
  </si>
  <si>
    <t xml:space="preserve">ID</t>
  </si>
  <si>
    <t xml:space="preserve">Total
(objetivo)</t>
  </si>
  <si>
    <t xml:space="preserve">MAY
(objetivo)</t>
  </si>
  <si>
    <t xml:space="preserve">Tx
(objetivo)</t>
  </si>
  <si>
    <t xml:space="preserve">ucq
(objetivo)</t>
  </si>
  <si>
    <t xml:space="preserve">peq
(objetivo)</t>
  </si>
  <si>
    <t xml:space="preserve">peq</t>
  </si>
  <si>
    <t xml:space="preserve">L</t>
  </si>
  <si>
    <t xml:space="preserve">M</t>
  </si>
  <si>
    <t xml:space="preserve">X</t>
  </si>
  <si>
    <t xml:space="preserve">J</t>
  </si>
  <si>
    <t xml:space="preserve">V</t>
  </si>
  <si>
    <t xml:space="preserve">S</t>
  </si>
  <si>
    <t xml:space="preserve">D</t>
  </si>
  <si>
    <t xml:space="preserve">F</t>
  </si>
  <si>
    <t xml:space="preserve">Rosario</t>
  </si>
  <si>
    <t xml:space="preserve">R1-01</t>
  </si>
  <si>
    <t xml:space="preserve">3-4</t>
  </si>
  <si>
    <t xml:space="preserve">Cristina</t>
  </si>
  <si>
    <t xml:space="preserve">R1-02</t>
  </si>
  <si>
    <t xml:space="preserve">Miriam</t>
  </si>
  <si>
    <t xml:space="preserve">R1-03</t>
  </si>
  <si>
    <t xml:space="preserve">4-5</t>
  </si>
  <si>
    <t xml:space="preserve">David</t>
  </si>
  <si>
    <t xml:space="preserve">R1-04</t>
  </si>
  <si>
    <t xml:space="preserve">Mercedes</t>
  </si>
  <si>
    <t xml:space="preserve">R1-05</t>
  </si>
  <si>
    <t xml:space="preserve">Arturo</t>
  </si>
  <si>
    <t xml:space="preserve">R1-06</t>
  </si>
  <si>
    <t xml:space="preserve">Aitor</t>
  </si>
  <si>
    <t xml:space="preserve">R1-07</t>
  </si>
  <si>
    <t xml:space="preserve">Fatima</t>
  </si>
  <si>
    <t xml:space="preserve">R1-08</t>
  </si>
  <si>
    <t xml:space="preserve">Tania</t>
  </si>
  <si>
    <t xml:space="preserve">R2-01</t>
  </si>
  <si>
    <t xml:space="preserve">6-</t>
  </si>
  <si>
    <t xml:space="preserve">Asis</t>
  </si>
  <si>
    <t xml:space="preserve">R2-02</t>
  </si>
  <si>
    <t xml:space="preserve">1-2</t>
  </si>
  <si>
    <t xml:space="preserve">Patricia R2</t>
  </si>
  <si>
    <t xml:space="preserve">R2-03</t>
  </si>
  <si>
    <t xml:space="preserve">Eva</t>
  </si>
  <si>
    <t xml:space="preserve">R2-04</t>
  </si>
  <si>
    <t xml:space="preserve">Emilio</t>
  </si>
  <si>
    <t xml:space="preserve">R2-05</t>
  </si>
  <si>
    <t xml:space="preserve">Antonio</t>
  </si>
  <si>
    <t xml:space="preserve">R2-06</t>
  </si>
  <si>
    <t xml:space="preserve">Ana R2</t>
  </si>
  <si>
    <t xml:space="preserve">R2-07</t>
  </si>
  <si>
    <t xml:space="preserve">Marc</t>
  </si>
  <si>
    <t xml:space="preserve">R2-08</t>
  </si>
  <si>
    <t xml:space="preserve">Patricia R3</t>
  </si>
  <si>
    <t xml:space="preserve">R3-01</t>
  </si>
  <si>
    <t xml:space="preserve">Candela</t>
  </si>
  <si>
    <t xml:space="preserve">R3-02</t>
  </si>
  <si>
    <t xml:space="preserve">Fabian</t>
  </si>
  <si>
    <t xml:space="preserve">R3-03</t>
  </si>
  <si>
    <t xml:space="preserve">Tony</t>
  </si>
  <si>
    <t xml:space="preserve">R3-04</t>
  </si>
  <si>
    <t xml:space="preserve">Carlota</t>
  </si>
  <si>
    <t xml:space="preserve">R4-01</t>
  </si>
  <si>
    <t xml:space="preserve">Almudena</t>
  </si>
  <si>
    <t xml:space="preserve">R4-02</t>
  </si>
  <si>
    <t xml:space="preserve">Ana R4 (Gaudioso)</t>
  </si>
  <si>
    <t xml:space="preserve">R4-03</t>
  </si>
  <si>
    <t xml:space="preserve">Sandra</t>
  </si>
  <si>
    <t xml:space="preserve">R4-04</t>
  </si>
  <si>
    <t xml:space="preserve">Isa</t>
  </si>
  <si>
    <t xml:space="preserve">R4-05</t>
  </si>
  <si>
    <t xml:space="preserve">TOTAL</t>
  </si>
  <si>
    <t xml:space="preserve">MAY/Tx: §8.5.1. ucq (REA): H-11 (cupo 6) y mensaje directo de Pablo (1-2 para el resto de R2). peq (QX-P) R1: mensaje directo de Pablo (3-4, Miriam 4-5). "F" = guardias en día festivo/puente (12 oct, 1 y 2 nov).</t>
  </si>
  <si>
    <t xml:space="preserve">MAPA DE BLOQUEOS · quién NO está disponible cada día (1 oct – 2 nov 2026)</t>
  </si>
  <si>
    <t xml:space="preserve">Bloqueo declarado</t>
  </si>
  <si>
    <t xml:space="preserve">"Si se puede" (blando)</t>
  </si>
  <si>
    <t xml:space="preserve">Ana R4 · trabajo externo</t>
  </si>
  <si>
    <t xml:space="preserve">Disponible</t>
  </si>
  <si>
    <t xml:space="preserve">Residente</t>
  </si>
  <si>
    <t xml:space="preserve">12</t>
  </si>
  <si>
    <t xml:space="preserve">1N</t>
  </si>
  <si>
    <t xml:space="preserve">2N</t>
  </si>
  <si>
    <t xml:space="preserve">~</t>
  </si>
  <si>
    <t xml:space="preserve">E</t>
  </si>
  <si>
    <t xml:space="preserve">TOTAL bloqueados</t>
  </si>
  <si>
    <t xml:space="preserve">Validación de reglas duras (rellena el agente revisor-optimizador tras cada pasada)</t>
  </si>
  <si>
    <t xml:space="preserve">Regla</t>
  </si>
  <si>
    <t xml:space="preserve">Descripción</t>
  </si>
  <si>
    <t xml:space="preserve">Veredicto</t>
  </si>
  <si>
    <t xml:space="preserve">Detalle si ❌ (día · persona · qué pasa · qué debería pasar)</t>
  </si>
  <si>
    <t xml:space="preserve">H-01</t>
  </si>
  <si>
    <t xml:space="preserve">Cobertura completa: cada día tiene exactamente 1 TX, 1 UCQ, 1 MAY y 2 PEQ.</t>
  </si>
  <si>
    <t xml:space="preserve">⚠️</t>
  </si>
  <si>
    <t xml:space="preserve">Comprobado automáticamente: 1 excepción documentada — MAY del 9 y 11 oct (viernes-domingo) queda SIN CUBRIR. Solo Sandra podía cubrir ambos días (única disponible), pero el compromiso Q-08 (sábado 10 + lunes 12) se lo impide vía H-03. Resto de días: 0 violaciones.</t>
  </si>
  <si>
    <t xml:space="preserve">H-02</t>
  </si>
  <si>
    <t xml:space="preserve">Nadie ocupa más de un puesto el mismo día.</t>
  </si>
  <si>
    <t xml:space="preserve">✅</t>
  </si>
  <si>
    <t xml:space="preserve">Comprobado automáticamente sobre el cuadrante generado (0 violaciones).</t>
  </si>
  <si>
    <t xml:space="preserve">H-03</t>
  </si>
  <si>
    <t xml:space="preserve">Saliente de guardia libra 24h (D+1 vacío).</t>
  </si>
  <si>
    <t xml:space="preserve">H-04</t>
  </si>
  <si>
    <t xml:space="preserve">Guardia en sábado (no puente) ⇒ libra domingo y lunes.</t>
  </si>
  <si>
    <t xml:space="preserve">H-05</t>
  </si>
  <si>
    <t xml:space="preserve">Pareja viernes-domingo: misma persona, mismo puesto, bloque indivisible.</t>
  </si>
  <si>
    <t xml:space="preserve">Comprobado automáticamente: misma excepción que H-01 (pareja viernes 9 + domingo 11 de MAY sin cubrir, ver detalle en H-01). Resto de parejas viernes-domingo: 0 violaciones.</t>
  </si>
  <si>
    <t xml:space="preserve">H-06</t>
  </si>
  <si>
    <t xml:space="preserve">Exclusión de puentes: quien cubre Pilar (10-12 oct) no cubre Santos (31 oct-2 nov) y viceversa.</t>
  </si>
  <si>
    <t xml:space="preserve">H-07</t>
  </si>
  <si>
    <t xml:space="preserve">Sábado de puente ⇒ se une al lunes festivo (prevalece sobre H-04) en FDS-2 y FDS-5.</t>
  </si>
  <si>
    <t xml:space="preserve">H-08</t>
  </si>
  <si>
    <t xml:space="preserve">Se respetan vacaciones y bloqueos declarados.</t>
  </si>
  <si>
    <t xml:space="preserve">H-09</t>
  </si>
  <si>
    <t xml:space="preserve">Elegibilidad por puesto (§5) respetada en todas las asignaciones.</t>
  </si>
  <si>
    <t xml:space="preserve">H-10</t>
  </si>
  <si>
    <t xml:space="preserve">Bloqueos individuales de Ana R4 (H-10a a H-10d).</t>
  </si>
  <si>
    <t xml:space="preserve">Comprobado automáticamente sobre el cuadrante generado (0 violaciones de H-10a a H-10d).</t>
  </si>
  <si>
    <t xml:space="preserve">no se entiende q es'?</t>
  </si>
  <si>
    <t xml:space="preserve">H-11</t>
  </si>
  <si>
    <t xml:space="preserve">Tania, Patricia R2, Fabián, Tony: mínimo 6 guardias UCQ cada uno.</t>
  </si>
  <si>
    <t xml:space="preserve">H-12</t>
  </si>
  <si>
    <t xml:space="preserve">Esos mismos cuatro: mínimo 2 fines de semana cada uno (concretado por H-16).</t>
  </si>
  <si>
    <t xml:space="preserve">H-13</t>
  </si>
  <si>
    <t xml:space="preserve">Todo residente hace al menos 1 fin de semana.</t>
  </si>
  <si>
    <t xml:space="preserve">H-14</t>
  </si>
  <si>
    <t xml:space="preserve">No hay TX la víspera de una guardia presencial.</t>
  </si>
  <si>
    <t xml:space="preserve">H-15</t>
  </si>
  <si>
    <t xml:space="preserve">Agrupación del TX de fin de semana: una sola persona por bloque, 1:1 con los 5 R4.</t>
  </si>
  <si>
    <t xml:space="preserve">Redefinido por Q-15 (el bloque de fin de semana empieza el viernes, no el sábado). Comprobado automáticamente: los 5 R4 cubren cada uno exactamente 1 fin de semana completo, 0 violaciones.</t>
  </si>
  <si>
    <t xml:space="preserve">H-16</t>
  </si>
  <si>
    <t xml:space="preserve">Los cuatro de UCQ cubren un bloque V-D y un sábado suelto cada uno.</t>
  </si>
  <si>
    <t xml:space="preserve">1. en los puestos de quirofano, los pequeños si es posible evitar dos R1 juntos el mismo día. </t>
  </si>
  <si>
    <t xml:space="preserve">H-17</t>
  </si>
  <si>
    <t xml:space="preserve">Bloqueos declarados respetados (§8bis).</t>
  </si>
  <si>
    <t xml:space="preserve">2. siempre que se tenga guardia es imposible estar de trasplante el dia previo, pero si que se podría el día de saliente ( sin embargo, es preferible evitarlo. </t>
  </si>
  <si>
    <t xml:space="preserve">H-18</t>
  </si>
  <si>
    <t xml:space="preserve">Congreso R1 23-25 oct: los 8 R1 bloqueados, PEQ lo cubre R2.</t>
  </si>
  <si>
    <t xml:space="preserve">3. cuando alguien se haya bloqueado un día por vacaciones ese dia previo a las vacaciones si que puede estar de guardia de quirofano o de REA, pero no puede estar de localizada de trasplante.</t>
  </si>
  <si>
    <t xml:space="preserve">H-19</t>
  </si>
  <si>
    <t xml:space="preserve">Vacaciones y TX del día previo: se permite presencial pero no TX el día antes de un bloqueo.</t>
  </si>
  <si>
    <t xml:space="preserve">H-20</t>
  </si>
  <si>
    <t xml:space="preserve">Tope de guardias totales por año: R1 4-5, R2 exactamente 6, R3 máximo 6, R4 sin tope.</t>
  </si>
  <si>
    <t xml:space="preserve">Comprobado automáticamente: R1 entre 4 y 5 (Rosario 4, resto 5); R2 exactamente 6 en las 8; R3 entre 5 y 6 (Patricia R3 y Candela 5, Fabián y Tony 6); R4 sin tope aplicado. 0 violaciones.</t>
  </si>
  <si>
    <t xml:space="preserve">H-21</t>
  </si>
  <si>
    <t xml:space="preserve">Tope de fines de semana dentro de R2: máximo 2 por persona.</t>
  </si>
  <si>
    <t xml:space="preserve">Comprobado automáticamente: los 8 R2 tienen exactamente 2 fines de semana cada uno (bloques distintos, no días sueltos). 0 violaciones — Eva y Antonio ya no tienen 3.</t>
  </si>
  <si>
    <t xml:space="preserve">VEREDICTO GLOBAL: </t>
  </si>
  <si>
    <t xml:space="preserve">VÁLIDO salvo 1 excepción documentada — MAY 9 y 11 oct sin cubrir (ver H-01/H-05). Todas las demás reglas H-01 a H-21: 0 violaciones, incluidos los nuevos topes de guardias totales (H-20) y fines de semana de R2 (H-21) confirmados el 2026-08-18.</t>
  </si>
  <si>
    <t xml:space="preserve">Puntuación de reglas blandas S-01 a S-07 (0-41, ver fuente de la verdad §7 para el detalle de cada métrica)</t>
  </si>
  <si>
    <t xml:space="preserve">Qué mide</t>
  </si>
  <si>
    <t xml:space="preserve">Puntos</t>
  </si>
  <si>
    <t xml:space="preserve">Puntuación obtenida</t>
  </si>
  <si>
    <t xml:space="preserve">S-01</t>
  </si>
  <si>
    <t xml:space="preserve">5 guardias MAY por mayor</t>
  </si>
  <si>
    <t xml:space="preserve">S-02</t>
  </si>
  <si>
    <t xml:space="preserve">Reparto equitativo de fines de semana</t>
  </si>
  <si>
    <t xml:space="preserve">S-03</t>
  </si>
  <si>
    <t xml:space="preserve">2º FDS en sábado si el 1º fue bloque V-D</t>
  </si>
  <si>
    <t xml:space="preserve">S-04</t>
  </si>
  <si>
    <t xml:space="preserve">Reparto equitativo del total de guardias</t>
  </si>
  <si>
    <t xml:space="preserve">S-05</t>
  </si>
  <si>
    <t xml:space="preserve">Separación mínima 3-4 días entre guardias</t>
  </si>
  <si>
    <t xml:space="preserve">S-07</t>
  </si>
  <si>
    <t xml:space="preserve">Rotar el mayor que supervisa</t>
  </si>
  <si>
    <t xml:space="preserve">Log de excepciones (toda regla blanda relajada, con justificación)</t>
  </si>
  <si>
    <t xml:space="preserve">Fecha</t>
  </si>
  <si>
    <t xml:space="preserve">Regla relajada</t>
  </si>
  <si>
    <t xml:space="preserve">Justificación</t>
  </si>
  <si>
    <t xml:space="preserve">Decidido por</t>
  </si>
  <si>
    <t xml:space="preserve">9-11 oct</t>
  </si>
  <si>
    <t xml:space="preserve">H-01 / H-05 (MAY viernes 9 + domingo 11)</t>
  </si>
  <si>
    <t xml:space="preserve">Solo Sandra podia cubrir ambos dias (unica disponible por bloqueos). El compromiso Q-08 (sabado 10 + lunes 12) le impide por H-03. Queda sin cubrir a falta de decision.</t>
  </si>
  <si>
    <t xml:space="preserve">Pendiente de Pablo</t>
  </si>
  <si>
    <t xml:space="preserve">todo el mes</t>
  </si>
  <si>
    <t xml:space="preserve">S-06 (evitar 2 R1 en PEQ el mismo dia)</t>
  </si>
  <si>
    <t xml:space="preserve">Aclaracion de Pablo aplicada como regla dura en el generador: 0 incidencias.</t>
  </si>
  <si>
    <t xml:space="preserve">Pablo (aclaracion previa)</t>
  </si>
  <si>
    <t xml:space="preserve">H-19 (sin TX la vispera de vacaciones)</t>
  </si>
  <si>
    <t xml:space="preserve">Aclaracion de Pablo aplicada: 0 incidencias.</t>
  </si>
  <si>
    <t xml:space="preserve">18/08/2026</t>
  </si>
  <si>
    <t xml:space="preserve">H-20/H-21 (topes de R1/R2/R2-findes)</t>
  </si>
  <si>
    <t xml:space="preserve">Version anterior tenia R1 en 2-3 guardias, R2 en 8, y Eva/Antonio con 3 findes. Corregido a R1 4-5, R2=6 exacto, R2 max 2 findes, segun confirmacion de Pablo por WhatsApp.</t>
  </si>
  <si>
    <t xml:space="preserve">Pablo (WhatsApp 18/08)</t>
  </si>
  <si>
    <t xml:space="preserve">Bloqueos y vacaciones declarados — octubre 2026 (32 = 1 nov, 33 = 2 nov)</t>
  </si>
  <si>
    <t xml:space="preserve">Bloqueos declarados</t>
  </si>
  <si>
    <t xml:space="preserve">2-4, 21-25</t>
  </si>
  <si>
    <t xml:space="preserve">2-4, 23-25</t>
  </si>
  <si>
    <t xml:space="preserve">9-11, 23-25</t>
  </si>
  <si>
    <t xml:space="preserve">23-25</t>
  </si>
  <si>
    <t xml:space="preserve">8-9, 23-25</t>
  </si>
  <si>
    <t xml:space="preserve">— (ninguno)</t>
  </si>
  <si>
    <t xml:space="preserve">1-8</t>
  </si>
  <si>
    <t xml:space="preserve">1, 26, 30</t>
  </si>
  <si>
    <t xml:space="preserve">15-18</t>
  </si>
  <si>
    <t xml:space="preserve">3-4, 23-25</t>
  </si>
  <si>
    <t xml:space="preserve">8-12</t>
  </si>
  <si>
    <t xml:space="preserve">8-9, 22-25</t>
  </si>
  <si>
    <t xml:space="preserve">24-25</t>
  </si>
  <si>
    <t xml:space="preserve">9-11</t>
  </si>
  <si>
    <t xml:space="preserve">2-4, 11, 23-25 ("si se puede" — alcance sin confirmar, Q-11)</t>
  </si>
  <si>
    <t xml:space="preserve">2-4, 9-11, 15-21 (duro)</t>
  </si>
  <si>
    <t xml:space="preserve">16-18 ("si se puede") + los 9 días de trabajo externo (ver abajo)</t>
  </si>
  <si>
    <t xml:space="preserve">29 oct - 1 nov (interpretación asumida, Q-12)</t>
  </si>
  <si>
    <t xml:space="preserve">3,4, 14-18 (duro)</t>
  </si>
  <si>
    <t xml:space="preserve">Parte de guardias externas — Ana Gaudioso García (R4-03)</t>
  </si>
  <si>
    <t xml:space="preserve">Fecha (oct)</t>
  </si>
  <si>
    <t xml:space="preserve">Turno</t>
  </si>
  <si>
    <t xml:space="preserve">Tipo</t>
  </si>
  <si>
    <t xml:space="preserve">1 oct</t>
  </si>
  <si>
    <t xml:space="preserve">24(T2)</t>
  </si>
  <si>
    <t xml:space="preserve">CHA</t>
  </si>
  <si>
    <t xml:space="preserve">4 oct</t>
  </si>
  <si>
    <t xml:space="preserve">MT</t>
  </si>
  <si>
    <t xml:space="preserve">SVA</t>
  </si>
  <si>
    <t xml:space="preserve">7 oct</t>
  </si>
  <si>
    <t xml:space="preserve">10 oct</t>
  </si>
  <si>
    <t xml:space="preserve">13 oct</t>
  </si>
  <si>
    <t xml:space="preserve">18 oct</t>
  </si>
  <si>
    <t xml:space="preserve">21 oct</t>
  </si>
  <si>
    <t xml:space="preserve">25 oct</t>
  </si>
  <si>
    <t xml:space="preserve">28 oct</t>
  </si>
  <si>
    <t xml:space="preserve">Decisiones pendientes de la fuente de la verdad — resuélvelas aquí</t>
  </si>
  <si>
    <t xml:space="preserve">Pregunta</t>
  </si>
  <si>
    <t xml:space="preserve">Supuesto aplicado en este libro / Respuesta</t>
  </si>
  <si>
    <t xml:space="preserve">Impacto</t>
  </si>
  <si>
    <t xml:space="preserve">Q-04</t>
  </si>
  <si>
    <t xml:space="preserve">¿"UCQ" y "REA" son el mismo puesto?</t>
  </si>
  <si>
    <t xml:space="preserve">Asumido que sí (usado así en este libro)</t>
  </si>
  <si>
    <t xml:space="preserve">Medio</t>
  </si>
  <si>
    <t xml:space="preserve">Q-05</t>
  </si>
  <si>
    <t xml:space="preserve">En puentes: ¿quien hace el sábado trabaja el lunes festivo (H-07) o libra (H-04)?</t>
  </si>
  <si>
    <t xml:space="preserve">Asumido H-07 (aplicado en el Calendario)</t>
  </si>
  <si>
    <t xml:space="preserve">Alto</t>
  </si>
  <si>
    <t xml:space="preserve">Q-07</t>
  </si>
  <si>
    <t xml:space="preserve">¿La TX genera libranza al día siguiente?</t>
  </si>
  <si>
    <t xml:space="preserve">SI</t>
  </si>
  <si>
    <t xml:space="preserve">Bajo</t>
  </si>
  <si>
    <t xml:space="preserve">Q-08</t>
  </si>
  <si>
    <t xml:space="preserve">¿Guardias comprometidas o cambios ya pactados?</t>
  </si>
  <si>
    <t xml:space="preserve">si, con Sandra me comprometí a ponerle el sabado 10 y 12</t>
  </si>
  <si>
    <t xml:space="preserve">Q-09</t>
  </si>
  <si>
    <t xml:space="preserve">¿Enlace con el 30 sep y el 3 nov?</t>
  </si>
  <si>
    <t xml:space="preserve">NO</t>
  </si>
  <si>
    <t xml:space="preserve">Q-10</t>
  </si>
  <si>
    <t xml:space="preserve">¿El 22 oct es realmente excepción de TX para Ana R4?</t>
  </si>
  <si>
    <t xml:space="preserve">si</t>
  </si>
  <si>
    <t xml:space="preserve">Bajo en octubre / alto para generalizar</t>
  </si>
  <si>
    <t xml:space="preserve">Q-11</t>
  </si>
  <si>
    <t xml:space="preserve">Carlota: el "(si se puede)" ¿aplica a todo el bloqueo o solo a 23-25?</t>
  </si>
  <si>
    <t xml:space="preserve">Solo al 23-25, pero carlota prefiere no trabajar los 2 puestes, asi que si no cuadrá, quitará ese bloqueo</t>
  </si>
  <si>
    <t xml:space="preserve">Q-12</t>
  </si>
  <si>
    <t xml:space="preserve">Sandra "29-1": ¿es 29 oct – 1 nov?</t>
  </si>
  <si>
    <t xml:space="preserve">Asumido que sí (aplicado en Bloqueos)</t>
  </si>
  <si>
    <t xml:space="preserve">Q-13</t>
  </si>
  <si>
    <t xml:space="preserve">Miriam "puede hacer hasta ___ guardias" — cifra cortada en el original.</t>
  </si>
  <si>
    <t xml:space="preserve">✅ RESUELTA: hasta 4-5 guardias (confirmado por Pablo, mensaje directo 2026-08-09).</t>
  </si>
  <si>
    <t xml:space="preserve">Q-14</t>
  </si>
  <si>
    <t xml:space="preserve">¿Es intencionada la asimetría de carga R1 (~3,5) vs R2 (~7,4)?</t>
  </si>
  <si>
    <t xml:space="preserve">✅ RESUELTA: sí, confirmado por Pablo (mensaje directo 2026-08-09) — R1: 3-4 guardias PEQ + 1 FDS c/u; R2 sin cupo: 1-2 REA c/u además de PEQ.</t>
  </si>
  <si>
    <t xml:space="preserve">Q-15</t>
  </si>
  <si>
    <t xml:space="preserve">El bloque TX de fin de semana, ¿empieza el viernes o el sábado?</t>
  </si>
  <si>
    <t xml:space="preserve">empieza el viernes</t>
  </si>
  <si>
    <t xml:space="preserve">Medio — cambia 5 slots</t>
  </si>
  <si>
    <t xml:space="preserve">Q-16</t>
  </si>
  <si>
    <t xml:space="preserve">David: la lista de bloqueos empieza con una coma suelta ('David: , 23-25'). ¿Falta una fecha?</t>
  </si>
  <si>
    <t xml:space="preserve">✅ RESUELTA: no falta nada, la coma es un resto de una entrada que Pablo borró. Bloqueo real de David = solo 23-25.</t>
  </si>
  <si>
    <t xml:space="preserve">Plantilla — 25 residentes de Anestesiología y Reanimación</t>
  </si>
  <si>
    <t xml:space="preserve">Nombre</t>
  </si>
  <si>
    <t xml:space="preserve">Año</t>
  </si>
  <si>
    <t xml:space="preserve">MAY (QX-M)</t>
  </si>
  <si>
    <t xml:space="preserve">UCQ (REA)</t>
  </si>
  <si>
    <t xml:space="preserve">PEQ (QX-P)</t>
  </si>
  <si>
    <t xml:space="preserve">R1</t>
  </si>
  <si>
    <t xml:space="preserve">✓</t>
  </si>
  <si>
    <t xml:space="preserve">R2</t>
  </si>
  <si>
    <t xml:space="preserve">R3</t>
  </si>
  <si>
    <t xml:space="preserve">R4</t>
  </si>
  <si>
    <t xml:space="preserve">Médicos sin guardias en octubre 2026 — añadidos al radar, elegibilidad SIN CONFIRMAR salvo la de R4</t>
  </si>
  <si>
    <t xml:space="preserve">R4-06</t>
  </si>
  <si>
    <t xml:space="preserve">María</t>
  </si>
  <si>
    <t xml:space="preserve">R4-07</t>
  </si>
  <si>
    <t xml:space="preserve">Gerard</t>
  </si>
  <si>
    <t xml:space="preserve">R3-05</t>
  </si>
  <si>
    <t xml:space="preserve">❓</t>
  </si>
  <si>
    <t xml:space="preserve">R3-06</t>
  </si>
  <si>
    <t xml:space="preserve">Paulali</t>
  </si>
  <si>
    <t xml:space="preserve">R3-07</t>
  </si>
  <si>
    <t xml:space="preserve">Paula Durán</t>
  </si>
  <si>
    <t xml:space="preserve">R3-08</t>
  </si>
  <si>
    <t xml:space="preserve">Inma</t>
  </si>
  <si>
    <t xml:space="preserve">Homónimos — usa siempre el ID, nunca el nombre suelto (§3.1)</t>
  </si>
  <si>
    <t xml:space="preserve">Patricia: R2-03 (cupo REA) vs R3-01 (mayor de quirófano). Ana: R2-07 (Ana R2) vs R4-03 (Ana Gaudioso García, trabajo externo).</t>
  </si>
  <si>
    <t xml:space="preserve">Reglas duras (H) y blandas (S) — versión condensada</t>
  </si>
  <si>
    <t xml:space="preserve">Reglas duras (no negociables)</t>
  </si>
  <si>
    <t xml:space="preserve">Reglas blandas (preferencias, por prioridad)</t>
  </si>
  <si>
    <t xml:space="preserve">5 guardias MAY por mayor  (peso 10)</t>
  </si>
  <si>
    <t xml:space="preserve">Reparto equitativo de fines de semana  (peso 10)</t>
  </si>
  <si>
    <t xml:space="preserve">2º FDS en sábado si el 1º fue bloque V-D  (peso 6)</t>
  </si>
  <si>
    <t xml:space="preserve">Reparto equitativo del total de guardias  (peso 6)</t>
  </si>
  <si>
    <t xml:space="preserve">Separación mínima 3-4 días entre guardias  (peso 5)</t>
  </si>
  <si>
    <t xml:space="preserve">S-06</t>
  </si>
  <si>
    <t xml:space="preserve">Evitar coincidencias repetidas de los mismos 2 R1 en PEQ  (peso 2)</t>
  </si>
  <si>
    <t xml:space="preserve">Rotar el mayor que supervisa  (peso 2)</t>
  </si>
  <si>
    <t xml:space="preserve">UCQ-Antonio</t>
  </si>
  <si>
    <t xml:space="preserve">PEQ-Tania</t>
  </si>
  <si>
    <t xml:space="preserve">PEQ-PatriciaR2</t>
  </si>
  <si>
    <t xml:space="preserve">COMPARATIVA ACUMULADA (junio–octubre 2026) · quién lleva más o menos que la media de su año</t>
  </si>
  <si>
    <t xml:space="preserve">Combina el histórico (junio–septiembre, pestaña 'Histórico de guardias') con el cuadrante de octubre ya generado. La 'Media de su año' se calcula SOLO entre quienes estaban activos en octubre (para que María, Gerard y David -fuera ese mes- no distorsionen la media del grupo). Verde = por debajo de la media de su año (dale más carga en noviembre). Rojo = por encima (dale menos). Usa esta tabla, no la de abajo, para repartir noviembre.</t>
  </si>
  <si>
    <t xml:space="preserve">Activo oct.</t>
  </si>
  <si>
    <t xml:space="preserve">FDS acumulado (jun-oct)</t>
  </si>
  <si>
    <t xml:space="preserve">Media FDS de su año</t>
  </si>
  <si>
    <t xml:space="preserve">Dif. FDS vs media</t>
  </si>
  <si>
    <t xml:space="preserve">Festivos acumulado</t>
  </si>
  <si>
    <t xml:space="preserve">Media Festivos de su año</t>
  </si>
  <si>
    <t xml:space="preserve">Dif. Festivos vs media</t>
  </si>
  <si>
    <t xml:space="preserve">TX acumulado (solo R4)</t>
  </si>
  <si>
    <t xml:space="preserve">Total guardias acumulado (jun-oct)</t>
  </si>
  <si>
    <t xml:space="preserve">Dif. Total vs media de su año</t>
  </si>
  <si>
    <t xml:space="preserve">Sí</t>
  </si>
  <si>
    <t xml:space="preserve">Fátima</t>
  </si>
  <si>
    <t xml:space="preserve">Asís</t>
  </si>
  <si>
    <t xml:space="preserve">Patricia (R2)</t>
  </si>
  <si>
    <t xml:space="preserve">Ana (R2)</t>
  </si>
  <si>
    <t xml:space="preserve">Patricia (R3)</t>
  </si>
  <si>
    <t xml:space="preserve">Fabián</t>
  </si>
  <si>
    <t xml:space="preserve">Ana Gaudioso (R4)</t>
  </si>
  <si>
    <t xml:space="preserve">— (fuera oct)</t>
  </si>
  <si>
    <t xml:space="preserve">No — fuera en octubre</t>
  </si>
  <si>
    <t xml:space="preserve">David (HULP)</t>
  </si>
  <si>
    <t xml:space="preserve">HISTÓRICO DE GUARDIAS · transcrito desde calendarios de meses anteriores — REVISAR antes de usar para repartir noviembre</t>
  </si>
  <si>
    <t xml:space="preserve">Transcripción manual desde imágenes de calendarios (junio–septiembre 2026). Puede contener errores de lectura — revisa una muestra antes de confiar en los totales. Los puestos PEQ marcados solo como 'R1' en el calendario original no se han contabilizado (no se sabe quién los cubrió). Preparado para ampliar: añade filas nuevas debajo de la última fila de datos y las fórmulas de resumen las recogerán solas (el rango llega hasta la fila 500).</t>
  </si>
  <si>
    <t xml:space="preserve">Mes</t>
  </si>
  <si>
    <t xml:space="preserve">Día</t>
  </si>
  <si>
    <t xml:space="preserve">Día semana</t>
  </si>
  <si>
    <t xml:space="preserve">Festivo Madrid</t>
  </si>
  <si>
    <t xml:space="preserve">REA</t>
  </si>
  <si>
    <t xml:space="preserve">Otro 1</t>
  </si>
  <si>
    <t xml:space="preserve">Otro 2</t>
  </si>
  <si>
    <t xml:space="preserve">Otro 3</t>
  </si>
  <si>
    <t xml:space="preserve">Otro 4</t>
  </si>
  <si>
    <t xml:space="preserve">Junio 2026</t>
  </si>
  <si>
    <t xml:space="preserve">01/06/2026</t>
  </si>
  <si>
    <t xml:space="preserve">Lunes</t>
  </si>
  <si>
    <t xml:space="preserve">PatriciaR3</t>
  </si>
  <si>
    <t xml:space="preserve">02/06/2026</t>
  </si>
  <si>
    <t xml:space="preserve">Martes</t>
  </si>
  <si>
    <t xml:space="preserve">Maria</t>
  </si>
  <si>
    <t xml:space="preserve">03/06/2026</t>
  </si>
  <si>
    <t xml:space="preserve">Miércoles</t>
  </si>
  <si>
    <t xml:space="preserve">04/06/2026</t>
  </si>
  <si>
    <t xml:space="preserve">Jueves</t>
  </si>
  <si>
    <t xml:space="preserve">PatriciaR2</t>
  </si>
  <si>
    <t xml:space="preserve">05/06/2026</t>
  </si>
  <si>
    <t xml:space="preserve">Viernes</t>
  </si>
  <si>
    <t xml:space="preserve">AnaR2</t>
  </si>
  <si>
    <t xml:space="preserve">06/06/2026</t>
  </si>
  <si>
    <t xml:space="preserve">Sábado</t>
  </si>
  <si>
    <t xml:space="preserve">07/06/2026</t>
  </si>
  <si>
    <t xml:space="preserve">Domingo</t>
  </si>
  <si>
    <t xml:space="preserve">08/06/2026</t>
  </si>
  <si>
    <t xml:space="preserve">09/06/2026</t>
  </si>
  <si>
    <t xml:space="preserve">10/06/2026</t>
  </si>
  <si>
    <t xml:space="preserve">AnaR4</t>
  </si>
  <si>
    <t xml:space="preserve">11/06/2026</t>
  </si>
  <si>
    <t xml:space="preserve">12/06/2026</t>
  </si>
  <si>
    <t xml:space="preserve">13/06/2026</t>
  </si>
  <si>
    <t xml:space="preserve">14/06/2026</t>
  </si>
  <si>
    <t xml:space="preserve">15/06/2026</t>
  </si>
  <si>
    <t xml:space="preserve">16/06/2026</t>
  </si>
  <si>
    <t xml:space="preserve">17/06/2026</t>
  </si>
  <si>
    <t xml:space="preserve">18/06/2026</t>
  </si>
  <si>
    <t xml:space="preserve">19/06/2026</t>
  </si>
  <si>
    <t xml:space="preserve">20/06/2026</t>
  </si>
  <si>
    <t xml:space="preserve">21/06/2026</t>
  </si>
  <si>
    <t xml:space="preserve">22/06/2026</t>
  </si>
  <si>
    <t xml:space="preserve">23/06/2026</t>
  </si>
  <si>
    <t xml:space="preserve">24/06/2026</t>
  </si>
  <si>
    <t xml:space="preserve">25/06/2026</t>
  </si>
  <si>
    <t xml:space="preserve">26/06/2026</t>
  </si>
  <si>
    <t xml:space="preserve">27/06/2026</t>
  </si>
  <si>
    <t xml:space="preserve">28/06/2026</t>
  </si>
  <si>
    <t xml:space="preserve">29/06/2026</t>
  </si>
  <si>
    <t xml:space="preserve">30/06/2026</t>
  </si>
  <si>
    <t xml:space="preserve">Julio 2026</t>
  </si>
  <si>
    <t xml:space="preserve">01/07/2026</t>
  </si>
  <si>
    <t xml:space="preserve">02/07/2026</t>
  </si>
  <si>
    <t xml:space="preserve">03/07/2026</t>
  </si>
  <si>
    <t xml:space="preserve">04/07/2026</t>
  </si>
  <si>
    <t xml:space="preserve">05/07/2026</t>
  </si>
  <si>
    <t xml:space="preserve">06/07/2026</t>
  </si>
  <si>
    <t xml:space="preserve">07/07/2026</t>
  </si>
  <si>
    <t xml:space="preserve">08/07/2026</t>
  </si>
  <si>
    <t xml:space="preserve">09/07/2026</t>
  </si>
  <si>
    <t xml:space="preserve">10/07/2026</t>
  </si>
  <si>
    <t xml:space="preserve">11/07/2026</t>
  </si>
  <si>
    <t xml:space="preserve">12/07/2026</t>
  </si>
  <si>
    <t xml:space="preserve">13/07/2026</t>
  </si>
  <si>
    <t xml:space="preserve">14/07/2026</t>
  </si>
  <si>
    <t xml:space="preserve">15/07/2026</t>
  </si>
  <si>
    <t xml:space="preserve">16/07/2026</t>
  </si>
  <si>
    <t xml:space="preserve">17/07/2026</t>
  </si>
  <si>
    <t xml:space="preserve">18/07/2026</t>
  </si>
  <si>
    <t xml:space="preserve">19/07/2026</t>
  </si>
  <si>
    <t xml:space="preserve">20/07/2026</t>
  </si>
  <si>
    <t xml:space="preserve">21/07/2026</t>
  </si>
  <si>
    <t xml:space="preserve">22/07/2026</t>
  </si>
  <si>
    <t xml:space="preserve">DavidR3</t>
  </si>
  <si>
    <t xml:space="preserve">23/07/2026</t>
  </si>
  <si>
    <t xml:space="preserve">24/07/2026</t>
  </si>
  <si>
    <t xml:space="preserve">25/07/2026</t>
  </si>
  <si>
    <t xml:space="preserve">26/07/2026</t>
  </si>
  <si>
    <t xml:space="preserve">27/07/2026</t>
  </si>
  <si>
    <t xml:space="preserve">28/07/2026</t>
  </si>
  <si>
    <t xml:space="preserve">29/07/2026</t>
  </si>
  <si>
    <t xml:space="preserve">30/07/2026</t>
  </si>
  <si>
    <t xml:space="preserve">Agosto 2026</t>
  </si>
  <si>
    <t xml:space="preserve">01/08/2026</t>
  </si>
  <si>
    <t xml:space="preserve">02/08/2026</t>
  </si>
  <si>
    <t xml:space="preserve">03/08/2026</t>
  </si>
  <si>
    <t xml:space="preserve">04/08/2026</t>
  </si>
  <si>
    <t xml:space="preserve">05/08/2026</t>
  </si>
  <si>
    <t xml:space="preserve">06/08/2026</t>
  </si>
  <si>
    <t xml:space="preserve">07/08/2026</t>
  </si>
  <si>
    <t xml:space="preserve">08/08/2026</t>
  </si>
  <si>
    <t xml:space="preserve">09/08/2026</t>
  </si>
  <si>
    <t xml:space="preserve">10/08/2026</t>
  </si>
  <si>
    <t xml:space="preserve">11/08/2026</t>
  </si>
  <si>
    <t xml:space="preserve">12/08/2026</t>
  </si>
  <si>
    <t xml:space="preserve">13/08/2026</t>
  </si>
  <si>
    <t xml:space="preserve">14/08/2026</t>
  </si>
  <si>
    <t xml:space="preserve">15/08/2026</t>
  </si>
  <si>
    <t xml:space="preserve">Asuncion de la Virgen</t>
  </si>
  <si>
    <t xml:space="preserve">16/08/2026</t>
  </si>
  <si>
    <t xml:space="preserve">17/08/2026</t>
  </si>
  <si>
    <t xml:space="preserve">19/08/2026</t>
  </si>
  <si>
    <t xml:space="preserve">20/08/2026</t>
  </si>
  <si>
    <t xml:space="preserve">21/08/2026</t>
  </si>
  <si>
    <t xml:space="preserve">22/08/2026</t>
  </si>
  <si>
    <t xml:space="preserve">23/08/2026</t>
  </si>
  <si>
    <t xml:space="preserve">24/08/2026</t>
  </si>
  <si>
    <t xml:space="preserve">25/08/2026</t>
  </si>
  <si>
    <t xml:space="preserve">26/08/2026</t>
  </si>
  <si>
    <t xml:space="preserve">27/08/2026</t>
  </si>
  <si>
    <t xml:space="preserve">28/08/2026</t>
  </si>
  <si>
    <t xml:space="preserve">29/08/2026</t>
  </si>
  <si>
    <t xml:space="preserve">30/08/2026</t>
  </si>
  <si>
    <t xml:space="preserve">31/08/2026</t>
  </si>
  <si>
    <t xml:space="preserve">Septiembre 2026</t>
  </si>
  <si>
    <t xml:space="preserve">01/09/2026</t>
  </si>
  <si>
    <t xml:space="preserve">02/09/2026</t>
  </si>
  <si>
    <t xml:space="preserve">03/09/2026</t>
  </si>
  <si>
    <t xml:space="preserve">04/09/2026</t>
  </si>
  <si>
    <t xml:space="preserve">05/09/2026</t>
  </si>
  <si>
    <t xml:space="preserve">06/09/2026</t>
  </si>
  <si>
    <t xml:space="preserve">07/09/2026</t>
  </si>
  <si>
    <t xml:space="preserve">08/09/2026</t>
  </si>
  <si>
    <t xml:space="preserve">09/09/2026</t>
  </si>
  <si>
    <t xml:space="preserve">10/09/2026</t>
  </si>
  <si>
    <t xml:space="preserve">11/09/2026</t>
  </si>
  <si>
    <t xml:space="preserve">12/09/2026</t>
  </si>
  <si>
    <t xml:space="preserve">13/09/2026</t>
  </si>
  <si>
    <t xml:space="preserve">14/09/2026</t>
  </si>
  <si>
    <t xml:space="preserve">15/09/2026</t>
  </si>
  <si>
    <t xml:space="preserve">16/09/2026</t>
  </si>
  <si>
    <t xml:space="preserve">17/09/2026</t>
  </si>
  <si>
    <t xml:space="preserve">18/09/2026</t>
  </si>
  <si>
    <t xml:space="preserve">19/09/2026</t>
  </si>
  <si>
    <t xml:space="preserve">20/09/2026</t>
  </si>
  <si>
    <t xml:space="preserve">21/09/2026</t>
  </si>
  <si>
    <t xml:space="preserve">22/09/2026</t>
  </si>
  <si>
    <t xml:space="preserve">23/09/2026</t>
  </si>
  <si>
    <t xml:space="preserve">24/09/2026</t>
  </si>
  <si>
    <t xml:space="preserve">25/09/2026</t>
  </si>
  <si>
    <t xml:space="preserve">26/09/2026</t>
  </si>
  <si>
    <t xml:space="preserve">27/09/2026</t>
  </si>
  <si>
    <t xml:space="preserve">28/09/2026</t>
  </si>
  <si>
    <t xml:space="preserve">29/09/2026</t>
  </si>
  <si>
    <t xml:space="preserve">30/09/2026</t>
  </si>
  <si>
    <t xml:space="preserve">RESUMEN POR PERSONA (fórmulas sobre la tabla en bruto de arriba)</t>
  </si>
  <si>
    <t xml:space="preserve">FDS Viernes</t>
  </si>
  <si>
    <t xml:space="preserve">FDS Sábado</t>
  </si>
  <si>
    <t xml:space="preserve">FDS Domingo</t>
  </si>
  <si>
    <t xml:space="preserve">TX total</t>
  </si>
  <si>
    <t xml:space="preserve">TX fin de semana</t>
  </si>
  <si>
    <t xml:space="preserve">TX diario/entre semana</t>
  </si>
  <si>
    <t xml:space="preserve">Festivos Madrid</t>
  </si>
  <si>
    <t xml:space="preserve">Total guardias histórico</t>
  </si>
</sst>
</file>

<file path=xl/styles.xml><?xml version="1.0" encoding="utf-8"?>
<styleSheet xmlns="http://schemas.openxmlformats.org/spreadsheetml/2006/main">
  <numFmts count="3">
    <numFmt numFmtId="164" formatCode="General"/>
    <numFmt numFmtId="165" formatCode="General"/>
    <numFmt numFmtId="166" formatCode="0"/>
  </numFmts>
  <fonts count="70">
    <font>
      <sz val="11"/>
      <color theme="1"/>
      <name val="Calibri"/>
      <family val="2"/>
      <charset val="1"/>
    </font>
    <font>
      <sz val="10"/>
      <name val="Arial"/>
      <family val="0"/>
    </font>
    <font>
      <sz val="10"/>
      <name val="Arial"/>
      <family val="0"/>
    </font>
    <font>
      <sz val="10"/>
      <name val="Arial"/>
      <family val="0"/>
    </font>
    <font>
      <b val="true"/>
      <sz val="16"/>
      <color rgb="FF1F3864"/>
      <name val="Arial"/>
      <family val="2"/>
      <charset val="1"/>
    </font>
    <font>
      <b val="true"/>
      <sz val="12"/>
      <color rgb="FF1F3864"/>
      <name val="Arial"/>
      <family val="2"/>
      <charset val="1"/>
    </font>
    <font>
      <b val="true"/>
      <sz val="12"/>
      <color rgb="FF000000"/>
      <name val="Arial"/>
      <family val="2"/>
      <charset val="1"/>
    </font>
    <font>
      <sz val="11"/>
      <color rgb="FF000000"/>
      <name val="Arial"/>
      <family val="2"/>
      <charset val="1"/>
    </font>
    <font>
      <sz val="11"/>
      <color rgb="FF375623"/>
      <name val="Arial"/>
      <family val="2"/>
      <charset val="1"/>
    </font>
    <font>
      <sz val="11"/>
      <color rgb="FFC00000"/>
      <name val="Arial"/>
      <family val="2"/>
      <charset val="1"/>
    </font>
    <font>
      <b val="true"/>
      <sz val="15"/>
      <color rgb="FFFFFFFF"/>
      <name val="Arial"/>
      <family val="2"/>
      <charset val="1"/>
    </font>
    <font>
      <b val="true"/>
      <sz val="10"/>
      <color rgb="FFFFFFFF"/>
      <name val="Arial"/>
      <family val="2"/>
      <charset val="1"/>
    </font>
    <font>
      <sz val="9"/>
      <color rgb="FF17307C"/>
      <name val="Arial"/>
      <family val="2"/>
      <charset val="1"/>
    </font>
    <font>
      <sz val="9"/>
      <color rgb="FF064E3B"/>
      <name val="Arial"/>
      <family val="2"/>
      <charset val="1"/>
    </font>
    <font>
      <sz val="9"/>
      <color rgb="FF7C3D08"/>
      <name val="Arial"/>
      <family val="2"/>
      <charset val="1"/>
    </font>
    <font>
      <sz val="9"/>
      <color rgb="FF1F2937"/>
      <name val="Arial"/>
      <family val="2"/>
      <charset val="1"/>
    </font>
    <font>
      <b val="true"/>
      <sz val="9"/>
      <color rgb="FF1E5B2A"/>
      <name val="Arial"/>
      <family val="2"/>
      <charset val="1"/>
    </font>
    <font>
      <b val="true"/>
      <sz val="11"/>
      <color rgb="FFFFFFFF"/>
      <name val="Arial"/>
      <family val="2"/>
      <charset val="1"/>
    </font>
    <font>
      <b val="true"/>
      <sz val="12"/>
      <color rgb="FF1A1A1A"/>
      <name val="Arial"/>
      <family val="2"/>
      <charset val="1"/>
    </font>
    <font>
      <b val="true"/>
      <sz val="12"/>
      <color rgb="FF4C2E83"/>
      <name val="Arial"/>
      <family val="2"/>
      <charset val="1"/>
    </font>
    <font>
      <b val="true"/>
      <sz val="9"/>
      <color rgb="FFFFFFFF"/>
      <name val="Arial"/>
      <family val="2"/>
      <charset val="1"/>
    </font>
    <font>
      <sz val="10"/>
      <color rgb="FF17307C"/>
      <name val="Arial"/>
      <family val="2"/>
      <charset val="1"/>
    </font>
    <font>
      <b val="true"/>
      <sz val="10"/>
      <color rgb="FF1E5B2A"/>
      <name val="Arial"/>
      <family val="2"/>
      <charset val="1"/>
    </font>
    <font>
      <sz val="10"/>
      <color rgb="FF064E3B"/>
      <name val="Arial"/>
      <family val="2"/>
      <charset val="1"/>
    </font>
    <font>
      <sz val="10"/>
      <color rgb="FF7C3D08"/>
      <name val="Arial"/>
      <family val="2"/>
      <charset val="1"/>
    </font>
    <font>
      <sz val="10"/>
      <color rgb="FF1F2937"/>
      <name val="Arial"/>
      <family val="2"/>
      <charset val="1"/>
    </font>
    <font>
      <sz val="7"/>
      <color rgb="FFA02020"/>
      <name val="Arial"/>
      <family val="2"/>
      <charset val="1"/>
    </font>
    <font>
      <b val="true"/>
      <sz val="11"/>
      <color rgb="FF1E5B2A"/>
      <name val="Calibri"/>
      <family val="0"/>
      <charset val="1"/>
    </font>
    <font>
      <b val="true"/>
      <sz val="12"/>
      <color rgb="FFC0392B"/>
      <name val="Arial"/>
      <family val="2"/>
      <charset val="1"/>
    </font>
    <font>
      <sz val="7"/>
      <color rgb="FF2E7D32"/>
      <name val="Arial"/>
      <family val="2"/>
      <charset val="1"/>
    </font>
    <font>
      <sz val="10"/>
      <name val="Arial"/>
      <family val="2"/>
    </font>
    <font>
      <b val="true"/>
      <sz val="14"/>
      <color rgb="FFFFFFFF"/>
      <name val="Arial"/>
      <family val="2"/>
      <charset val="1"/>
    </font>
    <font>
      <b val="true"/>
      <sz val="11"/>
      <color rgb="FF1F3864"/>
      <name val="Arial"/>
      <family val="2"/>
      <charset val="1"/>
    </font>
    <font>
      <b val="true"/>
      <sz val="7"/>
      <color rgb="FF1F2937"/>
      <name val="Arial"/>
      <family val="2"/>
      <charset val="1"/>
    </font>
    <font>
      <b val="true"/>
      <sz val="7"/>
      <color rgb="FFFFFFFF"/>
      <name val="Arial"/>
      <family val="2"/>
      <charset val="1"/>
    </font>
    <font>
      <b val="true"/>
      <sz val="10"/>
      <color rgb="FF17307C"/>
      <name val="Arial"/>
      <family val="2"/>
      <charset val="1"/>
    </font>
    <font>
      <b val="true"/>
      <sz val="10"/>
      <color rgb="FF1F3864"/>
      <name val="Arial"/>
      <family val="2"/>
      <charset val="1"/>
    </font>
    <font>
      <sz val="9"/>
      <color rgb="FF000000"/>
      <name val="Arial"/>
      <family val="2"/>
      <charset val="1"/>
    </font>
    <font>
      <b val="true"/>
      <sz val="10"/>
      <color rgb="FF064E3B"/>
      <name val="Arial"/>
      <family val="2"/>
      <charset val="1"/>
    </font>
    <font>
      <b val="true"/>
      <sz val="10"/>
      <color rgb="FF7C3D08"/>
      <name val="Arial"/>
      <family val="2"/>
      <charset val="1"/>
    </font>
    <font>
      <b val="true"/>
      <sz val="10"/>
      <color rgb="FF1F2937"/>
      <name val="Arial"/>
      <family val="2"/>
      <charset val="1"/>
    </font>
    <font>
      <b val="true"/>
      <sz val="11"/>
      <color rgb="FF1F4E79"/>
      <name val="Arial"/>
      <family val="2"/>
      <charset val="1"/>
    </font>
    <font>
      <b val="true"/>
      <sz val="9"/>
      <color rgb="FF1F4E79"/>
      <name val="Arial"/>
      <family val="2"/>
      <charset val="1"/>
    </font>
    <font>
      <i val="true"/>
      <sz val="9"/>
      <color rgb="FF808080"/>
      <name val="Arial"/>
      <family val="2"/>
      <charset val="1"/>
    </font>
    <font>
      <b val="true"/>
      <i val="true"/>
      <sz val="10"/>
      <color rgb="FF595959"/>
      <name val="Arial"/>
      <family val="2"/>
      <charset val="1"/>
    </font>
    <font>
      <sz val="10"/>
      <color rgb="FF000000"/>
      <name val="Arial"/>
      <family val="2"/>
      <charset val="1"/>
    </font>
    <font>
      <sz val="9"/>
      <color rgb="FF808080"/>
      <name val="Arial"/>
      <family val="2"/>
      <charset val="1"/>
    </font>
    <font>
      <b val="true"/>
      <sz val="10"/>
      <color rgb="FF000000"/>
      <name val="Arial"/>
      <family val="2"/>
      <charset val="1"/>
    </font>
    <font>
      <sz val="9"/>
      <color rgb="FF374151"/>
      <name val="Arial"/>
      <family val="2"/>
      <charset val="1"/>
    </font>
    <font>
      <sz val="7"/>
      <color rgb="FF9AA0A6"/>
      <name val="Arial"/>
      <family val="2"/>
      <charset val="1"/>
    </font>
    <font>
      <b val="true"/>
      <sz val="8"/>
      <color rgb="FF1F2937"/>
      <name val="Arial"/>
      <family val="2"/>
      <charset val="1"/>
    </font>
    <font>
      <b val="true"/>
      <sz val="8"/>
      <color rgb="FFFFFFFF"/>
      <name val="Arial"/>
      <family val="2"/>
      <charset val="1"/>
    </font>
    <font>
      <sz val="8"/>
      <color rgb="FF808080"/>
      <name val="Arial"/>
      <family val="2"/>
      <charset val="1"/>
    </font>
    <font>
      <b val="true"/>
      <sz val="9"/>
      <color rgb="FF1F3864"/>
      <name val="Arial"/>
      <family val="2"/>
      <charset val="1"/>
    </font>
    <font>
      <b val="true"/>
      <sz val="13"/>
      <color rgb="FFFFFFFF"/>
      <name val="Arial"/>
      <family val="2"/>
      <charset val="1"/>
    </font>
    <font>
      <b val="true"/>
      <sz val="11"/>
      <color rgb="FF2E7D32"/>
      <name val="Arial"/>
      <family val="2"/>
      <charset val="1"/>
    </font>
    <font>
      <sz val="9"/>
      <color rgb="FF6B7280"/>
      <name val="Arial"/>
      <family val="2"/>
      <charset val="1"/>
    </font>
    <font>
      <b val="true"/>
      <sz val="11"/>
      <color rgb="FF000000"/>
      <name val="Arial"/>
      <family val="2"/>
      <charset val="1"/>
    </font>
    <font>
      <b val="true"/>
      <sz val="11"/>
      <color rgb="FF000000"/>
      <name val="Calibri"/>
      <family val="2"/>
      <charset val="1"/>
    </font>
    <font>
      <b val="true"/>
      <sz val="11"/>
      <color theme="1"/>
      <name val="Calibri"/>
      <family val="2"/>
      <charset val="1"/>
    </font>
    <font>
      <b val="true"/>
      <sz val="11"/>
      <color rgb="FF375623"/>
      <name val="Arial"/>
      <family val="2"/>
      <charset val="1"/>
    </font>
    <font>
      <b val="true"/>
      <sz val="10"/>
      <color rgb="FF7C3D08"/>
      <name val="Arial"/>
      <family val="0"/>
      <charset val="1"/>
    </font>
    <font>
      <sz val="10"/>
      <color rgb="FF000000"/>
      <name val="Arial"/>
      <family val="0"/>
      <charset val="1"/>
    </font>
    <font>
      <sz val="10"/>
      <color rgb="FFA02020"/>
      <name val="Arial"/>
      <family val="0"/>
      <charset val="1"/>
    </font>
    <font>
      <b val="true"/>
      <sz val="10"/>
      <color rgb="FFC00000"/>
      <name val="Arial"/>
      <family val="2"/>
      <charset val="1"/>
    </font>
    <font>
      <i val="true"/>
      <sz val="9"/>
      <color rgb="FF000000"/>
      <name val="Arial"/>
      <family val="2"/>
      <charset val="1"/>
    </font>
    <font>
      <b val="true"/>
      <sz val="11"/>
      <color rgb="FFFFFFFF"/>
      <name val="Arial"/>
      <family val="0"/>
      <charset val="1"/>
    </font>
    <font>
      <b val="true"/>
      <sz val="10"/>
      <name val="Arial"/>
      <family val="0"/>
      <charset val="1"/>
    </font>
    <font>
      <sz val="10"/>
      <name val="Arial"/>
      <family val="0"/>
      <charset val="1"/>
    </font>
    <font>
      <sz val="9"/>
      <name val="Arial"/>
      <family val="0"/>
      <charset val="1"/>
    </font>
  </fonts>
  <fills count="35">
    <fill>
      <patternFill patternType="none"/>
    </fill>
    <fill>
      <patternFill patternType="gray125"/>
    </fill>
    <fill>
      <patternFill patternType="solid">
        <fgColor rgb="FF1F3864"/>
        <bgColor rgb="FF17307C"/>
      </patternFill>
    </fill>
    <fill>
      <patternFill patternType="solid">
        <fgColor rgb="FF1D4ED8"/>
        <bgColor rgb="FF1F4E79"/>
      </patternFill>
    </fill>
    <fill>
      <patternFill patternType="solid">
        <fgColor rgb="FFDBEAFE"/>
        <bgColor rgb="FFDDEBF7"/>
      </patternFill>
    </fill>
    <fill>
      <patternFill patternType="solid">
        <fgColor rgb="FF047857"/>
        <bgColor rgb="FF2E7D32"/>
      </patternFill>
    </fill>
    <fill>
      <patternFill patternType="solid">
        <fgColor rgb="FFD1FAE5"/>
        <bgColor rgb="FFC6EFCE"/>
      </patternFill>
    </fill>
    <fill>
      <patternFill patternType="solid">
        <fgColor rgb="FFB45309"/>
        <bgColor rgb="FFC0392B"/>
      </patternFill>
    </fill>
    <fill>
      <patternFill patternType="solid">
        <fgColor rgb="FFFEF3C7"/>
        <bgColor rgb="FFFFF2CC"/>
      </patternFill>
    </fill>
    <fill>
      <patternFill patternType="solid">
        <fgColor rgb="FF4B5563"/>
        <bgColor rgb="FF44546A"/>
      </patternFill>
    </fill>
    <fill>
      <patternFill patternType="solid">
        <fgColor rgb="FFF3F4F6"/>
        <bgColor rgb="FFF4F7F4"/>
      </patternFill>
    </fill>
    <fill>
      <patternFill patternType="solid">
        <fgColor rgb="FFC6EFCE"/>
        <bgColor rgb="FFD9EAD3"/>
      </patternFill>
    </fill>
    <fill>
      <patternFill patternType="solid">
        <fgColor rgb="FF44546A"/>
        <bgColor rgb="FF4B5563"/>
      </patternFill>
    </fill>
    <fill>
      <patternFill patternType="solid">
        <fgColor rgb="FF7C5CBF"/>
        <bgColor rgb="FF8E7CC3"/>
      </patternFill>
    </fill>
    <fill>
      <patternFill patternType="solid">
        <fgColor rgb="FFF8F9FA"/>
        <bgColor rgb="FFF7F9FC"/>
      </patternFill>
    </fill>
    <fill>
      <patternFill patternType="solid">
        <fgColor rgb="FFFFFFFF"/>
        <bgColor rgb="FFF8F9FA"/>
      </patternFill>
    </fill>
    <fill>
      <patternFill patternType="solid">
        <fgColor rgb="FFEEF2F7"/>
        <bgColor rgb="FFF3F4F6"/>
      </patternFill>
    </fill>
    <fill>
      <patternFill patternType="solid">
        <fgColor rgb="FFFBE9E7"/>
        <bgColor rgb="FFFBE3DC"/>
      </patternFill>
    </fill>
    <fill>
      <patternFill patternType="solid">
        <fgColor rgb="FFFDE2E0"/>
        <bgColor rgb="FFFBE3DC"/>
      </patternFill>
    </fill>
    <fill>
      <patternFill patternType="solid">
        <fgColor rgb="FFEDF7ED"/>
        <bgColor rgb="FFF4F7F4"/>
      </patternFill>
    </fill>
    <fill>
      <patternFill patternType="solid">
        <fgColor rgb="FFE5E9EF"/>
        <bgColor rgb="FFEDE7F6"/>
      </patternFill>
    </fill>
    <fill>
      <patternFill patternType="solid">
        <fgColor rgb="FFC0392B"/>
        <bgColor rgb="FFB45309"/>
      </patternFill>
    </fill>
    <fill>
      <patternFill patternType="solid">
        <fgColor rgb="FFF7F9FC"/>
        <bgColor rgb="FFF8F9FA"/>
      </patternFill>
    </fill>
    <fill>
      <patternFill patternType="solid">
        <fgColor rgb="FFDDEBF7"/>
        <bgColor rgb="FFDBEAFE"/>
      </patternFill>
    </fill>
    <fill>
      <patternFill patternType="solid">
        <fgColor rgb="FFFFF2CC"/>
        <bgColor rgb="FFFFF3CD"/>
      </patternFill>
    </fill>
    <fill>
      <patternFill patternType="solid">
        <fgColor rgb="FFFFFDE7"/>
        <bgColor rgb="FFF8F9FA"/>
      </patternFill>
    </fill>
    <fill>
      <patternFill patternType="solid">
        <fgColor rgb="FFE06666"/>
        <bgColor rgb="FFB45309"/>
      </patternFill>
    </fill>
    <fill>
      <patternFill patternType="solid">
        <fgColor rgb="FFF6B26B"/>
        <bgColor rgb="FFCCCCCC"/>
      </patternFill>
    </fill>
    <fill>
      <patternFill patternType="solid">
        <fgColor rgb="FF8E7CC3"/>
        <bgColor rgb="FF808080"/>
      </patternFill>
    </fill>
    <fill>
      <patternFill patternType="solid">
        <fgColor rgb="FFF4F7F4"/>
        <bgColor rgb="FFF3F4F6"/>
      </patternFill>
    </fill>
    <fill>
      <patternFill patternType="solid">
        <fgColor rgb="FFE2EFDA"/>
        <bgColor rgb="FFD9EAD3"/>
      </patternFill>
    </fill>
    <fill>
      <patternFill patternType="solid">
        <fgColor rgb="FFFFF3CD"/>
        <bgColor rgb="FFFFF2CC"/>
      </patternFill>
    </fill>
    <fill>
      <patternFill patternType="solid">
        <fgColor rgb="FF50519E"/>
        <bgColor rgb="FF44546A"/>
      </patternFill>
    </fill>
    <fill>
      <patternFill patternType="solid">
        <fgColor rgb="FFEDE7F6"/>
        <bgColor rgb="FFE5E9EF"/>
      </patternFill>
    </fill>
    <fill>
      <patternFill patternType="solid">
        <fgColor rgb="FFFBE3DC"/>
        <bgColor rgb="FFFDE2E0"/>
      </patternFill>
    </fill>
  </fills>
  <borders count="11">
    <border diagonalUp="false" diagonalDown="false">
      <left/>
      <right/>
      <top/>
      <bottom/>
      <diagonal/>
    </border>
    <border diagonalUp="false" diagonalDown="false">
      <left/>
      <right/>
      <top/>
      <bottom style="thin">
        <color rgb="FFCBD5E1"/>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ck">
        <color rgb="FF1D4ED8"/>
      </left>
      <right/>
      <top/>
      <bottom/>
      <diagonal/>
    </border>
    <border diagonalUp="false" diagonalDown="false">
      <left style="hair">
        <color rgb="FFD6DBE1"/>
      </left>
      <right style="hair">
        <color rgb="FFD6DBE1"/>
      </right>
      <top style="hair">
        <color rgb="FFD6DBE1"/>
      </top>
      <bottom style="hair">
        <color rgb="FFD6DBE1"/>
      </bottom>
      <diagonal/>
    </border>
    <border diagonalUp="false" diagonalDown="false">
      <left style="thick">
        <color rgb="FF047857"/>
      </left>
      <right/>
      <top/>
      <bottom/>
      <diagonal/>
    </border>
    <border diagonalUp="false" diagonalDown="false">
      <left style="thick">
        <color rgb="FFB45309"/>
      </left>
      <right/>
      <top/>
      <bottom/>
      <diagonal/>
    </border>
    <border diagonalUp="false" diagonalDown="false">
      <left style="thick">
        <color rgb="FF4B5563"/>
      </left>
      <right/>
      <top/>
      <bottom/>
      <diagonal/>
    </border>
    <border diagonalUp="false" diagonalDown="false">
      <left/>
      <right/>
      <top/>
      <bottom style="thin">
        <color rgb="FFE5E9EF"/>
      </bottom>
      <diagonal/>
    </border>
    <border diagonalUp="false" diagonalDown="false">
      <left style="thin">
        <color rgb="FF9AA0A6"/>
      </left>
      <right style="thin">
        <color rgb="FF9AA0A6"/>
      </right>
      <top style="thin">
        <color rgb="FF9AA0A6"/>
      </top>
      <bottom style="thin">
        <color rgb="FF9AA0A6"/>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left" vertical="center" textRotation="0" wrapText="false" indent="1" shrinkToFit="false"/>
      <protection locked="true" hidden="false"/>
    </xf>
    <xf numFmtId="164" fontId="11" fillId="5" borderId="0" xfId="0" applyFont="true" applyBorder="false" applyAlignment="true" applyProtection="false">
      <alignment horizontal="center" vertical="center" textRotation="0" wrapText="false" indent="0" shrinkToFit="false"/>
      <protection locked="true" hidden="false"/>
    </xf>
    <xf numFmtId="164" fontId="13" fillId="6" borderId="0" xfId="0" applyFont="true" applyBorder="true" applyAlignment="true" applyProtection="false">
      <alignment horizontal="left" vertical="center" textRotation="0" wrapText="false" indent="1" shrinkToFit="false"/>
      <protection locked="true" hidden="false"/>
    </xf>
    <xf numFmtId="164" fontId="11" fillId="7" borderId="0" xfId="0" applyFont="true" applyBorder="false" applyAlignment="true" applyProtection="false">
      <alignment horizontal="center" vertical="center" textRotation="0" wrapText="false" indent="0" shrinkToFit="false"/>
      <protection locked="true" hidden="false"/>
    </xf>
    <xf numFmtId="164" fontId="14" fillId="8" borderId="0" xfId="0" applyFont="true" applyBorder="true" applyAlignment="true" applyProtection="false">
      <alignment horizontal="left" vertical="center" textRotation="0" wrapText="false" indent="1" shrinkToFit="false"/>
      <protection locked="true" hidden="false"/>
    </xf>
    <xf numFmtId="164" fontId="11" fillId="9" borderId="0" xfId="0" applyFont="true" applyBorder="false" applyAlignment="true" applyProtection="false">
      <alignment horizontal="center" vertical="center" textRotation="0" wrapText="false" indent="0" shrinkToFit="false"/>
      <protection locked="true" hidden="false"/>
    </xf>
    <xf numFmtId="164" fontId="15" fillId="10" borderId="0" xfId="0" applyFont="true" applyBorder="true" applyAlignment="true" applyProtection="false">
      <alignment horizontal="left" vertical="center" textRotation="0" wrapText="false" indent="1" shrinkToFit="false"/>
      <protection locked="true" hidden="false"/>
    </xf>
    <xf numFmtId="164" fontId="16" fillId="11" borderId="0" xfId="0" applyFont="true" applyBorder="true" applyAlignment="true" applyProtection="false">
      <alignment horizontal="center" vertical="center" textRotation="0" wrapText="false" indent="0" shrinkToFit="false"/>
      <protection locked="true" hidden="false"/>
    </xf>
    <xf numFmtId="164" fontId="17" fillId="12" borderId="0" xfId="0" applyFont="true" applyBorder="true" applyAlignment="true" applyProtection="false">
      <alignment horizontal="center" vertical="center" textRotation="0" wrapText="false" indent="0" shrinkToFit="false"/>
      <protection locked="true" hidden="false"/>
    </xf>
    <xf numFmtId="164" fontId="17" fillId="13" borderId="0" xfId="0" applyFont="true" applyBorder="true" applyAlignment="true" applyProtection="false">
      <alignment horizontal="center" vertical="center"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64" fontId="18" fillId="15" borderId="1" xfId="0" applyFont="true" applyBorder="true" applyAlignment="true" applyProtection="false">
      <alignment horizontal="left" vertical="center" textRotation="0" wrapText="false" indent="1" shrinkToFit="false"/>
      <protection locked="true" hidden="false"/>
    </xf>
    <xf numFmtId="164" fontId="19" fillId="16" borderId="1" xfId="0" applyFont="true" applyBorder="true" applyAlignment="true" applyProtection="false">
      <alignment horizontal="left" vertical="center" textRotation="0" wrapText="false" indent="1" shrinkToFit="false"/>
      <protection locked="true" hidden="false"/>
    </xf>
    <xf numFmtId="164" fontId="20" fillId="3" borderId="2" xfId="0" applyFont="true" applyBorder="true" applyAlignment="true" applyProtection="false">
      <alignment horizontal="center" vertical="center" textRotation="0" wrapText="false" indent="0" shrinkToFit="false"/>
      <protection locked="true" hidden="false"/>
    </xf>
    <xf numFmtId="164" fontId="21" fillId="4" borderId="2" xfId="0" applyFont="true" applyBorder="true" applyAlignment="true" applyProtection="false">
      <alignment horizontal="left" vertical="center" textRotation="0" wrapText="false" indent="1" shrinkToFit="false"/>
      <protection locked="true" hidden="false"/>
    </xf>
    <xf numFmtId="164" fontId="22" fillId="11" borderId="2" xfId="0" applyFont="true" applyBorder="true" applyAlignment="true" applyProtection="false">
      <alignment horizontal="left" vertical="center" textRotation="0" wrapText="false" indent="1" shrinkToFit="false"/>
      <protection locked="true" hidden="false"/>
    </xf>
    <xf numFmtId="164" fontId="20" fillId="5" borderId="2" xfId="0" applyFont="true" applyBorder="true" applyAlignment="true" applyProtection="false">
      <alignment horizontal="center" vertical="center" textRotation="0" wrapText="false" indent="0" shrinkToFit="false"/>
      <protection locked="true" hidden="false"/>
    </xf>
    <xf numFmtId="164" fontId="23" fillId="6" borderId="2" xfId="0" applyFont="true" applyBorder="true" applyAlignment="true" applyProtection="false">
      <alignment horizontal="left" vertical="center" textRotation="0" wrapText="false" indent="1" shrinkToFit="false"/>
      <protection locked="true" hidden="false"/>
    </xf>
    <xf numFmtId="164" fontId="20" fillId="7" borderId="2" xfId="0" applyFont="true" applyBorder="true" applyAlignment="true" applyProtection="false">
      <alignment horizontal="center" vertical="center" textRotation="0" wrapText="false" indent="0" shrinkToFit="false"/>
      <protection locked="true" hidden="false"/>
    </xf>
    <xf numFmtId="164" fontId="24" fillId="8" borderId="2" xfId="0" applyFont="true" applyBorder="true" applyAlignment="true" applyProtection="false">
      <alignment horizontal="left" vertical="center" textRotation="0" wrapText="false" indent="1" shrinkToFit="false"/>
      <protection locked="true" hidden="false"/>
    </xf>
    <xf numFmtId="164" fontId="20" fillId="9" borderId="2" xfId="0" applyFont="true" applyBorder="true" applyAlignment="true" applyProtection="false">
      <alignment horizontal="center" vertical="center" textRotation="0" wrapText="false" indent="0" shrinkToFit="false"/>
      <protection locked="true" hidden="false"/>
    </xf>
    <xf numFmtId="164" fontId="25" fillId="10" borderId="2" xfId="0" applyFont="true" applyBorder="true" applyAlignment="true" applyProtection="false">
      <alignment horizontal="left" vertical="center" textRotation="0" wrapText="false" indent="1" shrinkToFit="false"/>
      <protection locked="true" hidden="false"/>
    </xf>
    <xf numFmtId="164" fontId="26" fillId="17" borderId="0" xfId="0" applyFont="true" applyBorder="true" applyAlignment="true" applyProtection="false">
      <alignment horizontal="left" vertical="top" textRotation="0" wrapText="true" indent="1" shrinkToFit="false"/>
      <protection locked="true" hidden="false"/>
    </xf>
    <xf numFmtId="164" fontId="22" fillId="17" borderId="2" xfId="0" applyFont="true" applyBorder="true" applyAlignment="true" applyProtection="false">
      <alignment horizontal="left" vertical="center" textRotation="0" wrapText="false" indent="1" shrinkToFit="false"/>
      <protection locked="true" hidden="false"/>
    </xf>
    <xf numFmtId="164" fontId="27" fillId="11" borderId="2" xfId="0" applyFont="true" applyBorder="true" applyAlignment="true" applyProtection="false">
      <alignment horizontal="left" vertical="center" textRotation="0" wrapText="false" indent="1" shrinkToFit="false"/>
      <protection locked="true" hidden="false"/>
    </xf>
    <xf numFmtId="164" fontId="28" fillId="18" borderId="1" xfId="0" applyFont="true" applyBorder="true" applyAlignment="true" applyProtection="false">
      <alignment horizontal="left" vertical="center" textRotation="0" wrapText="false" indent="1" shrinkToFit="false"/>
      <protection locked="true" hidden="false"/>
    </xf>
    <xf numFmtId="164" fontId="29" fillId="19" borderId="0" xfId="0" applyFont="true" applyBorder="true" applyAlignment="true" applyProtection="false">
      <alignment horizontal="left" vertical="top" textRotation="0" wrapText="true" indent="1" shrinkToFit="false"/>
      <protection locked="true" hidden="false"/>
    </xf>
    <xf numFmtId="164" fontId="31" fillId="2" borderId="0" xfId="0" applyFont="true" applyBorder="true" applyAlignment="true" applyProtection="false">
      <alignment horizontal="center" vertical="center" textRotation="0" wrapText="false" indent="0" shrinkToFit="false"/>
      <protection locked="true" hidden="false"/>
    </xf>
    <xf numFmtId="164" fontId="32" fillId="16" borderId="0" xfId="0" applyFont="true" applyBorder="true" applyAlignment="true" applyProtection="false">
      <alignment horizontal="left" vertical="center" textRotation="0" wrapText="false" indent="1" shrinkToFit="false"/>
      <protection locked="true" hidden="false"/>
    </xf>
    <xf numFmtId="164" fontId="11" fillId="2" borderId="0" xfId="0" applyFont="true" applyBorder="false" applyAlignment="true" applyProtection="false">
      <alignment horizontal="left" vertical="center" textRotation="0" wrapText="false" indent="1"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33" fillId="20" borderId="0" xfId="0" applyFont="true" applyBorder="false" applyAlignment="true" applyProtection="false">
      <alignment horizontal="center" vertical="center" textRotation="0" wrapText="false" indent="0" shrinkToFit="false"/>
      <protection locked="true" hidden="false"/>
    </xf>
    <xf numFmtId="164" fontId="34" fillId="13" borderId="0" xfId="0" applyFont="true" applyBorder="false" applyAlignment="true" applyProtection="false">
      <alignment horizontal="center" vertical="center" textRotation="0" wrapText="false" indent="0" shrinkToFit="false"/>
      <protection locked="true" hidden="false"/>
    </xf>
    <xf numFmtId="164" fontId="34" fillId="21" borderId="0" xfId="0" applyFont="true" applyBorder="false" applyAlignment="true" applyProtection="false">
      <alignment horizontal="center" vertical="center" textRotation="0" wrapText="false" indent="0" shrinkToFit="false"/>
      <protection locked="true" hidden="false"/>
    </xf>
    <xf numFmtId="164" fontId="35" fillId="4" borderId="3" xfId="0" applyFont="true" applyBorder="true" applyAlignment="true" applyProtection="false">
      <alignment horizontal="left" vertical="center" textRotation="0" wrapText="false" indent="1" shrinkToFit="false"/>
      <protection locked="true" hidden="false"/>
    </xf>
    <xf numFmtId="165" fontId="36" fillId="22" borderId="0" xfId="0" applyFont="true" applyBorder="false" applyAlignment="true" applyProtection="false">
      <alignment horizontal="center" vertical="center" textRotation="0" wrapText="false" indent="0" shrinkToFit="false"/>
      <protection locked="true" hidden="false"/>
    </xf>
    <xf numFmtId="164" fontId="37" fillId="15" borderId="4" xfId="0" applyFont="true" applyBorder="true" applyAlignment="true" applyProtection="false">
      <alignment horizontal="center" vertical="center" textRotation="0" wrapText="false" indent="0" shrinkToFit="false"/>
      <protection locked="true" hidden="false"/>
    </xf>
    <xf numFmtId="164" fontId="37" fillId="16" borderId="4" xfId="0" applyFont="true" applyBorder="true" applyAlignment="true" applyProtection="false">
      <alignment horizontal="center" vertical="center" textRotation="0" wrapText="false" indent="0" shrinkToFit="false"/>
      <protection locked="true" hidden="false"/>
    </xf>
    <xf numFmtId="164" fontId="38" fillId="6" borderId="5" xfId="0" applyFont="true" applyBorder="true" applyAlignment="true" applyProtection="false">
      <alignment horizontal="left" vertical="center" textRotation="0" wrapText="false" indent="1" shrinkToFit="false"/>
      <protection locked="true" hidden="false"/>
    </xf>
    <xf numFmtId="164" fontId="39" fillId="8" borderId="6" xfId="0" applyFont="true" applyBorder="true" applyAlignment="true" applyProtection="false">
      <alignment horizontal="left" vertical="center" textRotation="0" wrapText="false" indent="1" shrinkToFit="false"/>
      <protection locked="true" hidden="false"/>
    </xf>
    <xf numFmtId="164" fontId="40" fillId="10" borderId="7" xfId="0" applyFont="true" applyBorder="true" applyAlignment="true" applyProtection="false">
      <alignment horizontal="left" vertical="center" textRotation="0" wrapText="false" indent="1" shrinkToFit="false"/>
      <protection locked="true" hidden="false"/>
    </xf>
    <xf numFmtId="164" fontId="11" fillId="12" borderId="0" xfId="0" applyFont="true" applyBorder="false" applyAlignment="true" applyProtection="false">
      <alignment horizontal="right" vertical="center" textRotation="0" wrapText="false" indent="1" shrinkToFit="false"/>
      <protection locked="true" hidden="false"/>
    </xf>
    <xf numFmtId="165" fontId="41" fillId="23" borderId="0" xfId="0" applyFont="true" applyBorder="false" applyAlignment="true" applyProtection="false">
      <alignment horizontal="center" vertical="center" textRotation="0" wrapText="false" indent="0" shrinkToFit="false"/>
      <protection locked="true" hidden="false"/>
    </xf>
    <xf numFmtId="165" fontId="42" fillId="23" borderId="0" xfId="0" applyFont="true" applyBorder="false" applyAlignment="true" applyProtection="false">
      <alignment horizontal="center" vertical="center" textRotation="0" wrapText="false" indent="0" shrinkToFit="false"/>
      <protection locked="true" hidden="false"/>
    </xf>
    <xf numFmtId="164" fontId="43" fillId="0" borderId="0" xfId="0" applyFont="true" applyBorder="true" applyAlignment="true" applyProtection="false">
      <alignment horizontal="general" vertical="bottom" textRotation="0" wrapText="false" indent="0" shrinkToFit="false"/>
      <protection locked="true" hidden="false"/>
    </xf>
    <xf numFmtId="164" fontId="44" fillId="0" borderId="0"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45" fillId="0" borderId="8" xfId="0" applyFont="true" applyBorder="true" applyAlignment="true" applyProtection="false">
      <alignment horizontal="general" vertical="bottom" textRotation="0" wrapText="false" indent="0" shrinkToFit="false"/>
      <protection locked="true" hidden="false"/>
    </xf>
    <xf numFmtId="164" fontId="46" fillId="0" borderId="8" xfId="0" applyFont="true" applyBorder="true" applyAlignment="true" applyProtection="false">
      <alignment horizontal="general" vertical="bottom" textRotation="0" wrapText="false" indent="0" shrinkToFit="false"/>
      <protection locked="true" hidden="false"/>
    </xf>
    <xf numFmtId="166" fontId="45" fillId="24" borderId="8" xfId="0" applyFont="true" applyBorder="true" applyAlignment="true" applyProtection="false">
      <alignment horizontal="center" vertical="bottom" textRotation="0" wrapText="false" indent="0" shrinkToFit="false"/>
      <protection locked="true" hidden="false"/>
    </xf>
    <xf numFmtId="164" fontId="45" fillId="0" borderId="8" xfId="0" applyFont="true" applyBorder="true" applyAlignment="true" applyProtection="false">
      <alignment horizontal="center" vertical="bottom" textRotation="0" wrapText="false" indent="0" shrinkToFit="false"/>
      <protection locked="true" hidden="false"/>
    </xf>
    <xf numFmtId="165" fontId="45" fillId="25" borderId="8" xfId="0" applyFont="true" applyBorder="true" applyAlignment="true" applyProtection="false">
      <alignment horizontal="center" vertical="bottom" textRotation="0" wrapText="false" indent="0" shrinkToFit="false"/>
      <protection locked="true" hidden="false"/>
    </xf>
    <xf numFmtId="165" fontId="47" fillId="25" borderId="8" xfId="0" applyFont="true" applyBorder="true" applyAlignment="true" applyProtection="false">
      <alignment horizontal="center" vertical="bottom" textRotation="0" wrapText="false" indent="0" shrinkToFit="false"/>
      <protection locked="true" hidden="false"/>
    </xf>
    <xf numFmtId="164" fontId="45" fillId="22" borderId="8" xfId="0" applyFont="true" applyBorder="true" applyAlignment="true" applyProtection="false">
      <alignment horizontal="general" vertical="bottom" textRotation="0" wrapText="false" indent="0" shrinkToFit="false"/>
      <protection locked="true" hidden="false"/>
    </xf>
    <xf numFmtId="164" fontId="46" fillId="22" borderId="8" xfId="0" applyFont="true" applyBorder="true" applyAlignment="true" applyProtection="false">
      <alignment horizontal="general" vertical="bottom" textRotation="0" wrapText="false" indent="0" shrinkToFit="false"/>
      <protection locked="true" hidden="false"/>
    </xf>
    <xf numFmtId="164" fontId="45" fillId="22" borderId="8" xfId="0"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45" fillId="22" borderId="8" xfId="0" applyFont="true" applyBorder="true" applyAlignment="true" applyProtection="false">
      <alignment horizontal="center" vertical="bottom" textRotation="0" wrapText="false" indent="0" shrinkToFit="false"/>
      <protection locked="true" hidden="false"/>
    </xf>
    <xf numFmtId="166" fontId="45" fillId="0" borderId="8" xfId="0" applyFont="true" applyBorder="true" applyAlignment="true" applyProtection="false">
      <alignment horizontal="center" vertical="bottom" textRotation="0" wrapText="false" indent="0" shrinkToFit="false"/>
      <protection locked="true" hidden="false"/>
    </xf>
    <xf numFmtId="164" fontId="45" fillId="24" borderId="8" xfId="0" applyFont="true" applyBorder="true" applyAlignment="true" applyProtection="false">
      <alignment horizontal="center"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5" fontId="36" fillId="0" borderId="0" xfId="0" applyFont="true" applyBorder="false" applyAlignment="true" applyProtection="false">
      <alignment horizontal="center" vertical="bottom" textRotation="0" wrapText="false" indent="0" shrinkToFit="false"/>
      <protection locked="true" hidden="false"/>
    </xf>
    <xf numFmtId="164" fontId="0" fillId="26" borderId="9" xfId="0" applyFont="false" applyBorder="true" applyAlignment="true" applyProtection="false">
      <alignment horizontal="general" vertical="bottom" textRotation="0" wrapText="false" indent="0" shrinkToFit="false"/>
      <protection locked="true" hidden="false"/>
    </xf>
    <xf numFmtId="164" fontId="48" fillId="0" borderId="0" xfId="0" applyFont="true" applyBorder="true" applyAlignment="true" applyProtection="false">
      <alignment horizontal="left" vertical="center" textRotation="0" wrapText="false" indent="1" shrinkToFit="false"/>
      <protection locked="true" hidden="false"/>
    </xf>
    <xf numFmtId="164" fontId="0" fillId="27" borderId="9" xfId="0" applyFont="false" applyBorder="true" applyAlignment="true" applyProtection="false">
      <alignment horizontal="general" vertical="bottom" textRotation="0" wrapText="false" indent="0" shrinkToFit="false"/>
      <protection locked="true" hidden="false"/>
    </xf>
    <xf numFmtId="164" fontId="0" fillId="28" borderId="9" xfId="0" applyFont="false" applyBorder="true" applyAlignment="true" applyProtection="false">
      <alignment horizontal="general" vertical="bottom" textRotation="0" wrapText="false" indent="0" shrinkToFit="false"/>
      <protection locked="true" hidden="false"/>
    </xf>
    <xf numFmtId="164" fontId="0" fillId="29" borderId="9" xfId="0" applyFont="false" applyBorder="tru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50" fillId="20" borderId="0" xfId="0" applyFont="true" applyBorder="false" applyAlignment="true" applyProtection="false">
      <alignment horizontal="center" vertical="center" textRotation="0" wrapText="false" indent="0" shrinkToFit="false"/>
      <protection locked="true" hidden="false"/>
    </xf>
    <xf numFmtId="164" fontId="51" fillId="13" borderId="0" xfId="0" applyFont="true" applyBorder="false" applyAlignment="true" applyProtection="false">
      <alignment horizontal="center" vertical="center" textRotation="0" wrapText="false" indent="0" shrinkToFit="false"/>
      <protection locked="true" hidden="false"/>
    </xf>
    <xf numFmtId="164" fontId="51" fillId="21" borderId="0" xfId="0" applyFont="true" applyBorder="false" applyAlignment="true" applyProtection="false">
      <alignment horizontal="center" vertical="center" textRotation="0" wrapText="false" indent="0" shrinkToFit="false"/>
      <protection locked="true" hidden="false"/>
    </xf>
    <xf numFmtId="164" fontId="45" fillId="15" borderId="0" xfId="0" applyFont="true" applyBorder="false" applyAlignment="true" applyProtection="false">
      <alignment horizontal="general" vertical="bottom" textRotation="0" wrapText="false" indent="0" shrinkToFit="false"/>
      <protection locked="true" hidden="false"/>
    </xf>
    <xf numFmtId="164" fontId="52" fillId="15" borderId="0" xfId="0" applyFont="true" applyBorder="false" applyAlignment="true" applyProtection="false">
      <alignment horizontal="center" vertical="bottom" textRotation="0" wrapText="false" indent="0" shrinkToFit="false"/>
      <protection locked="true" hidden="false"/>
    </xf>
    <xf numFmtId="164" fontId="0" fillId="29" borderId="4" xfId="0" applyFont="false" applyBorder="true" applyAlignment="true" applyProtection="false">
      <alignment horizontal="center" vertical="center" textRotation="0" wrapText="false" indent="0" shrinkToFit="false"/>
      <protection locked="true" hidden="false"/>
    </xf>
    <xf numFmtId="164" fontId="34" fillId="26" borderId="4" xfId="0" applyFont="true" applyBorder="true" applyAlignment="true" applyProtection="false">
      <alignment horizontal="center" vertical="center" textRotation="0" wrapText="false" indent="0" shrinkToFit="false"/>
      <protection locked="true" hidden="false"/>
    </xf>
    <xf numFmtId="164" fontId="45" fillId="22" borderId="0" xfId="0" applyFont="true" applyBorder="false" applyAlignment="true" applyProtection="false">
      <alignment horizontal="general" vertical="bottom" textRotation="0" wrapText="false" indent="0" shrinkToFit="false"/>
      <protection locked="true" hidden="false"/>
    </xf>
    <xf numFmtId="164" fontId="52" fillId="22" borderId="0" xfId="0" applyFont="true" applyBorder="false" applyAlignment="true" applyProtection="false">
      <alignment horizontal="center" vertical="bottom" textRotation="0" wrapText="false" indent="0" shrinkToFit="false"/>
      <protection locked="true" hidden="false"/>
    </xf>
    <xf numFmtId="164" fontId="34" fillId="27" borderId="4" xfId="0" applyFont="true" applyBorder="true" applyAlignment="true" applyProtection="false">
      <alignment horizontal="center" vertical="center" textRotation="0" wrapText="false" indent="0" shrinkToFit="false"/>
      <protection locked="true" hidden="false"/>
    </xf>
    <xf numFmtId="164" fontId="34" fillId="28" borderId="4" xfId="0" applyFont="true" applyBorder="true" applyAlignment="true" applyProtection="false">
      <alignment horizontal="center"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50" fillId="20" borderId="0" xfId="0" applyFont="true" applyBorder="false" applyAlignment="true" applyProtection="false">
      <alignment horizontal="center" vertical="bottom" textRotation="0" wrapText="false" indent="0" shrinkToFit="false"/>
      <protection locked="true" hidden="false"/>
    </xf>
    <xf numFmtId="164" fontId="50" fillId="27" borderId="0" xfId="0" applyFont="true" applyBorder="false" applyAlignment="true" applyProtection="false">
      <alignment horizontal="center" vertical="bottom" textRotation="0" wrapText="false" indent="0" shrinkToFit="false"/>
      <protection locked="true" hidden="false"/>
    </xf>
    <xf numFmtId="164" fontId="51" fillId="21" borderId="0" xfId="0" applyFont="true" applyBorder="false" applyAlignment="true" applyProtection="false">
      <alignment horizontal="center" vertical="bottom" textRotation="0" wrapText="false" indent="0" shrinkToFit="false"/>
      <protection locked="true" hidden="false"/>
    </xf>
    <xf numFmtId="164" fontId="54" fillId="2" borderId="0" xfId="0" applyFont="true" applyBorder="true" applyAlignment="true" applyProtection="false">
      <alignment horizontal="center" vertical="bottom" textRotation="0" wrapText="false" indent="0" shrinkToFit="false"/>
      <protection locked="true" hidden="false"/>
    </xf>
    <xf numFmtId="164" fontId="47" fillId="0" borderId="8" xfId="0" applyFont="true" applyBorder="true" applyAlignment="true" applyProtection="false">
      <alignment horizontal="general" vertical="bottom" textRotation="0" wrapText="false" indent="0" shrinkToFit="false"/>
      <protection locked="true" hidden="false"/>
    </xf>
    <xf numFmtId="164" fontId="37" fillId="0" borderId="8" xfId="0" applyFont="true" applyBorder="true" applyAlignment="true" applyProtection="false">
      <alignment horizontal="general" vertical="top" textRotation="0" wrapText="true" indent="0" shrinkToFit="false"/>
      <protection locked="true" hidden="false"/>
    </xf>
    <xf numFmtId="164" fontId="55" fillId="30" borderId="8" xfId="0" applyFont="true" applyBorder="true" applyAlignment="true" applyProtection="false">
      <alignment horizontal="center" vertical="bottom" textRotation="0" wrapText="false" indent="0" shrinkToFit="false"/>
      <protection locked="true" hidden="false"/>
    </xf>
    <xf numFmtId="164" fontId="56" fillId="0" borderId="8" xfId="0" applyFont="true" applyBorder="true" applyAlignment="true" applyProtection="false">
      <alignment horizontal="general" vertical="top" textRotation="0" wrapText="true" indent="0" shrinkToFit="false"/>
      <protection locked="true" hidden="false"/>
    </xf>
    <xf numFmtId="164" fontId="47" fillId="22" borderId="8" xfId="0" applyFont="true" applyBorder="true" applyAlignment="true" applyProtection="false">
      <alignment horizontal="general" vertical="bottom" textRotation="0" wrapText="false" indent="0" shrinkToFit="false"/>
      <protection locked="true" hidden="false"/>
    </xf>
    <xf numFmtId="164" fontId="37" fillId="22" borderId="8" xfId="0" applyFont="true" applyBorder="true" applyAlignment="true" applyProtection="false">
      <alignment horizontal="general" vertical="top" textRotation="0" wrapText="true" indent="0" shrinkToFit="false"/>
      <protection locked="true" hidden="false"/>
    </xf>
    <xf numFmtId="164" fontId="56" fillId="22" borderId="8"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7" fillId="0" borderId="0" xfId="0" applyFont="true" applyBorder="true" applyAlignment="true" applyProtection="false">
      <alignment horizontal="general" vertical="bottom" textRotation="0" wrapText="false" indent="0" shrinkToFit="false"/>
      <protection locked="true" hidden="false"/>
    </xf>
    <xf numFmtId="164" fontId="55" fillId="3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37" fillId="0" borderId="8"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24" borderId="8" xfId="0" applyFont="false" applyBorder="true" applyAlignment="true" applyProtection="false">
      <alignment horizontal="center" vertical="bottom" textRotation="0" wrapText="false" indent="0" shrinkToFit="false"/>
      <protection locked="true" hidden="false"/>
    </xf>
    <xf numFmtId="164" fontId="37" fillId="22" borderId="8" xfId="0" applyFont="true" applyBorder="true" applyAlignment="true" applyProtection="false">
      <alignment horizontal="general" vertical="bottom" textRotation="0" wrapText="false" indent="0" shrinkToFit="false"/>
      <protection locked="true" hidden="false"/>
    </xf>
    <xf numFmtId="164" fontId="0" fillId="22" borderId="8" xfId="0" applyFont="false" applyBorder="true" applyAlignment="true" applyProtection="false">
      <alignment horizontal="center" vertical="bottom" textRotation="0" wrapText="false" indent="0" shrinkToFit="false"/>
      <protection locked="true" hidden="false"/>
    </xf>
    <xf numFmtId="164" fontId="54" fillId="2" borderId="0" xfId="0" applyFont="true" applyBorder="tru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4" fontId="0" fillId="22" borderId="8" xfId="0" applyFont="true" applyBorder="true" applyAlignment="true" applyProtection="false">
      <alignment horizontal="general" vertical="bottom" textRotation="0" wrapText="tru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top" textRotation="0" wrapText="true" indent="0" shrinkToFit="false"/>
      <protection locked="true" hidden="false"/>
    </xf>
    <xf numFmtId="164" fontId="0" fillId="24" borderId="8" xfId="0" applyFont="true" applyBorder="true" applyAlignment="true" applyProtection="false">
      <alignment horizontal="general" vertical="top" textRotation="0" wrapText="true" indent="0" shrinkToFit="false"/>
      <protection locked="true" hidden="false"/>
    </xf>
    <xf numFmtId="164" fontId="0" fillId="22" borderId="8" xfId="0" applyFont="true" applyBorder="true" applyAlignment="true" applyProtection="false">
      <alignment horizontal="general" vertical="top" textRotation="0" wrapText="true" indent="0" shrinkToFit="false"/>
      <protection locked="true" hidden="false"/>
    </xf>
    <xf numFmtId="164" fontId="58" fillId="24" borderId="8" xfId="0" applyFont="true" applyBorder="true" applyAlignment="true" applyProtection="false">
      <alignment horizontal="general" vertical="top" textRotation="0" wrapText="true" indent="0" shrinkToFit="false"/>
      <protection locked="true" hidden="false"/>
    </xf>
    <xf numFmtId="164" fontId="59" fillId="24" borderId="8"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60" fillId="0" borderId="8" xfId="0" applyFont="true" applyBorder="true" applyAlignment="true" applyProtection="false">
      <alignment horizontal="center" vertical="bottom" textRotation="0" wrapText="false" indent="0" shrinkToFit="false"/>
      <protection locked="true" hidden="false"/>
    </xf>
    <xf numFmtId="164" fontId="60" fillId="22" borderId="8" xfId="0" applyFont="true" applyBorder="true" applyAlignment="true" applyProtection="false">
      <alignment horizontal="center" vertical="bottom" textRotation="0" wrapText="false" indent="0" shrinkToFit="false"/>
      <protection locked="true" hidden="false"/>
    </xf>
    <xf numFmtId="164" fontId="61" fillId="31" borderId="0" xfId="0" applyFont="true" applyBorder="true" applyAlignment="true" applyProtection="false">
      <alignment horizontal="general" vertical="bottom" textRotation="0" wrapText="false" indent="0" shrinkToFit="false"/>
      <protection locked="true" hidden="false"/>
    </xf>
    <xf numFmtId="164" fontId="62" fillId="31" borderId="8" xfId="0" applyFont="true" applyBorder="true" applyAlignment="true" applyProtection="false">
      <alignment horizontal="center" vertical="center" textRotation="0" wrapText="false" indent="0" shrinkToFit="false"/>
      <protection locked="true" hidden="false"/>
    </xf>
    <xf numFmtId="164" fontId="62" fillId="31" borderId="8" xfId="0" applyFont="true" applyBorder="true" applyAlignment="true" applyProtection="false">
      <alignment horizontal="left" vertical="center" textRotation="0" wrapText="false" indent="0" shrinkToFit="false"/>
      <protection locked="true" hidden="false"/>
    </xf>
    <xf numFmtId="164" fontId="63" fillId="31" borderId="8" xfId="0" applyFont="true" applyBorder="true" applyAlignment="true" applyProtection="false">
      <alignment horizontal="center" vertical="center" textRotation="0" wrapText="false" indent="0" shrinkToFit="false"/>
      <protection locked="true" hidden="false"/>
    </xf>
    <xf numFmtId="164" fontId="64" fillId="0" borderId="0" xfId="0" applyFont="true" applyBorder="true" applyAlignment="true" applyProtection="false">
      <alignment horizontal="general" vertical="bottom" textRotation="0" wrapText="false" indent="0" shrinkToFit="false"/>
      <protection locked="true" hidden="false"/>
    </xf>
    <xf numFmtId="164" fontId="65"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6" fillId="32" borderId="1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7" fillId="0" borderId="10" xfId="0" applyFont="true" applyBorder="true" applyAlignment="true" applyProtection="false">
      <alignment horizontal="left" vertical="center" textRotation="0" wrapText="false" indent="0" shrinkToFit="false"/>
      <protection locked="true" hidden="false"/>
    </xf>
    <xf numFmtId="164" fontId="68" fillId="0" borderId="10" xfId="0" applyFont="true" applyBorder="true" applyAlignment="true" applyProtection="false">
      <alignment horizontal="center" vertical="center" textRotation="0" wrapText="false" indent="0" shrinkToFit="false"/>
      <protection locked="true" hidden="false"/>
    </xf>
    <xf numFmtId="164" fontId="68" fillId="0" borderId="10" xfId="0" applyFont="true" applyBorder="true" applyAlignment="true" applyProtection="false">
      <alignment horizontal="left" vertical="center" textRotation="0" wrapText="false" indent="0" shrinkToFit="false"/>
      <protection locked="true" hidden="false"/>
    </xf>
    <xf numFmtId="165" fontId="68" fillId="0" borderId="10" xfId="0" applyFont="true" applyBorder="true" applyAlignment="true" applyProtection="false">
      <alignment horizontal="center" vertical="center" textRotation="0" wrapText="false" indent="0" shrinkToFit="false"/>
      <protection locked="true" hidden="false"/>
    </xf>
    <xf numFmtId="164" fontId="67" fillId="31" borderId="10" xfId="0" applyFont="true" applyBorder="true" applyAlignment="true" applyProtection="false">
      <alignment horizontal="left" vertical="center" textRotation="0" wrapText="false" indent="0" shrinkToFit="false"/>
      <protection locked="true" hidden="false"/>
    </xf>
    <xf numFmtId="164" fontId="68" fillId="31" borderId="10" xfId="0" applyFont="true" applyBorder="true" applyAlignment="true" applyProtection="false">
      <alignment horizontal="center" vertical="center" textRotation="0" wrapText="false" indent="0" shrinkToFit="false"/>
      <protection locked="true" hidden="false"/>
    </xf>
    <xf numFmtId="164" fontId="68" fillId="31" borderId="10" xfId="0" applyFont="true" applyBorder="true" applyAlignment="true" applyProtection="false">
      <alignment horizontal="left" vertical="center" textRotation="0" wrapText="false" indent="0" shrinkToFit="false"/>
      <protection locked="true" hidden="false"/>
    </xf>
    <xf numFmtId="164" fontId="69" fillId="0" borderId="10" xfId="0" applyFont="true" applyBorder="true" applyAlignment="true" applyProtection="false">
      <alignment horizontal="left" vertical="center" textRotation="0" wrapText="false" indent="0" shrinkToFit="false"/>
      <protection locked="true" hidden="false"/>
    </xf>
    <xf numFmtId="164" fontId="69" fillId="0" borderId="10" xfId="0" applyFont="true" applyBorder="true" applyAlignment="true" applyProtection="false">
      <alignment horizontal="center" vertical="center" textRotation="0" wrapText="false" indent="0" shrinkToFit="false"/>
      <protection locked="true" hidden="false"/>
    </xf>
    <xf numFmtId="164" fontId="69" fillId="33" borderId="10" xfId="0" applyFont="true" applyBorder="true" applyAlignment="true" applyProtection="false">
      <alignment horizontal="left" vertical="center" textRotation="0" wrapText="false" indent="0" shrinkToFit="false"/>
      <protection locked="true" hidden="false"/>
    </xf>
    <xf numFmtId="164" fontId="69" fillId="33" borderId="10" xfId="0" applyFont="true" applyBorder="true" applyAlignment="true" applyProtection="false">
      <alignment horizontal="center" vertical="center" textRotation="0" wrapText="false" indent="0" shrinkToFit="false"/>
      <protection locked="true" hidden="false"/>
    </xf>
    <xf numFmtId="164" fontId="69" fillId="34" borderId="10" xfId="0" applyFont="true" applyBorder="true" applyAlignment="true" applyProtection="false">
      <alignment horizontal="left" vertical="center" textRotation="0" wrapText="false" indent="0" shrinkToFit="false"/>
      <protection locked="true" hidden="false"/>
    </xf>
    <xf numFmtId="164" fontId="69" fillId="34" borderId="1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9EAD3"/>
        </patternFill>
      </fill>
    </dxf>
    <dxf>
      <fill>
        <patternFill>
          <bgColor rgb="FFFBE3DC"/>
        </patternFill>
      </fill>
    </dxf>
  </dxfs>
  <colors>
    <indexedColors>
      <rgbColor rgb="FF000000"/>
      <rgbColor rgb="FFFFFFFF"/>
      <rgbColor rgb="FFC00000"/>
      <rgbColor rgb="FFEDF7ED"/>
      <rgbColor rgb="FFF7F9FC"/>
      <rgbColor rgb="FFFFF2CC"/>
      <rgbColor rgb="FFF3F4F6"/>
      <rgbColor rgb="FFE2EFDA"/>
      <rgbColor rgb="FF375623"/>
      <rgbColor rgb="FF1E5B2A"/>
      <rgbColor rgb="FF1F3864"/>
      <rgbColor rgb="FF595959"/>
      <rgbColor rgb="FF4B5563"/>
      <rgbColor rgb="FF047857"/>
      <rgbColor rgb="FFCCCCCC"/>
      <rgbColor rgb="FF808080"/>
      <rgbColor rgb="FF8E7CC3"/>
      <rgbColor rgb="FFA02020"/>
      <rgbColor rgb="FFFFFDE7"/>
      <rgbColor rgb="FFDBEAFE"/>
      <rgbColor rgb="FF374151"/>
      <rgbColor rgb="FFE06666"/>
      <rgbColor rgb="FF1D4ED8"/>
      <rgbColor rgb="FFCBD5E1"/>
      <rgbColor rgb="FF000080"/>
      <rgbColor rgb="FFF4F7F4"/>
      <rgbColor rgb="FFFFF3CD"/>
      <rgbColor rgb="FFE5E9EF"/>
      <rgbColor rgb="FF44546A"/>
      <rgbColor rgb="FF7C5CBF"/>
      <rgbColor rgb="FF1F4E79"/>
      <rgbColor rgb="FFF8F9FA"/>
      <rgbColor rgb="FFEEF2F7"/>
      <rgbColor rgb="FFDDEBF7"/>
      <rgbColor rgb="FFD1FAE5"/>
      <rgbColor rgb="FFFEF3C7"/>
      <rgbColor rgb="FFD6DBE1"/>
      <rgbColor rgb="FFFDE2E0"/>
      <rgbColor rgb="FFEDE7F6"/>
      <rgbColor rgb="FFF6B26B"/>
      <rgbColor rgb="FF50519E"/>
      <rgbColor rgb="FFD9EAD3"/>
      <rgbColor rgb="FFC6EFCE"/>
      <rgbColor rgb="FFFBE3DC"/>
      <rgbColor rgb="FFFBE9E7"/>
      <rgbColor rgb="FFB45309"/>
      <rgbColor rgb="FF6B7280"/>
      <rgbColor rgb="FF9AA0A6"/>
      <rgbColor rgb="FF17307C"/>
      <rgbColor rgb="FF2E7D32"/>
      <rgbColor rgb="FF064E3B"/>
      <rgbColor rgb="FF1A1A1A"/>
      <rgbColor rgb="FF7C3D08"/>
      <rgbColor rgb="FFC0392B"/>
      <rgbColor rgb="FF4C2E83"/>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3"/>
    <col collapsed="false" customWidth="true" hidden="false" outlineLevel="0" max="2" min="2" style="1" width="110"/>
  </cols>
  <sheetData>
    <row r="2" customFormat="false" ht="21" hidden="false" customHeight="true" outlineLevel="0" collapsed="false">
      <c r="B2" s="2" t="s">
        <v>0</v>
      </c>
    </row>
    <row r="3" customFormat="false" ht="16.5" hidden="false" customHeight="true" outlineLevel="0" collapsed="false">
      <c r="B3" s="3" t="s">
        <v>1</v>
      </c>
    </row>
    <row r="5" customFormat="false" ht="16.5" hidden="false" customHeight="true" outlineLevel="0" collapsed="false">
      <c r="B5" s="4" t="s">
        <v>2</v>
      </c>
    </row>
    <row r="6" customFormat="false" ht="30" hidden="false" customHeight="true" outlineLevel="0" collapsed="false">
      <c r="B6" s="5" t="s">
        <v>3</v>
      </c>
    </row>
    <row r="7" customFormat="false" ht="30" hidden="false" customHeight="true" outlineLevel="0" collapsed="false">
      <c r="B7" s="5" t="s">
        <v>4</v>
      </c>
    </row>
    <row r="8" customFormat="false" ht="30" hidden="false" customHeight="true" outlineLevel="0" collapsed="false">
      <c r="B8" s="5" t="s">
        <v>5</v>
      </c>
    </row>
    <row r="9" customFormat="false" ht="30" hidden="false" customHeight="true" outlineLevel="0" collapsed="false">
      <c r="B9" s="5" t="s">
        <v>6</v>
      </c>
    </row>
    <row r="10" customFormat="false" ht="15" hidden="false" customHeight="true" outlineLevel="0" collapsed="false">
      <c r="B10" s="5" t="s">
        <v>7</v>
      </c>
    </row>
    <row r="11" customFormat="false" ht="15" hidden="false" customHeight="true" outlineLevel="0" collapsed="false">
      <c r="B11" s="5" t="s">
        <v>8</v>
      </c>
    </row>
    <row r="12" customFormat="false" ht="15" hidden="false" customHeight="true" outlineLevel="0" collapsed="false">
      <c r="B12" s="5" t="s">
        <v>9</v>
      </c>
    </row>
    <row r="14" customFormat="false" ht="16.5" hidden="false" customHeight="true" outlineLevel="0" collapsed="false">
      <c r="B14" s="4" t="s">
        <v>10</v>
      </c>
    </row>
    <row r="15" customFormat="false" ht="30" hidden="false" customHeight="true" outlineLevel="0" collapsed="false">
      <c r="B15" s="5" t="s">
        <v>11</v>
      </c>
    </row>
    <row r="17" customFormat="false" ht="16.5" hidden="false" customHeight="true" outlineLevel="0" collapsed="false">
      <c r="B17" s="4" t="s">
        <v>12</v>
      </c>
    </row>
    <row r="18" customFormat="false" ht="30" hidden="false" customHeight="true" outlineLevel="0" collapsed="false">
      <c r="B18" s="5" t="s">
        <v>13</v>
      </c>
    </row>
    <row r="20" customFormat="false" ht="45" hidden="false" customHeight="true" outlineLevel="0" collapsed="false">
      <c r="B20" s="6" t="s">
        <v>14</v>
      </c>
    </row>
    <row r="21" customFormat="false" ht="30" hidden="false" customHeight="true" outlineLevel="0" collapsed="false">
      <c r="B21" s="7" t="s">
        <v>15</v>
      </c>
    </row>
    <row r="24" customFormat="false" ht="16.5" hidden="false" customHeight="true" outlineLevel="0" collapsed="false">
      <c r="B24" s="4" t="s">
        <v>16</v>
      </c>
    </row>
    <row r="25" customFormat="false" ht="45" hidden="false" customHeight="true" outlineLevel="0" collapsed="false">
      <c r="B25"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7" activePane="bottomLeft" state="frozen"/>
      <selection pane="topLeft" activeCell="A1" activeCellId="0" sqref="A1"/>
      <selection pane="bottomLeft" activeCell="R10" activeCellId="0" sqref="R10"/>
    </sheetView>
  </sheetViews>
  <sheetFormatPr defaultColWidth="8.83203125" defaultRowHeight="15" zeroHeight="false" outlineLevelRow="0" outlineLevelCol="0"/>
  <cols>
    <col collapsed="false" customWidth="true" hidden="false" outlineLevel="0" max="1" min="1" style="1" width="5.5"/>
    <col collapsed="false" customWidth="true" hidden="false" outlineLevel="0" max="2" min="2" style="1" width="15.5"/>
    <col collapsed="false" customWidth="true" hidden="false" outlineLevel="0" max="3" min="3" style="1" width="5.5"/>
    <col collapsed="false" customWidth="true" hidden="false" outlineLevel="0" max="4" min="4" style="1" width="15.5"/>
    <col collapsed="false" customWidth="true" hidden="false" outlineLevel="0" max="5" min="5" style="1" width="5.5"/>
    <col collapsed="false" customWidth="true" hidden="false" outlineLevel="0" max="6" min="6" style="1" width="15.5"/>
    <col collapsed="false" customWidth="true" hidden="false" outlineLevel="0" max="7" min="7" style="1" width="5.5"/>
    <col collapsed="false" customWidth="true" hidden="false" outlineLevel="0" max="8" min="8" style="1" width="15.5"/>
    <col collapsed="false" customWidth="true" hidden="false" outlineLevel="0" max="9" min="9" style="1" width="5.5"/>
    <col collapsed="false" customWidth="true" hidden="false" outlineLevel="0" max="10" min="10" style="1" width="15.5"/>
    <col collapsed="false" customWidth="true" hidden="false" outlineLevel="0" max="11" min="11" style="1" width="5.5"/>
    <col collapsed="false" customWidth="true" hidden="false" outlineLevel="0" max="12" min="12" style="1" width="15.5"/>
    <col collapsed="false" customWidth="true" hidden="false" outlineLevel="0" max="13" min="13" style="1" width="5.5"/>
    <col collapsed="false" customWidth="true" hidden="false" outlineLevel="0" max="14" min="14" style="1" width="15.5"/>
  </cols>
  <sheetData>
    <row r="1" customFormat="false" ht="31.5" hidden="false" customHeight="true" outlineLevel="0" collapsed="false">
      <c r="A1" s="8" t="s">
        <v>18</v>
      </c>
      <c r="B1" s="8"/>
      <c r="C1" s="8"/>
      <c r="D1" s="8"/>
      <c r="E1" s="8"/>
      <c r="F1" s="8"/>
      <c r="G1" s="8"/>
      <c r="H1" s="8"/>
      <c r="I1" s="8"/>
      <c r="J1" s="8"/>
      <c r="K1" s="8"/>
      <c r="L1" s="8"/>
      <c r="M1" s="8"/>
      <c r="N1" s="8"/>
    </row>
    <row r="2" customFormat="false" ht="19.5" hidden="false" customHeight="true" outlineLevel="0" collapsed="false">
      <c r="A2" s="9" t="s">
        <v>19</v>
      </c>
      <c r="B2" s="10" t="s">
        <v>20</v>
      </c>
      <c r="C2" s="10"/>
      <c r="D2" s="11" t="s">
        <v>21</v>
      </c>
      <c r="E2" s="12" t="s">
        <v>22</v>
      </c>
      <c r="F2" s="12"/>
      <c r="G2" s="13" t="s">
        <v>23</v>
      </c>
      <c r="H2" s="14" t="s">
        <v>24</v>
      </c>
      <c r="I2" s="14"/>
      <c r="J2" s="15" t="s">
        <v>25</v>
      </c>
      <c r="K2" s="16" t="s">
        <v>26</v>
      </c>
      <c r="L2" s="16"/>
      <c r="M2" s="17" t="s">
        <v>27</v>
      </c>
      <c r="N2" s="17"/>
    </row>
    <row r="4" customFormat="false" ht="21.75" hidden="false" customHeight="true" outlineLevel="0" collapsed="false">
      <c r="A4" s="18" t="s">
        <v>28</v>
      </c>
      <c r="B4" s="18"/>
      <c r="C4" s="18" t="s">
        <v>29</v>
      </c>
      <c r="D4" s="18"/>
      <c r="E4" s="18" t="s">
        <v>30</v>
      </c>
      <c r="F4" s="18"/>
      <c r="G4" s="18" t="s">
        <v>31</v>
      </c>
      <c r="H4" s="18"/>
      <c r="I4" s="18" t="s">
        <v>32</v>
      </c>
      <c r="J4" s="18"/>
      <c r="K4" s="19" t="s">
        <v>33</v>
      </c>
      <c r="L4" s="19"/>
      <c r="M4" s="19" t="s">
        <v>34</v>
      </c>
      <c r="N4" s="19"/>
    </row>
    <row r="5" customFormat="false" ht="21" hidden="false" customHeight="true" outlineLevel="0" collapsed="false">
      <c r="A5" s="20"/>
      <c r="B5" s="20"/>
      <c r="C5" s="20"/>
      <c r="D5" s="20"/>
      <c r="E5" s="20"/>
      <c r="F5" s="20"/>
      <c r="G5" s="21" t="s">
        <v>35</v>
      </c>
      <c r="H5" s="21"/>
      <c r="I5" s="21" t="s">
        <v>36</v>
      </c>
      <c r="J5" s="21"/>
      <c r="K5" s="22" t="s">
        <v>37</v>
      </c>
      <c r="L5" s="22"/>
      <c r="M5" s="22" t="s">
        <v>38</v>
      </c>
      <c r="N5" s="22"/>
    </row>
    <row r="6" customFormat="false" ht="4.5" hidden="false" customHeight="true" outlineLevel="0" collapsed="false">
      <c r="A6" s="20"/>
      <c r="B6" s="20"/>
      <c r="C6" s="20"/>
      <c r="D6" s="20"/>
      <c r="E6" s="20"/>
      <c r="F6" s="20"/>
    </row>
    <row r="7" customFormat="false" ht="18" hidden="false" customHeight="true" outlineLevel="0" collapsed="false">
      <c r="A7" s="20"/>
      <c r="B7" s="20"/>
      <c r="C7" s="20"/>
      <c r="D7" s="20"/>
      <c r="E7" s="20"/>
      <c r="F7" s="20"/>
      <c r="G7" s="23" t="s">
        <v>19</v>
      </c>
      <c r="H7" s="24" t="s">
        <v>39</v>
      </c>
      <c r="I7" s="23" t="s">
        <v>19</v>
      </c>
      <c r="J7" s="24" t="s">
        <v>40</v>
      </c>
      <c r="K7" s="23" t="s">
        <v>19</v>
      </c>
      <c r="L7" s="25" t="s">
        <v>40</v>
      </c>
      <c r="M7" s="23" t="s">
        <v>19</v>
      </c>
      <c r="N7" s="25" t="s">
        <v>40</v>
      </c>
    </row>
    <row r="8" customFormat="false" ht="18" hidden="false" customHeight="true" outlineLevel="0" collapsed="false">
      <c r="A8" s="20"/>
      <c r="B8" s="20"/>
      <c r="C8" s="20"/>
      <c r="D8" s="20"/>
      <c r="E8" s="20"/>
      <c r="F8" s="20"/>
      <c r="G8" s="26" t="s">
        <v>21</v>
      </c>
      <c r="H8" s="27" t="s">
        <v>41</v>
      </c>
      <c r="I8" s="26" t="s">
        <v>21</v>
      </c>
      <c r="J8" s="27" t="s">
        <v>42</v>
      </c>
      <c r="K8" s="26" t="s">
        <v>21</v>
      </c>
      <c r="L8" s="27" t="s">
        <v>41</v>
      </c>
      <c r="M8" s="26" t="s">
        <v>21</v>
      </c>
      <c r="N8" s="27" t="s">
        <v>42</v>
      </c>
    </row>
    <row r="9" customFormat="false" ht="18" hidden="false" customHeight="true" outlineLevel="0" collapsed="false">
      <c r="A9" s="20"/>
      <c r="B9" s="20"/>
      <c r="C9" s="20"/>
      <c r="D9" s="20"/>
      <c r="E9" s="20"/>
      <c r="F9" s="20"/>
      <c r="G9" s="28" t="s">
        <v>23</v>
      </c>
      <c r="H9" s="29" t="s">
        <v>43</v>
      </c>
      <c r="I9" s="28" t="s">
        <v>23</v>
      </c>
      <c r="J9" s="29" t="s">
        <v>44</v>
      </c>
      <c r="K9" s="28" t="s">
        <v>23</v>
      </c>
      <c r="L9" s="29" t="s">
        <v>45</v>
      </c>
      <c r="M9" s="28" t="s">
        <v>23</v>
      </c>
      <c r="N9" s="29" t="s">
        <v>44</v>
      </c>
    </row>
    <row r="10" customFormat="false" ht="18" hidden="false" customHeight="true" outlineLevel="0" collapsed="false">
      <c r="A10" s="20"/>
      <c r="B10" s="20"/>
      <c r="C10" s="20"/>
      <c r="D10" s="20"/>
      <c r="E10" s="20"/>
      <c r="F10" s="20"/>
      <c r="G10" s="30" t="s">
        <v>25</v>
      </c>
      <c r="H10" s="31" t="s">
        <v>46</v>
      </c>
      <c r="I10" s="30" t="s">
        <v>25</v>
      </c>
      <c r="J10" s="31" t="s">
        <v>47</v>
      </c>
      <c r="K10" s="30" t="s">
        <v>25</v>
      </c>
      <c r="L10" s="31" t="s">
        <v>48</v>
      </c>
      <c r="M10" s="30" t="s">
        <v>25</v>
      </c>
      <c r="N10" s="31" t="s">
        <v>47</v>
      </c>
    </row>
    <row r="11" customFormat="false" ht="18" hidden="false" customHeight="true" outlineLevel="0" collapsed="false">
      <c r="A11" s="20"/>
      <c r="B11" s="20"/>
      <c r="C11" s="20"/>
      <c r="D11" s="20"/>
      <c r="E11" s="20"/>
      <c r="F11" s="20"/>
      <c r="G11" s="30" t="s">
        <v>25</v>
      </c>
      <c r="H11" s="31" t="s">
        <v>49</v>
      </c>
      <c r="I11" s="30" t="s">
        <v>25</v>
      </c>
      <c r="J11" s="31" t="s">
        <v>50</v>
      </c>
      <c r="K11" s="30" t="s">
        <v>25</v>
      </c>
      <c r="L11" s="31" t="s">
        <v>51</v>
      </c>
      <c r="M11" s="30" t="s">
        <v>25</v>
      </c>
      <c r="N11" s="31" t="s">
        <v>50</v>
      </c>
    </row>
    <row r="12" customFormat="false" ht="30" hidden="false" customHeight="true" outlineLevel="0" collapsed="false">
      <c r="A12" s="20"/>
      <c r="B12" s="20"/>
      <c r="C12" s="20"/>
      <c r="D12" s="20"/>
      <c r="E12" s="20"/>
      <c r="F12" s="20"/>
      <c r="G12" s="32" t="s">
        <v>52</v>
      </c>
      <c r="H12" s="32"/>
      <c r="I12" s="32" t="s">
        <v>53</v>
      </c>
      <c r="J12" s="32"/>
      <c r="K12" s="32" t="s">
        <v>54</v>
      </c>
      <c r="L12" s="32"/>
      <c r="M12" s="32" t="s">
        <v>55</v>
      </c>
      <c r="N12" s="32"/>
    </row>
    <row r="13" customFormat="false" ht="4.5" hidden="false" customHeight="true" outlineLevel="0" collapsed="false"/>
    <row r="14" customFormat="false" ht="21" hidden="false" customHeight="true" outlineLevel="0" collapsed="false">
      <c r="A14" s="21" t="s">
        <v>56</v>
      </c>
      <c r="B14" s="21"/>
      <c r="C14" s="21" t="s">
        <v>57</v>
      </c>
      <c r="D14" s="21"/>
      <c r="E14" s="21" t="s">
        <v>58</v>
      </c>
      <c r="F14" s="21"/>
      <c r="G14" s="21" t="s">
        <v>59</v>
      </c>
      <c r="H14" s="21"/>
      <c r="I14" s="21" t="s">
        <v>60</v>
      </c>
      <c r="J14" s="21"/>
      <c r="K14" s="22" t="s">
        <v>61</v>
      </c>
      <c r="L14" s="22"/>
      <c r="M14" s="22" t="s">
        <v>62</v>
      </c>
      <c r="N14" s="22"/>
    </row>
    <row r="15" customFormat="false" ht="4.5" hidden="false" customHeight="true" outlineLevel="0" collapsed="false"/>
    <row r="16" customFormat="false" ht="18" hidden="false" customHeight="true" outlineLevel="0" collapsed="false">
      <c r="A16" s="23" t="s">
        <v>19</v>
      </c>
      <c r="B16" s="24" t="s">
        <v>63</v>
      </c>
      <c r="C16" s="23" t="s">
        <v>19</v>
      </c>
      <c r="D16" s="24" t="s">
        <v>40</v>
      </c>
      <c r="E16" s="23" t="s">
        <v>19</v>
      </c>
      <c r="F16" s="24" t="s">
        <v>64</v>
      </c>
      <c r="G16" s="23" t="s">
        <v>19</v>
      </c>
      <c r="H16" s="24" t="s">
        <v>65</v>
      </c>
      <c r="I16" s="23" t="s">
        <v>19</v>
      </c>
      <c r="J16" s="24" t="s">
        <v>39</v>
      </c>
      <c r="K16" s="23" t="s">
        <v>19</v>
      </c>
      <c r="L16" s="25" t="s">
        <v>39</v>
      </c>
      <c r="M16" s="23" t="s">
        <v>19</v>
      </c>
      <c r="N16" s="25" t="s">
        <v>39</v>
      </c>
    </row>
    <row r="17" customFormat="false" ht="18" hidden="false" customHeight="true" outlineLevel="0" collapsed="false">
      <c r="A17" s="26" t="s">
        <v>21</v>
      </c>
      <c r="B17" s="27" t="s">
        <v>66</v>
      </c>
      <c r="C17" s="26" t="s">
        <v>21</v>
      </c>
      <c r="D17" s="27" t="s">
        <v>41</v>
      </c>
      <c r="E17" s="26" t="s">
        <v>21</v>
      </c>
      <c r="F17" s="27" t="s">
        <v>67</v>
      </c>
      <c r="G17" s="26" t="s">
        <v>21</v>
      </c>
      <c r="H17" s="27" t="s">
        <v>42</v>
      </c>
      <c r="I17" s="26" t="s">
        <v>21</v>
      </c>
      <c r="J17" s="27" t="s">
        <v>68</v>
      </c>
      <c r="K17" s="26" t="s">
        <v>21</v>
      </c>
      <c r="L17" s="27" t="s">
        <v>66</v>
      </c>
      <c r="M17" s="26" t="s">
        <v>21</v>
      </c>
      <c r="N17" s="27" t="s">
        <v>68</v>
      </c>
    </row>
    <row r="18" customFormat="false" ht="18" hidden="false" customHeight="true" outlineLevel="0" collapsed="false">
      <c r="A18" s="28" t="s">
        <v>23</v>
      </c>
      <c r="B18" s="29" t="s">
        <v>69</v>
      </c>
      <c r="C18" s="28" t="s">
        <v>23</v>
      </c>
      <c r="D18" s="29" t="s">
        <v>44</v>
      </c>
      <c r="E18" s="28" t="s">
        <v>23</v>
      </c>
      <c r="F18" s="29" t="s">
        <v>69</v>
      </c>
      <c r="G18" s="28" t="s">
        <v>23</v>
      </c>
      <c r="H18" s="29" t="s">
        <v>70</v>
      </c>
      <c r="I18" s="28" t="s">
        <v>23</v>
      </c>
      <c r="J18" s="33"/>
      <c r="K18" s="28" t="s">
        <v>23</v>
      </c>
      <c r="L18" s="34" t="s">
        <v>70</v>
      </c>
      <c r="M18" s="28" t="s">
        <v>23</v>
      </c>
      <c r="N18" s="33"/>
    </row>
    <row r="19" customFormat="false" ht="18" hidden="false" customHeight="true" outlineLevel="0" collapsed="false">
      <c r="A19" s="30" t="s">
        <v>25</v>
      </c>
      <c r="B19" s="31" t="s">
        <v>49</v>
      </c>
      <c r="C19" s="30" t="s">
        <v>25</v>
      </c>
      <c r="D19" s="31" t="s">
        <v>48</v>
      </c>
      <c r="E19" s="30" t="s">
        <v>25</v>
      </c>
      <c r="F19" s="31" t="s">
        <v>71</v>
      </c>
      <c r="G19" s="30" t="s">
        <v>25</v>
      </c>
      <c r="H19" s="31" t="s">
        <v>47</v>
      </c>
      <c r="I19" s="30" t="s">
        <v>25</v>
      </c>
      <c r="J19" s="31" t="s">
        <v>72</v>
      </c>
      <c r="K19" s="30" t="s">
        <v>25</v>
      </c>
      <c r="L19" s="31" t="s">
        <v>46</v>
      </c>
      <c r="M19" s="30" t="s">
        <v>25</v>
      </c>
      <c r="N19" s="31" t="s">
        <v>72</v>
      </c>
    </row>
    <row r="20" customFormat="false" ht="18" hidden="false" customHeight="true" outlineLevel="0" collapsed="false">
      <c r="A20" s="30" t="s">
        <v>25</v>
      </c>
      <c r="B20" s="31" t="s">
        <v>73</v>
      </c>
      <c r="C20" s="30" t="s">
        <v>25</v>
      </c>
      <c r="D20" s="31" t="s">
        <v>46</v>
      </c>
      <c r="E20" s="30" t="s">
        <v>25</v>
      </c>
      <c r="F20" s="31" t="s">
        <v>51</v>
      </c>
      <c r="G20" s="30" t="s">
        <v>25</v>
      </c>
      <c r="H20" s="31" t="s">
        <v>74</v>
      </c>
      <c r="I20" s="30" t="s">
        <v>25</v>
      </c>
      <c r="J20" s="31" t="s">
        <v>75</v>
      </c>
      <c r="K20" s="30" t="s">
        <v>25</v>
      </c>
      <c r="L20" s="31" t="s">
        <v>76</v>
      </c>
      <c r="M20" s="30" t="s">
        <v>25</v>
      </c>
      <c r="N20" s="31" t="s">
        <v>75</v>
      </c>
    </row>
    <row r="21" customFormat="false" ht="30" hidden="false" customHeight="true" outlineLevel="0" collapsed="false">
      <c r="A21" s="32" t="s">
        <v>77</v>
      </c>
      <c r="B21" s="32"/>
      <c r="C21" s="32" t="s">
        <v>77</v>
      </c>
      <c r="D21" s="32"/>
      <c r="E21" s="32" t="s">
        <v>78</v>
      </c>
      <c r="F21" s="32"/>
      <c r="G21" s="32" t="s">
        <v>79</v>
      </c>
      <c r="H21" s="32"/>
      <c r="I21" s="32" t="s">
        <v>80</v>
      </c>
      <c r="J21" s="32"/>
      <c r="K21" s="32" t="s">
        <v>81</v>
      </c>
      <c r="L21" s="32"/>
      <c r="M21" s="32" t="s">
        <v>82</v>
      </c>
      <c r="N21" s="32"/>
    </row>
    <row r="22" customFormat="false" ht="4.5" hidden="false" customHeight="true" outlineLevel="0" collapsed="false"/>
    <row r="23" customFormat="false" ht="21" hidden="false" customHeight="true" outlineLevel="0" collapsed="false">
      <c r="A23" s="35" t="s">
        <v>83</v>
      </c>
      <c r="B23" s="35"/>
      <c r="C23" s="21" t="s">
        <v>84</v>
      </c>
      <c r="D23" s="21"/>
      <c r="E23" s="21" t="s">
        <v>85</v>
      </c>
      <c r="F23" s="21"/>
      <c r="G23" s="21" t="s">
        <v>86</v>
      </c>
      <c r="H23" s="21"/>
      <c r="I23" s="21" t="s">
        <v>87</v>
      </c>
      <c r="J23" s="21"/>
      <c r="K23" s="22" t="s">
        <v>88</v>
      </c>
      <c r="L23" s="22"/>
      <c r="M23" s="22" t="s">
        <v>89</v>
      </c>
      <c r="N23" s="22"/>
    </row>
    <row r="24" customFormat="false" ht="4.5" hidden="false" customHeight="true" outlineLevel="0" collapsed="false"/>
    <row r="25" customFormat="false" ht="18" hidden="false" customHeight="true" outlineLevel="0" collapsed="false">
      <c r="A25" s="23" t="s">
        <v>19</v>
      </c>
      <c r="B25" s="25" t="s">
        <v>39</v>
      </c>
      <c r="C25" s="23" t="s">
        <v>19</v>
      </c>
      <c r="D25" s="24" t="s">
        <v>65</v>
      </c>
      <c r="E25" s="23" t="s">
        <v>19</v>
      </c>
      <c r="F25" s="24" t="s">
        <v>65</v>
      </c>
      <c r="G25" s="23" t="s">
        <v>19</v>
      </c>
      <c r="H25" s="24" t="s">
        <v>40</v>
      </c>
      <c r="I25" s="23" t="s">
        <v>19</v>
      </c>
      <c r="J25" s="24" t="s">
        <v>65</v>
      </c>
      <c r="K25" s="23" t="s">
        <v>19</v>
      </c>
      <c r="L25" s="25" t="s">
        <v>65</v>
      </c>
      <c r="M25" s="23" t="s">
        <v>19</v>
      </c>
      <c r="N25" s="25" t="s">
        <v>65</v>
      </c>
    </row>
    <row r="26" customFormat="false" ht="18" hidden="false" customHeight="true" outlineLevel="0" collapsed="false">
      <c r="A26" s="26" t="s">
        <v>21</v>
      </c>
      <c r="B26" s="27" t="s">
        <v>66</v>
      </c>
      <c r="C26" s="26" t="s">
        <v>21</v>
      </c>
      <c r="D26" s="27" t="s">
        <v>68</v>
      </c>
      <c r="E26" s="26" t="s">
        <v>21</v>
      </c>
      <c r="F26" s="27" t="s">
        <v>67</v>
      </c>
      <c r="G26" s="26" t="s">
        <v>21</v>
      </c>
      <c r="H26" s="27" t="s">
        <v>90</v>
      </c>
      <c r="I26" s="26" t="s">
        <v>21</v>
      </c>
      <c r="J26" s="27" t="s">
        <v>66</v>
      </c>
      <c r="K26" s="26" t="s">
        <v>21</v>
      </c>
      <c r="L26" s="27" t="s">
        <v>42</v>
      </c>
      <c r="M26" s="26" t="s">
        <v>21</v>
      </c>
      <c r="N26" s="27" t="s">
        <v>66</v>
      </c>
    </row>
    <row r="27" customFormat="false" ht="18" hidden="false" customHeight="true" outlineLevel="0" collapsed="false">
      <c r="A27" s="28" t="s">
        <v>23</v>
      </c>
      <c r="B27" s="34" t="s">
        <v>70</v>
      </c>
      <c r="C27" s="28" t="s">
        <v>23</v>
      </c>
      <c r="D27" s="29" t="s">
        <v>44</v>
      </c>
      <c r="E27" s="28" t="s">
        <v>23</v>
      </c>
      <c r="F27" s="29" t="s">
        <v>43</v>
      </c>
      <c r="G27" s="28" t="s">
        <v>23</v>
      </c>
      <c r="H27" s="29" t="s">
        <v>91</v>
      </c>
      <c r="I27" s="28" t="s">
        <v>23</v>
      </c>
      <c r="J27" s="29" t="s">
        <v>45</v>
      </c>
      <c r="K27" s="28" t="s">
        <v>23</v>
      </c>
      <c r="L27" s="29" t="s">
        <v>44</v>
      </c>
      <c r="M27" s="28" t="s">
        <v>23</v>
      </c>
      <c r="N27" s="29" t="s">
        <v>45</v>
      </c>
    </row>
    <row r="28" customFormat="false" ht="18" hidden="false" customHeight="true" outlineLevel="0" collapsed="false">
      <c r="A28" s="30" t="s">
        <v>25</v>
      </c>
      <c r="B28" s="31" t="s">
        <v>46</v>
      </c>
      <c r="C28" s="30" t="s">
        <v>25</v>
      </c>
      <c r="D28" s="31" t="s">
        <v>47</v>
      </c>
      <c r="E28" s="30" t="s">
        <v>25</v>
      </c>
      <c r="F28" s="31" t="s">
        <v>46</v>
      </c>
      <c r="G28" s="30" t="s">
        <v>25</v>
      </c>
      <c r="H28" s="31" t="s">
        <v>72</v>
      </c>
      <c r="I28" s="30" t="s">
        <v>25</v>
      </c>
      <c r="J28" s="31" t="s">
        <v>74</v>
      </c>
      <c r="K28" s="30" t="s">
        <v>25</v>
      </c>
      <c r="L28" s="31" t="s">
        <v>48</v>
      </c>
      <c r="M28" s="30" t="s">
        <v>25</v>
      </c>
      <c r="N28" s="31" t="s">
        <v>74</v>
      </c>
    </row>
    <row r="29" customFormat="false" ht="18" hidden="false" customHeight="true" outlineLevel="0" collapsed="false">
      <c r="A29" s="30" t="s">
        <v>25</v>
      </c>
      <c r="B29" s="31" t="s">
        <v>76</v>
      </c>
      <c r="C29" s="30" t="s">
        <v>25</v>
      </c>
      <c r="D29" s="31" t="s">
        <v>92</v>
      </c>
      <c r="E29" s="30" t="s">
        <v>25</v>
      </c>
      <c r="F29" s="31" t="s">
        <v>93</v>
      </c>
      <c r="G29" s="30" t="s">
        <v>25</v>
      </c>
      <c r="H29" s="31" t="s">
        <v>76</v>
      </c>
      <c r="I29" s="30" t="s">
        <v>25</v>
      </c>
      <c r="J29" s="31" t="s">
        <v>73</v>
      </c>
      <c r="K29" s="30" t="s">
        <v>25</v>
      </c>
      <c r="L29" s="31" t="s">
        <v>51</v>
      </c>
      <c r="M29" s="30" t="s">
        <v>25</v>
      </c>
      <c r="N29" s="31" t="s">
        <v>73</v>
      </c>
    </row>
    <row r="30" customFormat="false" ht="30" hidden="false" customHeight="true" outlineLevel="0" collapsed="false">
      <c r="A30" s="32" t="s">
        <v>94</v>
      </c>
      <c r="B30" s="32"/>
      <c r="C30" s="32" t="s">
        <v>95</v>
      </c>
      <c r="D30" s="32"/>
      <c r="E30" s="32" t="s">
        <v>96</v>
      </c>
      <c r="F30" s="32"/>
      <c r="G30" s="32" t="s">
        <v>97</v>
      </c>
      <c r="H30" s="32"/>
      <c r="I30" s="32" t="s">
        <v>98</v>
      </c>
      <c r="J30" s="32"/>
      <c r="K30" s="32" t="s">
        <v>98</v>
      </c>
      <c r="L30" s="32"/>
      <c r="M30" s="32" t="s">
        <v>98</v>
      </c>
      <c r="N30" s="32"/>
    </row>
    <row r="31" customFormat="false" ht="4.5" hidden="false" customHeight="true" outlineLevel="0" collapsed="false"/>
    <row r="32" customFormat="false" ht="21" hidden="false" customHeight="true" outlineLevel="0" collapsed="false">
      <c r="A32" s="21" t="s">
        <v>99</v>
      </c>
      <c r="B32" s="21"/>
      <c r="C32" s="21" t="s">
        <v>100</v>
      </c>
      <c r="D32" s="21"/>
      <c r="E32" s="21" t="s">
        <v>101</v>
      </c>
      <c r="F32" s="21"/>
      <c r="G32" s="21" t="s">
        <v>102</v>
      </c>
      <c r="H32" s="21"/>
      <c r="I32" s="21" t="s">
        <v>103</v>
      </c>
      <c r="J32" s="21"/>
      <c r="K32" s="22" t="s">
        <v>104</v>
      </c>
      <c r="L32" s="22"/>
      <c r="M32" s="22" t="s">
        <v>105</v>
      </c>
      <c r="N32" s="22"/>
    </row>
    <row r="33" customFormat="false" ht="4.5" hidden="false" customHeight="true" outlineLevel="0" collapsed="false"/>
    <row r="34" customFormat="false" ht="18" hidden="false" customHeight="true" outlineLevel="0" collapsed="false">
      <c r="A34" s="23" t="s">
        <v>19</v>
      </c>
      <c r="B34" s="24" t="s">
        <v>63</v>
      </c>
      <c r="C34" s="23" t="s">
        <v>19</v>
      </c>
      <c r="D34" s="24" t="s">
        <v>39</v>
      </c>
      <c r="E34" s="23" t="s">
        <v>19</v>
      </c>
      <c r="F34" s="24" t="s">
        <v>40</v>
      </c>
      <c r="G34" s="23" t="s">
        <v>19</v>
      </c>
      <c r="H34" s="24" t="s">
        <v>63</v>
      </c>
      <c r="I34" s="23" t="s">
        <v>19</v>
      </c>
      <c r="J34" s="24" t="s">
        <v>64</v>
      </c>
      <c r="K34" s="23" t="s">
        <v>19</v>
      </c>
      <c r="L34" s="25" t="s">
        <v>64</v>
      </c>
      <c r="M34" s="23" t="s">
        <v>19</v>
      </c>
      <c r="N34" s="25" t="s">
        <v>64</v>
      </c>
    </row>
    <row r="35" customFormat="false" ht="18" hidden="false" customHeight="true" outlineLevel="0" collapsed="false">
      <c r="A35" s="26" t="s">
        <v>21</v>
      </c>
      <c r="B35" s="27" t="s">
        <v>106</v>
      </c>
      <c r="C35" s="26" t="s">
        <v>21</v>
      </c>
      <c r="D35" s="27" t="s">
        <v>42</v>
      </c>
      <c r="E35" s="26" t="s">
        <v>21</v>
      </c>
      <c r="F35" s="27" t="s">
        <v>107</v>
      </c>
      <c r="G35" s="26" t="s">
        <v>21</v>
      </c>
      <c r="H35" s="27" t="s">
        <v>41</v>
      </c>
      <c r="I35" s="26" t="s">
        <v>21</v>
      </c>
      <c r="J35" s="27" t="s">
        <v>67</v>
      </c>
      <c r="K35" s="26" t="s">
        <v>21</v>
      </c>
      <c r="L35" s="27" t="s">
        <v>68</v>
      </c>
      <c r="M35" s="26" t="s">
        <v>21</v>
      </c>
      <c r="N35" s="27" t="s">
        <v>67</v>
      </c>
    </row>
    <row r="36" customFormat="false" ht="18" hidden="false" customHeight="true" outlineLevel="0" collapsed="false">
      <c r="A36" s="28" t="s">
        <v>23</v>
      </c>
      <c r="B36" s="29" t="s">
        <v>70</v>
      </c>
      <c r="C36" s="28" t="s">
        <v>23</v>
      </c>
      <c r="D36" s="29" t="s">
        <v>108</v>
      </c>
      <c r="E36" s="28" t="s">
        <v>23</v>
      </c>
      <c r="F36" s="29" t="s">
        <v>45</v>
      </c>
      <c r="G36" s="28" t="s">
        <v>23</v>
      </c>
      <c r="H36" s="29" t="s">
        <v>108</v>
      </c>
      <c r="I36" s="28" t="s">
        <v>23</v>
      </c>
      <c r="J36" s="29" t="s">
        <v>69</v>
      </c>
      <c r="K36" s="28" t="s">
        <v>23</v>
      </c>
      <c r="L36" s="29" t="s">
        <v>70</v>
      </c>
      <c r="M36" s="28" t="s">
        <v>23</v>
      </c>
      <c r="N36" s="29" t="s">
        <v>69</v>
      </c>
    </row>
    <row r="37" customFormat="false" ht="18" hidden="false" customHeight="true" outlineLevel="0" collapsed="false">
      <c r="A37" s="30" t="s">
        <v>25</v>
      </c>
      <c r="B37" s="31" t="s">
        <v>72</v>
      </c>
      <c r="C37" s="30" t="s">
        <v>25</v>
      </c>
      <c r="D37" s="31" t="s">
        <v>51</v>
      </c>
      <c r="E37" s="30" t="s">
        <v>25</v>
      </c>
      <c r="F37" s="31" t="s">
        <v>71</v>
      </c>
      <c r="G37" s="30" t="s">
        <v>25</v>
      </c>
      <c r="H37" s="31" t="s">
        <v>48</v>
      </c>
      <c r="I37" s="30" t="s">
        <v>25</v>
      </c>
      <c r="J37" s="31" t="s">
        <v>76</v>
      </c>
      <c r="K37" s="30" t="s">
        <v>25</v>
      </c>
      <c r="L37" s="31" t="s">
        <v>92</v>
      </c>
      <c r="M37" s="30" t="s">
        <v>25</v>
      </c>
      <c r="N37" s="31" t="s">
        <v>76</v>
      </c>
    </row>
    <row r="38" customFormat="false" ht="18" hidden="false" customHeight="true" outlineLevel="0" collapsed="false">
      <c r="A38" s="30" t="s">
        <v>25</v>
      </c>
      <c r="B38" s="31" t="s">
        <v>49</v>
      </c>
      <c r="C38" s="30" t="s">
        <v>25</v>
      </c>
      <c r="D38" s="31" t="s">
        <v>74</v>
      </c>
      <c r="E38" s="30" t="s">
        <v>25</v>
      </c>
      <c r="F38" s="31" t="s">
        <v>75</v>
      </c>
      <c r="G38" s="30" t="s">
        <v>25</v>
      </c>
      <c r="H38" s="31" t="s">
        <v>92</v>
      </c>
      <c r="I38" s="30" t="s">
        <v>25</v>
      </c>
      <c r="J38" s="31" t="s">
        <v>50</v>
      </c>
      <c r="K38" s="30" t="s">
        <v>25</v>
      </c>
      <c r="L38" s="31" t="s">
        <v>75</v>
      </c>
      <c r="M38" s="30" t="s">
        <v>25</v>
      </c>
      <c r="N38" s="31" t="s">
        <v>50</v>
      </c>
    </row>
    <row r="39" customFormat="false" ht="30" hidden="false" customHeight="true" outlineLevel="0" collapsed="false">
      <c r="A39" s="32" t="s">
        <v>109</v>
      </c>
      <c r="B39" s="32"/>
      <c r="C39" s="32" t="s">
        <v>109</v>
      </c>
      <c r="D39" s="32"/>
      <c r="E39" s="32" t="s">
        <v>110</v>
      </c>
      <c r="F39" s="32"/>
      <c r="G39" s="32" t="s">
        <v>111</v>
      </c>
      <c r="H39" s="32"/>
      <c r="I39" s="32" t="s">
        <v>112</v>
      </c>
      <c r="J39" s="32"/>
      <c r="K39" s="32" t="s">
        <v>113</v>
      </c>
      <c r="L39" s="32"/>
      <c r="M39" s="32" t="s">
        <v>114</v>
      </c>
      <c r="N39" s="32"/>
    </row>
    <row r="40" customFormat="false" ht="4.5" hidden="false" customHeight="true" outlineLevel="0" collapsed="false"/>
    <row r="41" customFormat="false" ht="21" hidden="false" customHeight="true" outlineLevel="0" collapsed="false">
      <c r="A41" s="21" t="s">
        <v>115</v>
      </c>
      <c r="B41" s="21"/>
      <c r="C41" s="21" t="s">
        <v>116</v>
      </c>
      <c r="D41" s="21"/>
      <c r="E41" s="21" t="s">
        <v>117</v>
      </c>
      <c r="F41" s="21"/>
      <c r="G41" s="21" t="s">
        <v>118</v>
      </c>
      <c r="H41" s="21"/>
      <c r="I41" s="21" t="s">
        <v>119</v>
      </c>
      <c r="J41" s="21"/>
      <c r="K41" s="22" t="s">
        <v>120</v>
      </c>
      <c r="L41" s="22"/>
      <c r="M41" s="35" t="s">
        <v>121</v>
      </c>
      <c r="N41" s="35"/>
    </row>
    <row r="42" customFormat="false" ht="4.5" hidden="false" customHeight="true" outlineLevel="0" collapsed="false"/>
    <row r="43" customFormat="false" ht="18" hidden="false" customHeight="true" outlineLevel="0" collapsed="false">
      <c r="A43" s="23" t="s">
        <v>19</v>
      </c>
      <c r="B43" s="24" t="s">
        <v>64</v>
      </c>
      <c r="C43" s="23" t="s">
        <v>19</v>
      </c>
      <c r="D43" s="24" t="s">
        <v>40</v>
      </c>
      <c r="E43" s="23" t="s">
        <v>19</v>
      </c>
      <c r="F43" s="24" t="s">
        <v>65</v>
      </c>
      <c r="G43" s="23" t="s">
        <v>19</v>
      </c>
      <c r="H43" s="24" t="s">
        <v>39</v>
      </c>
      <c r="I43" s="23" t="s">
        <v>19</v>
      </c>
      <c r="J43" s="24" t="s">
        <v>63</v>
      </c>
      <c r="K43" s="23" t="s">
        <v>19</v>
      </c>
      <c r="L43" s="25" t="s">
        <v>63</v>
      </c>
      <c r="M43" s="23" t="s">
        <v>19</v>
      </c>
      <c r="N43" s="25" t="s">
        <v>63</v>
      </c>
    </row>
    <row r="44" customFormat="false" ht="18" hidden="false" customHeight="true" outlineLevel="0" collapsed="false">
      <c r="A44" s="26" t="s">
        <v>21</v>
      </c>
      <c r="B44" s="27" t="s">
        <v>42</v>
      </c>
      <c r="C44" s="26" t="s">
        <v>21</v>
      </c>
      <c r="D44" s="27" t="s">
        <v>68</v>
      </c>
      <c r="E44" s="26" t="s">
        <v>21</v>
      </c>
      <c r="F44" s="27" t="s">
        <v>122</v>
      </c>
      <c r="G44" s="26" t="s">
        <v>21</v>
      </c>
      <c r="H44" s="27" t="s">
        <v>68</v>
      </c>
      <c r="I44" s="26" t="s">
        <v>21</v>
      </c>
      <c r="J44" s="27" t="s">
        <v>41</v>
      </c>
      <c r="K44" s="26" t="s">
        <v>21</v>
      </c>
      <c r="L44" s="27" t="s">
        <v>67</v>
      </c>
      <c r="M44" s="26" t="s">
        <v>21</v>
      </c>
      <c r="N44" s="27" t="s">
        <v>41</v>
      </c>
    </row>
    <row r="45" customFormat="false" ht="18" hidden="false" customHeight="true" outlineLevel="0" collapsed="false">
      <c r="A45" s="28" t="s">
        <v>23</v>
      </c>
      <c r="B45" s="29" t="s">
        <v>108</v>
      </c>
      <c r="C45" s="28" t="s">
        <v>23</v>
      </c>
      <c r="D45" s="29" t="s">
        <v>69</v>
      </c>
      <c r="E45" s="28" t="s">
        <v>23</v>
      </c>
      <c r="F45" s="29" t="s">
        <v>43</v>
      </c>
      <c r="G45" s="28" t="s">
        <v>23</v>
      </c>
      <c r="H45" s="29" t="s">
        <v>45</v>
      </c>
      <c r="I45" s="28" t="s">
        <v>23</v>
      </c>
      <c r="J45" s="29" t="s">
        <v>108</v>
      </c>
      <c r="K45" s="28" t="s">
        <v>23</v>
      </c>
      <c r="L45" s="29" t="s">
        <v>43</v>
      </c>
      <c r="M45" s="28" t="s">
        <v>23</v>
      </c>
      <c r="N45" s="29" t="s">
        <v>108</v>
      </c>
    </row>
    <row r="46" customFormat="false" ht="18" hidden="false" customHeight="true" outlineLevel="0" collapsed="false">
      <c r="A46" s="30" t="s">
        <v>25</v>
      </c>
      <c r="B46" s="31" t="s">
        <v>48</v>
      </c>
      <c r="C46" s="30" t="s">
        <v>25</v>
      </c>
      <c r="D46" s="31" t="s">
        <v>47</v>
      </c>
      <c r="E46" s="30" t="s">
        <v>25</v>
      </c>
      <c r="F46" s="31" t="s">
        <v>74</v>
      </c>
      <c r="G46" s="30" t="s">
        <v>25</v>
      </c>
      <c r="H46" s="31" t="s">
        <v>71</v>
      </c>
      <c r="I46" s="30" t="s">
        <v>25</v>
      </c>
      <c r="J46" s="31" t="s">
        <v>49</v>
      </c>
      <c r="K46" s="30" t="s">
        <v>25</v>
      </c>
      <c r="L46" s="31" t="s">
        <v>71</v>
      </c>
      <c r="M46" s="30" t="s">
        <v>25</v>
      </c>
      <c r="N46" s="31" t="s">
        <v>49</v>
      </c>
    </row>
    <row r="47" customFormat="false" ht="18" hidden="false" customHeight="true" outlineLevel="0" collapsed="false">
      <c r="A47" s="30" t="s">
        <v>25</v>
      </c>
      <c r="B47" s="31" t="s">
        <v>51</v>
      </c>
      <c r="C47" s="30" t="s">
        <v>25</v>
      </c>
      <c r="D47" s="31" t="s">
        <v>75</v>
      </c>
      <c r="E47" s="30" t="s">
        <v>25</v>
      </c>
      <c r="F47" s="31" t="s">
        <v>50</v>
      </c>
      <c r="G47" s="30" t="s">
        <v>25</v>
      </c>
      <c r="H47" s="31" t="s">
        <v>75</v>
      </c>
      <c r="I47" s="30" t="s">
        <v>25</v>
      </c>
      <c r="J47" s="31" t="s">
        <v>73</v>
      </c>
      <c r="K47" s="30" t="s">
        <v>25</v>
      </c>
      <c r="L47" s="31" t="s">
        <v>92</v>
      </c>
      <c r="M47" s="30" t="s">
        <v>25</v>
      </c>
      <c r="N47" s="31" t="s">
        <v>73</v>
      </c>
    </row>
    <row r="48" customFormat="false" ht="30" hidden="false" customHeight="true" outlineLevel="0" collapsed="false">
      <c r="A48" s="32" t="s">
        <v>123</v>
      </c>
      <c r="B48" s="32"/>
      <c r="C48" s="36" t="s">
        <v>124</v>
      </c>
      <c r="D48" s="36"/>
      <c r="E48" s="32" t="s">
        <v>95</v>
      </c>
      <c r="F48" s="32"/>
      <c r="G48" s="32" t="s">
        <v>125</v>
      </c>
      <c r="H48" s="32"/>
      <c r="I48" s="32" t="s">
        <v>126</v>
      </c>
      <c r="J48" s="32"/>
      <c r="K48" s="32" t="s">
        <v>125</v>
      </c>
      <c r="L48" s="32"/>
      <c r="M48" s="32" t="s">
        <v>125</v>
      </c>
      <c r="N48" s="32"/>
    </row>
    <row r="49" customFormat="false" ht="4.5" hidden="false" customHeight="true" outlineLevel="0" collapsed="false"/>
    <row r="50" customFormat="false" ht="21" hidden="false" customHeight="true" outlineLevel="0" collapsed="false">
      <c r="A50" s="35" t="s">
        <v>127</v>
      </c>
      <c r="B50" s="35"/>
      <c r="C50" s="20"/>
      <c r="D50" s="20"/>
      <c r="E50" s="20"/>
      <c r="F50" s="20"/>
      <c r="G50" s="20"/>
      <c r="H50" s="20"/>
      <c r="I50" s="20"/>
      <c r="J50" s="20"/>
      <c r="K50" s="20"/>
      <c r="L50" s="20"/>
      <c r="M50" s="20"/>
      <c r="N50" s="20"/>
    </row>
    <row r="51" customFormat="false" ht="4.5" hidden="false" customHeight="true" outlineLevel="0" collapsed="false">
      <c r="C51" s="20"/>
      <c r="D51" s="20"/>
      <c r="E51" s="20"/>
      <c r="F51" s="20"/>
      <c r="G51" s="20"/>
      <c r="H51" s="20"/>
      <c r="I51" s="20"/>
      <c r="J51" s="20"/>
      <c r="K51" s="20"/>
      <c r="L51" s="20"/>
      <c r="M51" s="20"/>
      <c r="N51" s="20"/>
    </row>
    <row r="52" customFormat="false" ht="18" hidden="false" customHeight="true" outlineLevel="0" collapsed="false">
      <c r="A52" s="23" t="s">
        <v>19</v>
      </c>
      <c r="B52" s="25" t="s">
        <v>63</v>
      </c>
      <c r="C52" s="20"/>
      <c r="D52" s="20"/>
      <c r="E52" s="20"/>
      <c r="F52" s="20"/>
      <c r="G52" s="20"/>
      <c r="H52" s="20"/>
      <c r="I52" s="20"/>
      <c r="J52" s="20"/>
      <c r="K52" s="20"/>
      <c r="L52" s="20"/>
      <c r="M52" s="20"/>
      <c r="N52" s="20"/>
    </row>
    <row r="53" customFormat="false" ht="18" hidden="false" customHeight="true" outlineLevel="0" collapsed="false">
      <c r="A53" s="26" t="s">
        <v>21</v>
      </c>
      <c r="B53" s="27" t="s">
        <v>67</v>
      </c>
      <c r="C53" s="20"/>
      <c r="D53" s="20"/>
      <c r="E53" s="20"/>
      <c r="F53" s="20"/>
      <c r="G53" s="20"/>
      <c r="H53" s="20"/>
      <c r="I53" s="20"/>
      <c r="J53" s="20"/>
      <c r="K53" s="20"/>
      <c r="L53" s="20"/>
      <c r="M53" s="20"/>
      <c r="N53" s="20"/>
    </row>
    <row r="54" customFormat="false" ht="18" hidden="false" customHeight="true" outlineLevel="0" collapsed="false">
      <c r="A54" s="28" t="s">
        <v>23</v>
      </c>
      <c r="B54" s="29" t="s">
        <v>43</v>
      </c>
      <c r="C54" s="20"/>
      <c r="D54" s="20"/>
      <c r="E54" s="20"/>
      <c r="F54" s="20"/>
      <c r="G54" s="20"/>
      <c r="H54" s="20"/>
      <c r="I54" s="20"/>
      <c r="J54" s="20"/>
      <c r="K54" s="20"/>
      <c r="L54" s="20"/>
      <c r="M54" s="20"/>
      <c r="N54" s="20"/>
    </row>
    <row r="55" customFormat="false" ht="18" hidden="false" customHeight="true" outlineLevel="0" collapsed="false">
      <c r="A55" s="30" t="s">
        <v>25</v>
      </c>
      <c r="B55" s="31" t="s">
        <v>71</v>
      </c>
      <c r="C55" s="20"/>
      <c r="D55" s="20"/>
      <c r="E55" s="20"/>
      <c r="F55" s="20"/>
      <c r="G55" s="20"/>
      <c r="H55" s="20"/>
      <c r="I55" s="20"/>
      <c r="J55" s="20"/>
      <c r="K55" s="20"/>
      <c r="L55" s="20"/>
      <c r="M55" s="20"/>
      <c r="N55" s="20"/>
    </row>
    <row r="56" customFormat="false" ht="18" hidden="false" customHeight="true" outlineLevel="0" collapsed="false">
      <c r="A56" s="30" t="s">
        <v>25</v>
      </c>
      <c r="B56" s="31" t="s">
        <v>92</v>
      </c>
      <c r="C56" s="20"/>
      <c r="D56" s="20"/>
      <c r="E56" s="20"/>
      <c r="F56" s="20"/>
      <c r="G56" s="20"/>
      <c r="H56" s="20"/>
      <c r="I56" s="20"/>
      <c r="J56" s="20"/>
      <c r="K56" s="20"/>
      <c r="L56" s="20"/>
      <c r="M56" s="20"/>
      <c r="N56" s="20"/>
    </row>
    <row r="57" customFormat="false" ht="30" hidden="false" customHeight="true" outlineLevel="0" collapsed="false">
      <c r="A57" s="36" t="s">
        <v>124</v>
      </c>
      <c r="B57" s="36"/>
      <c r="C57" s="20"/>
      <c r="D57" s="20"/>
      <c r="E57" s="20"/>
      <c r="F57" s="20"/>
      <c r="G57" s="20"/>
      <c r="H57" s="20"/>
      <c r="I57" s="20"/>
      <c r="J57" s="20"/>
      <c r="K57" s="20"/>
      <c r="L57" s="20"/>
      <c r="M57" s="20"/>
      <c r="N57" s="20"/>
    </row>
    <row r="58" customFormat="false" ht="4.5" hidden="false" customHeight="true" outlineLevel="0" collapsed="false"/>
  </sheetData>
  <mergeCells count="79">
    <mergeCell ref="A1:N1"/>
    <mergeCell ref="B2:C2"/>
    <mergeCell ref="E2:F2"/>
    <mergeCell ref="H2:I2"/>
    <mergeCell ref="K2:L2"/>
    <mergeCell ref="M2:N2"/>
    <mergeCell ref="A4:B4"/>
    <mergeCell ref="C4:D4"/>
    <mergeCell ref="E4:F4"/>
    <mergeCell ref="G4:H4"/>
    <mergeCell ref="I4:J4"/>
    <mergeCell ref="K4:L4"/>
    <mergeCell ref="M4:N4"/>
    <mergeCell ref="G5:H5"/>
    <mergeCell ref="I5:J5"/>
    <mergeCell ref="K5:L5"/>
    <mergeCell ref="M5:N5"/>
    <mergeCell ref="G12:H12"/>
    <mergeCell ref="I12:J12"/>
    <mergeCell ref="K12:L12"/>
    <mergeCell ref="M12:N12"/>
    <mergeCell ref="A14:B14"/>
    <mergeCell ref="C14:D14"/>
    <mergeCell ref="E14:F14"/>
    <mergeCell ref="G14:H14"/>
    <mergeCell ref="I14:J14"/>
    <mergeCell ref="K14:L14"/>
    <mergeCell ref="M14:N14"/>
    <mergeCell ref="A21:B21"/>
    <mergeCell ref="C21:D21"/>
    <mergeCell ref="E21:F21"/>
    <mergeCell ref="G21:H21"/>
    <mergeCell ref="I21:J21"/>
    <mergeCell ref="K21:L21"/>
    <mergeCell ref="M21:N21"/>
    <mergeCell ref="A23:B23"/>
    <mergeCell ref="C23:D23"/>
    <mergeCell ref="E23:F23"/>
    <mergeCell ref="G23:H23"/>
    <mergeCell ref="I23:J23"/>
    <mergeCell ref="K23:L23"/>
    <mergeCell ref="M23:N23"/>
    <mergeCell ref="A30:B30"/>
    <mergeCell ref="C30:D30"/>
    <mergeCell ref="E30:F30"/>
    <mergeCell ref="G30:H30"/>
    <mergeCell ref="I30:J30"/>
    <mergeCell ref="K30:L30"/>
    <mergeCell ref="M30:N30"/>
    <mergeCell ref="A32:B32"/>
    <mergeCell ref="C32:D32"/>
    <mergeCell ref="E32:F32"/>
    <mergeCell ref="G32:H32"/>
    <mergeCell ref="I32:J32"/>
    <mergeCell ref="K32:L32"/>
    <mergeCell ref="M32:N32"/>
    <mergeCell ref="A39:B39"/>
    <mergeCell ref="C39:D39"/>
    <mergeCell ref="E39:F39"/>
    <mergeCell ref="G39:H39"/>
    <mergeCell ref="I39:J39"/>
    <mergeCell ref="K39:L39"/>
    <mergeCell ref="M39:N39"/>
    <mergeCell ref="A41:B41"/>
    <mergeCell ref="C41:D41"/>
    <mergeCell ref="E41:F41"/>
    <mergeCell ref="G41:H41"/>
    <mergeCell ref="I41:J41"/>
    <mergeCell ref="K41:L41"/>
    <mergeCell ref="M41:N41"/>
    <mergeCell ref="A48:B48"/>
    <mergeCell ref="C48:D48"/>
    <mergeCell ref="E48:F48"/>
    <mergeCell ref="G48:H48"/>
    <mergeCell ref="I48:J48"/>
    <mergeCell ref="K48:L48"/>
    <mergeCell ref="M48:N48"/>
    <mergeCell ref="A50:B50"/>
    <mergeCell ref="A57:B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83203125" defaultRowHeight="15" zeroHeight="false" outlineLevelRow="0" outlineLevelCol="0"/>
  <cols>
    <col collapsed="false" customWidth="true" hidden="false" outlineLevel="0" max="1" min="1" style="1" width="20"/>
    <col collapsed="false" customWidth="true" hidden="false" outlineLevel="0" max="2" min="2" style="1" width="9"/>
    <col collapsed="false" customWidth="true" hidden="false" outlineLevel="0" max="35" min="3" style="1" width="5.33"/>
  </cols>
  <sheetData>
    <row r="1" customFormat="false" ht="27.75" hidden="false" customHeight="true" outlineLevel="0" collapsed="false">
      <c r="A1" s="37" t="s">
        <v>128</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row>
    <row r="3" customFormat="false" ht="19.5" hidden="false" customHeight="true" outlineLevel="0" collapsed="false">
      <c r="A3" s="38" t="s">
        <v>129</v>
      </c>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row>
    <row r="4" customFormat="false" ht="18" hidden="false" customHeight="true" outlineLevel="0" collapsed="false">
      <c r="A4" s="39" t="s">
        <v>130</v>
      </c>
      <c r="B4" s="40" t="s">
        <v>131</v>
      </c>
      <c r="C4" s="41" t="s">
        <v>132</v>
      </c>
      <c r="D4" s="41" t="s">
        <v>133</v>
      </c>
      <c r="E4" s="42" t="s">
        <v>134</v>
      </c>
      <c r="F4" s="42" t="s">
        <v>135</v>
      </c>
      <c r="G4" s="41" t="s">
        <v>136</v>
      </c>
      <c r="H4" s="41" t="s">
        <v>137</v>
      </c>
      <c r="I4" s="41" t="s">
        <v>138</v>
      </c>
      <c r="J4" s="41" t="s">
        <v>139</v>
      </c>
      <c r="K4" s="41" t="s">
        <v>140</v>
      </c>
      <c r="L4" s="42" t="s">
        <v>141</v>
      </c>
      <c r="M4" s="42" t="s">
        <v>142</v>
      </c>
      <c r="N4" s="43" t="s">
        <v>143</v>
      </c>
      <c r="O4" s="41" t="s">
        <v>144</v>
      </c>
      <c r="P4" s="41" t="s">
        <v>145</v>
      </c>
      <c r="Q4" s="41" t="s">
        <v>146</v>
      </c>
      <c r="R4" s="41" t="s">
        <v>147</v>
      </c>
      <c r="S4" s="42" t="s">
        <v>148</v>
      </c>
      <c r="T4" s="42" t="s">
        <v>149</v>
      </c>
      <c r="U4" s="41" t="s">
        <v>150</v>
      </c>
      <c r="V4" s="41" t="s">
        <v>151</v>
      </c>
      <c r="W4" s="41" t="s">
        <v>152</v>
      </c>
      <c r="X4" s="41" t="s">
        <v>153</v>
      </c>
      <c r="Y4" s="41" t="s">
        <v>154</v>
      </c>
      <c r="Z4" s="42" t="s">
        <v>155</v>
      </c>
      <c r="AA4" s="42" t="s">
        <v>156</v>
      </c>
      <c r="AB4" s="41" t="s">
        <v>157</v>
      </c>
      <c r="AC4" s="41" t="s">
        <v>158</v>
      </c>
      <c r="AD4" s="41" t="s">
        <v>159</v>
      </c>
      <c r="AE4" s="41" t="s">
        <v>160</v>
      </c>
      <c r="AF4" s="41" t="s">
        <v>161</v>
      </c>
      <c r="AG4" s="42" t="s">
        <v>162</v>
      </c>
      <c r="AH4" s="43" t="s">
        <v>163</v>
      </c>
      <c r="AI4" s="43" t="s">
        <v>164</v>
      </c>
    </row>
    <row r="5" customFormat="false" ht="16.5" hidden="false" customHeight="true" outlineLevel="0" collapsed="false">
      <c r="A5" s="44" t="s">
        <v>165</v>
      </c>
      <c r="B5" s="45" t="n">
        <f aca="false">SUM(C5:AI5)</f>
        <v>33</v>
      </c>
      <c r="C5" s="46" t="n">
        <v>1</v>
      </c>
      <c r="D5" s="46" t="n">
        <v>1</v>
      </c>
      <c r="E5" s="47" t="n">
        <v>1</v>
      </c>
      <c r="F5" s="47" t="n">
        <v>1</v>
      </c>
      <c r="G5" s="46" t="n">
        <v>1</v>
      </c>
      <c r="H5" s="46" t="n">
        <v>1</v>
      </c>
      <c r="I5" s="46" t="n">
        <v>1</v>
      </c>
      <c r="J5" s="46" t="n">
        <v>1</v>
      </c>
      <c r="K5" s="46" t="n">
        <v>1</v>
      </c>
      <c r="L5" s="47" t="n">
        <v>1</v>
      </c>
      <c r="M5" s="47" t="n">
        <v>1</v>
      </c>
      <c r="N5" s="46" t="n">
        <v>1</v>
      </c>
      <c r="O5" s="46" t="n">
        <v>1</v>
      </c>
      <c r="P5" s="46" t="n">
        <v>1</v>
      </c>
      <c r="Q5" s="46" t="n">
        <v>1</v>
      </c>
      <c r="R5" s="46" t="n">
        <v>1</v>
      </c>
      <c r="S5" s="47" t="n">
        <v>1</v>
      </c>
      <c r="T5" s="47" t="n">
        <v>1</v>
      </c>
      <c r="U5" s="46" t="n">
        <v>1</v>
      </c>
      <c r="V5" s="46" t="n">
        <v>1</v>
      </c>
      <c r="W5" s="46" t="n">
        <v>1</v>
      </c>
      <c r="X5" s="46" t="n">
        <v>1</v>
      </c>
      <c r="Y5" s="46" t="n">
        <v>1</v>
      </c>
      <c r="Z5" s="47" t="n">
        <v>1</v>
      </c>
      <c r="AA5" s="47" t="n">
        <v>1</v>
      </c>
      <c r="AB5" s="46" t="n">
        <v>1</v>
      </c>
      <c r="AC5" s="46" t="n">
        <v>1</v>
      </c>
      <c r="AD5" s="46" t="n">
        <v>1</v>
      </c>
      <c r="AE5" s="46" t="n">
        <v>1</v>
      </c>
      <c r="AF5" s="46" t="n">
        <v>1</v>
      </c>
      <c r="AG5" s="47" t="n">
        <v>1</v>
      </c>
      <c r="AH5" s="47" t="n">
        <v>1</v>
      </c>
      <c r="AI5" s="46" t="n">
        <v>1</v>
      </c>
    </row>
    <row r="6" customFormat="false" ht="16.5" hidden="false" customHeight="true" outlineLevel="0" collapsed="false">
      <c r="A6" s="48" t="s">
        <v>166</v>
      </c>
      <c r="B6" s="45" t="n">
        <f aca="false">SUM(C6:AI6)</f>
        <v>33</v>
      </c>
      <c r="C6" s="46" t="n">
        <v>1</v>
      </c>
      <c r="D6" s="46" t="n">
        <v>1</v>
      </c>
      <c r="E6" s="47" t="n">
        <v>1</v>
      </c>
      <c r="F6" s="47" t="n">
        <v>1</v>
      </c>
      <c r="G6" s="46" t="n">
        <v>1</v>
      </c>
      <c r="H6" s="46" t="n">
        <v>1</v>
      </c>
      <c r="I6" s="46" t="n">
        <v>1</v>
      </c>
      <c r="J6" s="46" t="n">
        <v>1</v>
      </c>
      <c r="K6" s="46" t="n">
        <v>1</v>
      </c>
      <c r="L6" s="47" t="n">
        <v>1</v>
      </c>
      <c r="M6" s="47" t="n">
        <v>1</v>
      </c>
      <c r="N6" s="46" t="n">
        <v>1</v>
      </c>
      <c r="O6" s="46" t="n">
        <v>1</v>
      </c>
      <c r="P6" s="46" t="n">
        <v>1</v>
      </c>
      <c r="Q6" s="46" t="n">
        <v>1</v>
      </c>
      <c r="R6" s="46" t="n">
        <v>1</v>
      </c>
      <c r="S6" s="47" t="n">
        <v>1</v>
      </c>
      <c r="T6" s="47" t="n">
        <v>1</v>
      </c>
      <c r="U6" s="46" t="n">
        <v>1</v>
      </c>
      <c r="V6" s="46" t="n">
        <v>1</v>
      </c>
      <c r="W6" s="46" t="n">
        <v>1</v>
      </c>
      <c r="X6" s="46" t="n">
        <v>1</v>
      </c>
      <c r="Y6" s="46" t="n">
        <v>1</v>
      </c>
      <c r="Z6" s="47" t="n">
        <v>1</v>
      </c>
      <c r="AA6" s="47" t="n">
        <v>1</v>
      </c>
      <c r="AB6" s="46" t="n">
        <v>1</v>
      </c>
      <c r="AC6" s="46" t="n">
        <v>1</v>
      </c>
      <c r="AD6" s="46" t="n">
        <v>1</v>
      </c>
      <c r="AE6" s="46" t="n">
        <v>1</v>
      </c>
      <c r="AF6" s="46" t="n">
        <v>1</v>
      </c>
      <c r="AG6" s="47" t="n">
        <v>1</v>
      </c>
      <c r="AH6" s="47" t="n">
        <v>1</v>
      </c>
      <c r="AI6" s="46" t="n">
        <v>1</v>
      </c>
    </row>
    <row r="7" customFormat="false" ht="16.5" hidden="false" customHeight="true" outlineLevel="0" collapsed="false">
      <c r="A7" s="49" t="s">
        <v>167</v>
      </c>
      <c r="B7" s="45" t="n">
        <f aca="false">SUM(C7:AI7)</f>
        <v>33</v>
      </c>
      <c r="C7" s="46" t="n">
        <v>1</v>
      </c>
      <c r="D7" s="46" t="n">
        <v>1</v>
      </c>
      <c r="E7" s="47" t="n">
        <v>1</v>
      </c>
      <c r="F7" s="47" t="n">
        <v>1</v>
      </c>
      <c r="G7" s="46" t="n">
        <v>1</v>
      </c>
      <c r="H7" s="46" t="n">
        <v>1</v>
      </c>
      <c r="I7" s="46" t="n">
        <v>1</v>
      </c>
      <c r="J7" s="46" t="n">
        <v>1</v>
      </c>
      <c r="K7" s="46" t="n">
        <v>1</v>
      </c>
      <c r="L7" s="47" t="n">
        <v>1</v>
      </c>
      <c r="M7" s="47" t="n">
        <v>1</v>
      </c>
      <c r="N7" s="46" t="n">
        <v>1</v>
      </c>
      <c r="O7" s="46" t="n">
        <v>1</v>
      </c>
      <c r="P7" s="46" t="n">
        <v>1</v>
      </c>
      <c r="Q7" s="46" t="n">
        <v>1</v>
      </c>
      <c r="R7" s="46" t="n">
        <v>1</v>
      </c>
      <c r="S7" s="47" t="n">
        <v>1</v>
      </c>
      <c r="T7" s="47" t="n">
        <v>1</v>
      </c>
      <c r="U7" s="46" t="n">
        <v>1</v>
      </c>
      <c r="V7" s="46" t="n">
        <v>1</v>
      </c>
      <c r="W7" s="46" t="n">
        <v>1</v>
      </c>
      <c r="X7" s="46" t="n">
        <v>1</v>
      </c>
      <c r="Y7" s="46" t="n">
        <v>1</v>
      </c>
      <c r="Z7" s="47" t="n">
        <v>1</v>
      </c>
      <c r="AA7" s="47" t="n">
        <v>1</v>
      </c>
      <c r="AB7" s="46" t="n">
        <v>1</v>
      </c>
      <c r="AC7" s="46" t="n">
        <v>1</v>
      </c>
      <c r="AD7" s="46" t="n">
        <v>1</v>
      </c>
      <c r="AE7" s="46" t="n">
        <v>1</v>
      </c>
      <c r="AF7" s="46" t="n">
        <v>1</v>
      </c>
      <c r="AG7" s="47" t="n">
        <v>1</v>
      </c>
      <c r="AH7" s="47" t="n">
        <v>1</v>
      </c>
      <c r="AI7" s="46" t="n">
        <v>1</v>
      </c>
    </row>
    <row r="8" customFormat="false" ht="16.5" hidden="false" customHeight="true" outlineLevel="0" collapsed="false">
      <c r="A8" s="50" t="s">
        <v>168</v>
      </c>
      <c r="B8" s="45" t="n">
        <f aca="false">SUM(C8:AI8)</f>
        <v>66</v>
      </c>
      <c r="C8" s="46" t="n">
        <v>2</v>
      </c>
      <c r="D8" s="46" t="n">
        <v>2</v>
      </c>
      <c r="E8" s="47" t="n">
        <v>2</v>
      </c>
      <c r="F8" s="47" t="n">
        <v>2</v>
      </c>
      <c r="G8" s="46" t="n">
        <v>2</v>
      </c>
      <c r="H8" s="46" t="n">
        <v>2</v>
      </c>
      <c r="I8" s="46" t="n">
        <v>2</v>
      </c>
      <c r="J8" s="46" t="n">
        <v>2</v>
      </c>
      <c r="K8" s="46" t="n">
        <v>2</v>
      </c>
      <c r="L8" s="47" t="n">
        <v>2</v>
      </c>
      <c r="M8" s="47" t="n">
        <v>2</v>
      </c>
      <c r="N8" s="46" t="n">
        <v>2</v>
      </c>
      <c r="O8" s="46" t="n">
        <v>2</v>
      </c>
      <c r="P8" s="46" t="n">
        <v>2</v>
      </c>
      <c r="Q8" s="46" t="n">
        <v>2</v>
      </c>
      <c r="R8" s="46" t="n">
        <v>2</v>
      </c>
      <c r="S8" s="47" t="n">
        <v>2</v>
      </c>
      <c r="T8" s="47" t="n">
        <v>2</v>
      </c>
      <c r="U8" s="46" t="n">
        <v>2</v>
      </c>
      <c r="V8" s="46" t="n">
        <v>2</v>
      </c>
      <c r="W8" s="46" t="n">
        <v>2</v>
      </c>
      <c r="X8" s="46" t="n">
        <v>2</v>
      </c>
      <c r="Y8" s="46" t="n">
        <v>2</v>
      </c>
      <c r="Z8" s="47" t="n">
        <v>2</v>
      </c>
      <c r="AA8" s="47" t="n">
        <v>2</v>
      </c>
      <c r="AB8" s="46" t="n">
        <v>2</v>
      </c>
      <c r="AC8" s="46" t="n">
        <v>2</v>
      </c>
      <c r="AD8" s="46" t="n">
        <v>2</v>
      </c>
      <c r="AE8" s="46" t="n">
        <v>2</v>
      </c>
      <c r="AF8" s="46" t="n">
        <v>2</v>
      </c>
      <c r="AG8" s="47" t="n">
        <v>2</v>
      </c>
      <c r="AH8" s="47" t="n">
        <v>2</v>
      </c>
      <c r="AI8" s="46" t="n">
        <v>2</v>
      </c>
    </row>
    <row r="9" customFormat="false" ht="18.75" hidden="false" customHeight="true" outlineLevel="0" collapsed="false">
      <c r="A9" s="51" t="s">
        <v>131</v>
      </c>
      <c r="B9" s="52" t="n">
        <f aca="false">SUM(C9:AI9)</f>
        <v>165</v>
      </c>
      <c r="C9" s="53" t="n">
        <f aca="false">SUM(C5:C8)</f>
        <v>5</v>
      </c>
      <c r="D9" s="53" t="n">
        <f aca="false">SUM(D5:D8)</f>
        <v>5</v>
      </c>
      <c r="E9" s="53" t="n">
        <f aca="false">SUM(E5:E8)</f>
        <v>5</v>
      </c>
      <c r="F9" s="53" t="n">
        <f aca="false">SUM(F5:F8)</f>
        <v>5</v>
      </c>
      <c r="G9" s="53" t="n">
        <f aca="false">SUM(G5:G8)</f>
        <v>5</v>
      </c>
      <c r="H9" s="53" t="n">
        <f aca="false">SUM(H5:H8)</f>
        <v>5</v>
      </c>
      <c r="I9" s="53" t="n">
        <f aca="false">SUM(I5:I8)</f>
        <v>5</v>
      </c>
      <c r="J9" s="53" t="n">
        <f aca="false">SUM(J5:J8)</f>
        <v>5</v>
      </c>
      <c r="K9" s="53" t="n">
        <f aca="false">SUM(K5:K8)</f>
        <v>5</v>
      </c>
      <c r="L9" s="53" t="n">
        <f aca="false">SUM(L5:L8)</f>
        <v>5</v>
      </c>
      <c r="M9" s="53" t="n">
        <f aca="false">SUM(M5:M8)</f>
        <v>5</v>
      </c>
      <c r="N9" s="53" t="n">
        <f aca="false">SUM(N5:N8)</f>
        <v>5</v>
      </c>
      <c r="O9" s="53" t="n">
        <f aca="false">SUM(O5:O8)</f>
        <v>5</v>
      </c>
      <c r="P9" s="53" t="n">
        <f aca="false">SUM(P5:P8)</f>
        <v>5</v>
      </c>
      <c r="Q9" s="53" t="n">
        <f aca="false">SUM(Q5:Q8)</f>
        <v>5</v>
      </c>
      <c r="R9" s="53" t="n">
        <f aca="false">SUM(R5:R8)</f>
        <v>5</v>
      </c>
      <c r="S9" s="53" t="n">
        <f aca="false">SUM(S5:S8)</f>
        <v>5</v>
      </c>
      <c r="T9" s="53" t="n">
        <f aca="false">SUM(T5:T8)</f>
        <v>5</v>
      </c>
      <c r="U9" s="53" t="n">
        <f aca="false">SUM(U5:U8)</f>
        <v>5</v>
      </c>
      <c r="V9" s="53" t="n">
        <f aca="false">SUM(V5:V8)</f>
        <v>5</v>
      </c>
      <c r="W9" s="53" t="n">
        <f aca="false">SUM(W5:W8)</f>
        <v>5</v>
      </c>
      <c r="X9" s="53" t="n">
        <f aca="false">SUM(X5:X8)</f>
        <v>5</v>
      </c>
      <c r="Y9" s="53" t="n">
        <f aca="false">SUM(Y5:Y8)</f>
        <v>5</v>
      </c>
      <c r="Z9" s="53" t="n">
        <f aca="false">SUM(Z5:Z8)</f>
        <v>5</v>
      </c>
      <c r="AA9" s="53" t="n">
        <f aca="false">SUM(AA5:AA8)</f>
        <v>5</v>
      </c>
      <c r="AB9" s="53" t="n">
        <f aca="false">SUM(AB5:AB8)</f>
        <v>5</v>
      </c>
      <c r="AC9" s="53" t="n">
        <f aca="false">SUM(AC5:AC8)</f>
        <v>5</v>
      </c>
      <c r="AD9" s="53" t="n">
        <f aca="false">SUM(AD5:AD8)</f>
        <v>5</v>
      </c>
      <c r="AE9" s="53" t="n">
        <f aca="false">SUM(AE5:AE8)</f>
        <v>5</v>
      </c>
      <c r="AF9" s="53" t="n">
        <f aca="false">SUM(AF5:AF8)</f>
        <v>5</v>
      </c>
      <c r="AG9" s="53" t="n">
        <f aca="false">SUM(AG5:AG8)</f>
        <v>5</v>
      </c>
      <c r="AH9" s="53" t="n">
        <f aca="false">SUM(AH5:AH8)</f>
        <v>5</v>
      </c>
      <c r="AI9" s="53" t="n">
        <f aca="false">SUM(AI5:AI8)</f>
        <v>5</v>
      </c>
    </row>
    <row r="11" customFormat="false" ht="19.5" hidden="false" customHeight="true" outlineLevel="0" collapsed="false">
      <c r="A11" s="38" t="s">
        <v>169</v>
      </c>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row>
    <row r="12" customFormat="false" ht="18" hidden="false" customHeight="true" outlineLevel="0" collapsed="false">
      <c r="A12" s="39" t="s">
        <v>130</v>
      </c>
      <c r="B12" s="40" t="s">
        <v>131</v>
      </c>
      <c r="C12" s="41" t="s">
        <v>132</v>
      </c>
      <c r="D12" s="41" t="s">
        <v>133</v>
      </c>
      <c r="E12" s="42" t="s">
        <v>134</v>
      </c>
      <c r="F12" s="42" t="s">
        <v>135</v>
      </c>
      <c r="G12" s="41" t="s">
        <v>136</v>
      </c>
      <c r="H12" s="41" t="s">
        <v>137</v>
      </c>
      <c r="I12" s="41" t="s">
        <v>138</v>
      </c>
      <c r="J12" s="41" t="s">
        <v>139</v>
      </c>
      <c r="K12" s="41" t="s">
        <v>140</v>
      </c>
      <c r="L12" s="42" t="s">
        <v>141</v>
      </c>
      <c r="M12" s="42" t="s">
        <v>142</v>
      </c>
      <c r="N12" s="43" t="s">
        <v>143</v>
      </c>
      <c r="O12" s="41" t="s">
        <v>144</v>
      </c>
      <c r="P12" s="41" t="s">
        <v>145</v>
      </c>
      <c r="Q12" s="41" t="s">
        <v>146</v>
      </c>
      <c r="R12" s="41" t="s">
        <v>147</v>
      </c>
      <c r="S12" s="42" t="s">
        <v>148</v>
      </c>
      <c r="T12" s="42" t="s">
        <v>149</v>
      </c>
      <c r="U12" s="41" t="s">
        <v>150</v>
      </c>
      <c r="V12" s="41" t="s">
        <v>151</v>
      </c>
      <c r="W12" s="41" t="s">
        <v>152</v>
      </c>
      <c r="X12" s="41" t="s">
        <v>153</v>
      </c>
      <c r="Y12" s="41" t="s">
        <v>154</v>
      </c>
      <c r="Z12" s="42" t="s">
        <v>155</v>
      </c>
      <c r="AA12" s="42" t="s">
        <v>156</v>
      </c>
      <c r="AB12" s="41" t="s">
        <v>157</v>
      </c>
      <c r="AC12" s="41" t="s">
        <v>158</v>
      </c>
      <c r="AD12" s="41" t="s">
        <v>159</v>
      </c>
      <c r="AE12" s="41" t="s">
        <v>160</v>
      </c>
      <c r="AF12" s="41" t="s">
        <v>161</v>
      </c>
      <c r="AG12" s="42" t="s">
        <v>162</v>
      </c>
      <c r="AH12" s="43" t="s">
        <v>163</v>
      </c>
      <c r="AI12" s="43" t="s">
        <v>164</v>
      </c>
    </row>
    <row r="13" customFormat="false" ht="16.5" hidden="false" customHeight="true" outlineLevel="0" collapsed="false">
      <c r="A13" s="44" t="s">
        <v>165</v>
      </c>
      <c r="B13" s="45" t="n">
        <f aca="false">SUM(C13:AI13)</f>
        <v>33</v>
      </c>
      <c r="C13" s="46" t="n">
        <f aca="false">IF('Calendario Octubre 2026'!$H$7&lt;&gt;"",1,0)</f>
        <v>1</v>
      </c>
      <c r="D13" s="46" t="n">
        <f aca="false">IF('Calendario Octubre 2026'!$J$7&lt;&gt;"",1,0)</f>
        <v>1</v>
      </c>
      <c r="E13" s="47" t="n">
        <f aca="false">IF('Calendario Octubre 2026'!$L$7&lt;&gt;"",1,0)</f>
        <v>1</v>
      </c>
      <c r="F13" s="47" t="n">
        <f aca="false">IF('Calendario Octubre 2026'!$N$7&lt;&gt;"",1,0)</f>
        <v>1</v>
      </c>
      <c r="G13" s="46" t="n">
        <f aca="false">IF('Calendario Octubre 2026'!$B$16&lt;&gt;"",1,0)</f>
        <v>1</v>
      </c>
      <c r="H13" s="46" t="n">
        <f aca="false">IF('Calendario Octubre 2026'!$D$16&lt;&gt;"",1,0)</f>
        <v>1</v>
      </c>
      <c r="I13" s="46" t="n">
        <f aca="false">IF('Calendario Octubre 2026'!$F$16&lt;&gt;"",1,0)</f>
        <v>1</v>
      </c>
      <c r="J13" s="46" t="n">
        <f aca="false">IF('Calendario Octubre 2026'!$H$16&lt;&gt;"",1,0)</f>
        <v>1</v>
      </c>
      <c r="K13" s="46" t="n">
        <f aca="false">IF('Calendario Octubre 2026'!$J$16&lt;&gt;"",1,0)</f>
        <v>1</v>
      </c>
      <c r="L13" s="47" t="n">
        <f aca="false">IF('Calendario Octubre 2026'!$L$16&lt;&gt;"",1,0)</f>
        <v>1</v>
      </c>
      <c r="M13" s="47" t="n">
        <f aca="false">IF('Calendario Octubre 2026'!$N$16&lt;&gt;"",1,0)</f>
        <v>1</v>
      </c>
      <c r="N13" s="46" t="n">
        <f aca="false">IF('Calendario Octubre 2026'!$B$25&lt;&gt;"",1,0)</f>
        <v>1</v>
      </c>
      <c r="O13" s="46" t="n">
        <f aca="false">IF('Calendario Octubre 2026'!$D$25&lt;&gt;"",1,0)</f>
        <v>1</v>
      </c>
      <c r="P13" s="46" t="n">
        <f aca="false">IF('Calendario Octubre 2026'!$F$25&lt;&gt;"",1,0)</f>
        <v>1</v>
      </c>
      <c r="Q13" s="46" t="n">
        <f aca="false">IF('Calendario Octubre 2026'!$H$25&lt;&gt;"",1,0)</f>
        <v>1</v>
      </c>
      <c r="R13" s="46" t="n">
        <f aca="false">IF('Calendario Octubre 2026'!$J$25&lt;&gt;"",1,0)</f>
        <v>1</v>
      </c>
      <c r="S13" s="47" t="n">
        <f aca="false">IF('Calendario Octubre 2026'!$L$25&lt;&gt;"",1,0)</f>
        <v>1</v>
      </c>
      <c r="T13" s="47" t="n">
        <f aca="false">IF('Calendario Octubre 2026'!$N$25&lt;&gt;"",1,0)</f>
        <v>1</v>
      </c>
      <c r="U13" s="46" t="n">
        <f aca="false">IF('Calendario Octubre 2026'!$B$34&lt;&gt;"",1,0)</f>
        <v>1</v>
      </c>
      <c r="V13" s="46" t="n">
        <f aca="false">IF('Calendario Octubre 2026'!$D$34&lt;&gt;"",1,0)</f>
        <v>1</v>
      </c>
      <c r="W13" s="46" t="n">
        <f aca="false">IF('Calendario Octubre 2026'!$F$34&lt;&gt;"",1,0)</f>
        <v>1</v>
      </c>
      <c r="X13" s="46" t="n">
        <f aca="false">IF('Calendario Octubre 2026'!$H$34&lt;&gt;"",1,0)</f>
        <v>1</v>
      </c>
      <c r="Y13" s="46" t="n">
        <f aca="false">IF('Calendario Octubre 2026'!$J$34&lt;&gt;"",1,0)</f>
        <v>1</v>
      </c>
      <c r="Z13" s="47" t="n">
        <f aca="false">IF('Calendario Octubre 2026'!$L$34&lt;&gt;"",1,0)</f>
        <v>1</v>
      </c>
      <c r="AA13" s="47" t="n">
        <f aca="false">IF('Calendario Octubre 2026'!$N$34&lt;&gt;"",1,0)</f>
        <v>1</v>
      </c>
      <c r="AB13" s="46" t="n">
        <f aca="false">IF('Calendario Octubre 2026'!$B$43&lt;&gt;"",1,0)</f>
        <v>1</v>
      </c>
      <c r="AC13" s="46" t="n">
        <f aca="false">IF('Calendario Octubre 2026'!$D$43&lt;&gt;"",1,0)</f>
        <v>1</v>
      </c>
      <c r="AD13" s="46" t="n">
        <f aca="false">IF('Calendario Octubre 2026'!$F$43&lt;&gt;"",1,0)</f>
        <v>1</v>
      </c>
      <c r="AE13" s="46" t="n">
        <f aca="false">IF('Calendario Octubre 2026'!$H$43&lt;&gt;"",1,0)</f>
        <v>1</v>
      </c>
      <c r="AF13" s="46" t="n">
        <f aca="false">IF('Calendario Octubre 2026'!$J$43&lt;&gt;"",1,0)</f>
        <v>1</v>
      </c>
      <c r="AG13" s="47" t="n">
        <f aca="false">IF('Calendario Octubre 2026'!$L$43&lt;&gt;"",1,0)</f>
        <v>1</v>
      </c>
      <c r="AH13" s="47" t="n">
        <f aca="false">IF('Calendario Octubre 2026'!$N$43&lt;&gt;"",1,0)</f>
        <v>1</v>
      </c>
      <c r="AI13" s="46" t="n">
        <f aca="false">IF('Calendario Octubre 2026'!$B$52&lt;&gt;"",1,0)</f>
        <v>1</v>
      </c>
    </row>
    <row r="14" customFormat="false" ht="16.5" hidden="false" customHeight="true" outlineLevel="0" collapsed="false">
      <c r="A14" s="48" t="s">
        <v>166</v>
      </c>
      <c r="B14" s="45" t="n">
        <f aca="false">SUM(C14:AI14)</f>
        <v>33</v>
      </c>
      <c r="C14" s="46" t="n">
        <f aca="false">IF('Calendario Octubre 2026'!$H$8&lt;&gt;"",1,0)</f>
        <v>1</v>
      </c>
      <c r="D14" s="46" t="n">
        <f aca="false">IF('Calendario Octubre 2026'!$J$8&lt;&gt;"",1,0)</f>
        <v>1</v>
      </c>
      <c r="E14" s="47" t="n">
        <f aca="false">IF('Calendario Octubre 2026'!$L$8&lt;&gt;"",1,0)</f>
        <v>1</v>
      </c>
      <c r="F14" s="47" t="n">
        <f aca="false">IF('Calendario Octubre 2026'!$N$8&lt;&gt;"",1,0)</f>
        <v>1</v>
      </c>
      <c r="G14" s="46" t="n">
        <f aca="false">IF('Calendario Octubre 2026'!$B$17&lt;&gt;"",1,0)</f>
        <v>1</v>
      </c>
      <c r="H14" s="46" t="n">
        <f aca="false">IF('Calendario Octubre 2026'!$D$17&lt;&gt;"",1,0)</f>
        <v>1</v>
      </c>
      <c r="I14" s="46" t="n">
        <f aca="false">IF('Calendario Octubre 2026'!$F$17&lt;&gt;"",1,0)</f>
        <v>1</v>
      </c>
      <c r="J14" s="46" t="n">
        <f aca="false">IF('Calendario Octubre 2026'!$H$17&lt;&gt;"",1,0)</f>
        <v>1</v>
      </c>
      <c r="K14" s="46" t="n">
        <f aca="false">IF('Calendario Octubre 2026'!$J$17&lt;&gt;"",1,0)</f>
        <v>1</v>
      </c>
      <c r="L14" s="47" t="n">
        <f aca="false">IF('Calendario Octubre 2026'!$L$17&lt;&gt;"",1,0)</f>
        <v>1</v>
      </c>
      <c r="M14" s="47" t="n">
        <f aca="false">IF('Calendario Octubre 2026'!$N$17&lt;&gt;"",1,0)</f>
        <v>1</v>
      </c>
      <c r="N14" s="46" t="n">
        <f aca="false">IF('Calendario Octubre 2026'!$B$26&lt;&gt;"",1,0)</f>
        <v>1</v>
      </c>
      <c r="O14" s="46" t="n">
        <f aca="false">IF('Calendario Octubre 2026'!$D$26&lt;&gt;"",1,0)</f>
        <v>1</v>
      </c>
      <c r="P14" s="46" t="n">
        <f aca="false">IF('Calendario Octubre 2026'!$F$26&lt;&gt;"",1,0)</f>
        <v>1</v>
      </c>
      <c r="Q14" s="46" t="n">
        <f aca="false">IF('Calendario Octubre 2026'!$H$26&lt;&gt;"",1,0)</f>
        <v>1</v>
      </c>
      <c r="R14" s="46" t="n">
        <f aca="false">IF('Calendario Octubre 2026'!$J$26&lt;&gt;"",1,0)</f>
        <v>1</v>
      </c>
      <c r="S14" s="47" t="n">
        <f aca="false">IF('Calendario Octubre 2026'!$L$26&lt;&gt;"",1,0)</f>
        <v>1</v>
      </c>
      <c r="T14" s="47" t="n">
        <f aca="false">IF('Calendario Octubre 2026'!$N$26&lt;&gt;"",1,0)</f>
        <v>1</v>
      </c>
      <c r="U14" s="46" t="n">
        <f aca="false">IF('Calendario Octubre 2026'!$B$35&lt;&gt;"",1,0)</f>
        <v>1</v>
      </c>
      <c r="V14" s="46" t="n">
        <f aca="false">IF('Calendario Octubre 2026'!$D$35&lt;&gt;"",1,0)</f>
        <v>1</v>
      </c>
      <c r="W14" s="46" t="n">
        <f aca="false">IF('Calendario Octubre 2026'!$F$35&lt;&gt;"",1,0)</f>
        <v>1</v>
      </c>
      <c r="X14" s="46" t="n">
        <f aca="false">IF('Calendario Octubre 2026'!$H$35&lt;&gt;"",1,0)</f>
        <v>1</v>
      </c>
      <c r="Y14" s="46" t="n">
        <f aca="false">IF('Calendario Octubre 2026'!$J$35&lt;&gt;"",1,0)</f>
        <v>1</v>
      </c>
      <c r="Z14" s="47" t="n">
        <f aca="false">IF('Calendario Octubre 2026'!$L$35&lt;&gt;"",1,0)</f>
        <v>1</v>
      </c>
      <c r="AA14" s="47" t="n">
        <f aca="false">IF('Calendario Octubre 2026'!$N$35&lt;&gt;"",1,0)</f>
        <v>1</v>
      </c>
      <c r="AB14" s="46" t="n">
        <f aca="false">IF('Calendario Octubre 2026'!$B$44&lt;&gt;"",1,0)</f>
        <v>1</v>
      </c>
      <c r="AC14" s="46" t="n">
        <f aca="false">IF('Calendario Octubre 2026'!$D$44&lt;&gt;"",1,0)</f>
        <v>1</v>
      </c>
      <c r="AD14" s="46" t="n">
        <f aca="false">IF('Calendario Octubre 2026'!$F$44&lt;&gt;"",1,0)</f>
        <v>1</v>
      </c>
      <c r="AE14" s="46" t="n">
        <f aca="false">IF('Calendario Octubre 2026'!$H$44&lt;&gt;"",1,0)</f>
        <v>1</v>
      </c>
      <c r="AF14" s="46" t="n">
        <f aca="false">IF('Calendario Octubre 2026'!$J$44&lt;&gt;"",1,0)</f>
        <v>1</v>
      </c>
      <c r="AG14" s="47" t="n">
        <f aca="false">IF('Calendario Octubre 2026'!$L$44&lt;&gt;"",1,0)</f>
        <v>1</v>
      </c>
      <c r="AH14" s="47" t="n">
        <f aca="false">IF('Calendario Octubre 2026'!$N$44&lt;&gt;"",1,0)</f>
        <v>1</v>
      </c>
      <c r="AI14" s="46" t="n">
        <f aca="false">IF('Calendario Octubre 2026'!$B$53&lt;&gt;"",1,0)</f>
        <v>1</v>
      </c>
    </row>
    <row r="15" customFormat="false" ht="16.5" hidden="false" customHeight="true" outlineLevel="0" collapsed="false">
      <c r="A15" s="49" t="s">
        <v>167</v>
      </c>
      <c r="B15" s="45" t="n">
        <f aca="false">SUM(C15:AI15)</f>
        <v>31</v>
      </c>
      <c r="C15" s="46" t="n">
        <f aca="false">IF('Calendario Octubre 2026'!$H$9&lt;&gt;"",1,0)</f>
        <v>1</v>
      </c>
      <c r="D15" s="46" t="n">
        <f aca="false">IF('Calendario Octubre 2026'!$J$9&lt;&gt;"",1,0)</f>
        <v>1</v>
      </c>
      <c r="E15" s="47" t="n">
        <f aca="false">IF('Calendario Octubre 2026'!$L$9&lt;&gt;"",1,0)</f>
        <v>1</v>
      </c>
      <c r="F15" s="47" t="n">
        <f aca="false">IF('Calendario Octubre 2026'!$N$9&lt;&gt;"",1,0)</f>
        <v>1</v>
      </c>
      <c r="G15" s="46" t="n">
        <f aca="false">IF('Calendario Octubre 2026'!$B$18&lt;&gt;"",1,0)</f>
        <v>1</v>
      </c>
      <c r="H15" s="46" t="n">
        <f aca="false">IF('Calendario Octubre 2026'!$D$18&lt;&gt;"",1,0)</f>
        <v>1</v>
      </c>
      <c r="I15" s="46" t="n">
        <f aca="false">IF('Calendario Octubre 2026'!$F$18&lt;&gt;"",1,0)</f>
        <v>1</v>
      </c>
      <c r="J15" s="46" t="n">
        <f aca="false">IF('Calendario Octubre 2026'!$H$18&lt;&gt;"",1,0)</f>
        <v>1</v>
      </c>
      <c r="K15" s="46" t="n">
        <f aca="false">IF('Calendario Octubre 2026'!$J$18&lt;&gt;"",1,0)</f>
        <v>0</v>
      </c>
      <c r="L15" s="47" t="n">
        <f aca="false">IF('Calendario Octubre 2026'!$L$18&lt;&gt;"",1,0)</f>
        <v>1</v>
      </c>
      <c r="M15" s="47" t="n">
        <f aca="false">IF('Calendario Octubre 2026'!$N$18&lt;&gt;"",1,0)</f>
        <v>0</v>
      </c>
      <c r="N15" s="46" t="n">
        <f aca="false">IF('Calendario Octubre 2026'!$B$27&lt;&gt;"",1,0)</f>
        <v>1</v>
      </c>
      <c r="O15" s="46" t="n">
        <f aca="false">IF('Calendario Octubre 2026'!$D$27&lt;&gt;"",1,0)</f>
        <v>1</v>
      </c>
      <c r="P15" s="46" t="n">
        <f aca="false">IF('Calendario Octubre 2026'!$F$27&lt;&gt;"",1,0)</f>
        <v>1</v>
      </c>
      <c r="Q15" s="46" t="n">
        <f aca="false">IF('Calendario Octubre 2026'!$H$27&lt;&gt;"",1,0)</f>
        <v>1</v>
      </c>
      <c r="R15" s="46" t="n">
        <f aca="false">IF('Calendario Octubre 2026'!$J$27&lt;&gt;"",1,0)</f>
        <v>1</v>
      </c>
      <c r="S15" s="47" t="n">
        <f aca="false">IF('Calendario Octubre 2026'!$L$27&lt;&gt;"",1,0)</f>
        <v>1</v>
      </c>
      <c r="T15" s="47" t="n">
        <f aca="false">IF('Calendario Octubre 2026'!$N$27&lt;&gt;"",1,0)</f>
        <v>1</v>
      </c>
      <c r="U15" s="46" t="n">
        <f aca="false">IF('Calendario Octubre 2026'!$B$36&lt;&gt;"",1,0)</f>
        <v>1</v>
      </c>
      <c r="V15" s="46" t="n">
        <f aca="false">IF('Calendario Octubre 2026'!$D$36&lt;&gt;"",1,0)</f>
        <v>1</v>
      </c>
      <c r="W15" s="46" t="n">
        <f aca="false">IF('Calendario Octubre 2026'!$F$36&lt;&gt;"",1,0)</f>
        <v>1</v>
      </c>
      <c r="X15" s="46" t="n">
        <f aca="false">IF('Calendario Octubre 2026'!$H$36&lt;&gt;"",1,0)</f>
        <v>1</v>
      </c>
      <c r="Y15" s="46" t="n">
        <f aca="false">IF('Calendario Octubre 2026'!$J$36&lt;&gt;"",1,0)</f>
        <v>1</v>
      </c>
      <c r="Z15" s="47" t="n">
        <f aca="false">IF('Calendario Octubre 2026'!$L$36&lt;&gt;"",1,0)</f>
        <v>1</v>
      </c>
      <c r="AA15" s="47" t="n">
        <f aca="false">IF('Calendario Octubre 2026'!$N$36&lt;&gt;"",1,0)</f>
        <v>1</v>
      </c>
      <c r="AB15" s="46" t="n">
        <f aca="false">IF('Calendario Octubre 2026'!$B$45&lt;&gt;"",1,0)</f>
        <v>1</v>
      </c>
      <c r="AC15" s="46" t="n">
        <f aca="false">IF('Calendario Octubre 2026'!$D$45&lt;&gt;"",1,0)</f>
        <v>1</v>
      </c>
      <c r="AD15" s="46" t="n">
        <f aca="false">IF('Calendario Octubre 2026'!$F$45&lt;&gt;"",1,0)</f>
        <v>1</v>
      </c>
      <c r="AE15" s="46" t="n">
        <f aca="false">IF('Calendario Octubre 2026'!$H$45&lt;&gt;"",1,0)</f>
        <v>1</v>
      </c>
      <c r="AF15" s="46" t="n">
        <f aca="false">IF('Calendario Octubre 2026'!$J$45&lt;&gt;"",1,0)</f>
        <v>1</v>
      </c>
      <c r="AG15" s="47" t="n">
        <f aca="false">IF('Calendario Octubre 2026'!$L$45&lt;&gt;"",1,0)</f>
        <v>1</v>
      </c>
      <c r="AH15" s="47" t="n">
        <f aca="false">IF('Calendario Octubre 2026'!$N$45&lt;&gt;"",1,0)</f>
        <v>1</v>
      </c>
      <c r="AI15" s="46" t="n">
        <f aca="false">IF('Calendario Octubre 2026'!$B$54&lt;&gt;"",1,0)</f>
        <v>1</v>
      </c>
    </row>
    <row r="16" customFormat="false" ht="16.5" hidden="false" customHeight="true" outlineLevel="0" collapsed="false">
      <c r="A16" s="50" t="s">
        <v>168</v>
      </c>
      <c r="B16" s="45" t="n">
        <f aca="false">SUM(C16:AI16)</f>
        <v>66</v>
      </c>
      <c r="C16" s="46" t="n">
        <f aca="false">IF('Calendario Octubre 2026'!$H$10&lt;&gt;"",1,0)+IF('Calendario Octubre 2026'!$H$11&lt;&gt;"",1,0)</f>
        <v>2</v>
      </c>
      <c r="D16" s="46" t="n">
        <f aca="false">IF('Calendario Octubre 2026'!$J$10&lt;&gt;"",1,0)+IF('Calendario Octubre 2026'!$J$11&lt;&gt;"",1,0)</f>
        <v>2</v>
      </c>
      <c r="E16" s="47" t="n">
        <f aca="false">IF('Calendario Octubre 2026'!$L$10&lt;&gt;"",1,0)+IF('Calendario Octubre 2026'!$L$11&lt;&gt;"",1,0)</f>
        <v>2</v>
      </c>
      <c r="F16" s="47" t="n">
        <f aca="false">IF('Calendario Octubre 2026'!$N$10&lt;&gt;"",1,0)+IF('Calendario Octubre 2026'!$N$11&lt;&gt;"",1,0)</f>
        <v>2</v>
      </c>
      <c r="G16" s="46" t="n">
        <f aca="false">IF('Calendario Octubre 2026'!$B$19&lt;&gt;"",1,0)+IF('Calendario Octubre 2026'!$B$20&lt;&gt;"",1,0)</f>
        <v>2</v>
      </c>
      <c r="H16" s="46" t="n">
        <f aca="false">IF('Calendario Octubre 2026'!$D$19&lt;&gt;"",1,0)+IF('Calendario Octubre 2026'!$D$20&lt;&gt;"",1,0)</f>
        <v>2</v>
      </c>
      <c r="I16" s="46" t="n">
        <f aca="false">IF('Calendario Octubre 2026'!$F$19&lt;&gt;"",1,0)+IF('Calendario Octubre 2026'!$F$20&lt;&gt;"",1,0)</f>
        <v>2</v>
      </c>
      <c r="J16" s="46" t="n">
        <f aca="false">IF('Calendario Octubre 2026'!$H$19&lt;&gt;"",1,0)+IF('Calendario Octubre 2026'!$H$20&lt;&gt;"",1,0)</f>
        <v>2</v>
      </c>
      <c r="K16" s="46" t="n">
        <f aca="false">IF('Calendario Octubre 2026'!$J$19&lt;&gt;"",1,0)+IF('Calendario Octubre 2026'!$J$20&lt;&gt;"",1,0)</f>
        <v>2</v>
      </c>
      <c r="L16" s="47" t="n">
        <f aca="false">IF('Calendario Octubre 2026'!$L$19&lt;&gt;"",1,0)+IF('Calendario Octubre 2026'!$L$20&lt;&gt;"",1,0)</f>
        <v>2</v>
      </c>
      <c r="M16" s="47" t="n">
        <f aca="false">IF('Calendario Octubre 2026'!$N$19&lt;&gt;"",1,0)+IF('Calendario Octubre 2026'!$N$20&lt;&gt;"",1,0)</f>
        <v>2</v>
      </c>
      <c r="N16" s="46" t="n">
        <f aca="false">IF('Calendario Octubre 2026'!$B$28&lt;&gt;"",1,0)+IF('Calendario Octubre 2026'!$B$29&lt;&gt;"",1,0)</f>
        <v>2</v>
      </c>
      <c r="O16" s="46" t="n">
        <f aca="false">IF('Calendario Octubre 2026'!$D$28&lt;&gt;"",1,0)+IF('Calendario Octubre 2026'!$D$29&lt;&gt;"",1,0)</f>
        <v>2</v>
      </c>
      <c r="P16" s="46" t="n">
        <f aca="false">IF('Calendario Octubre 2026'!$F$28&lt;&gt;"",1,0)+IF('Calendario Octubre 2026'!$F$29&lt;&gt;"",1,0)</f>
        <v>2</v>
      </c>
      <c r="Q16" s="46" t="n">
        <f aca="false">IF('Calendario Octubre 2026'!$H$28&lt;&gt;"",1,0)+IF('Calendario Octubre 2026'!$H$29&lt;&gt;"",1,0)</f>
        <v>2</v>
      </c>
      <c r="R16" s="46" t="n">
        <f aca="false">IF('Calendario Octubre 2026'!$J$28&lt;&gt;"",1,0)+IF('Calendario Octubre 2026'!$J$29&lt;&gt;"",1,0)</f>
        <v>2</v>
      </c>
      <c r="S16" s="47" t="n">
        <f aca="false">IF('Calendario Octubre 2026'!$L$28&lt;&gt;"",1,0)+IF('Calendario Octubre 2026'!$L$29&lt;&gt;"",1,0)</f>
        <v>2</v>
      </c>
      <c r="T16" s="47" t="n">
        <f aca="false">IF('Calendario Octubre 2026'!$N$28&lt;&gt;"",1,0)+IF('Calendario Octubre 2026'!$N$29&lt;&gt;"",1,0)</f>
        <v>2</v>
      </c>
      <c r="U16" s="46" t="n">
        <f aca="false">IF('Calendario Octubre 2026'!$B$37&lt;&gt;"",1,0)+IF('Calendario Octubre 2026'!$B$38&lt;&gt;"",1,0)</f>
        <v>2</v>
      </c>
      <c r="V16" s="46" t="n">
        <f aca="false">IF('Calendario Octubre 2026'!$D$37&lt;&gt;"",1,0)+IF('Calendario Octubre 2026'!$D$38&lt;&gt;"",1,0)</f>
        <v>2</v>
      </c>
      <c r="W16" s="46" t="n">
        <f aca="false">IF('Calendario Octubre 2026'!$F$37&lt;&gt;"",1,0)+IF('Calendario Octubre 2026'!$F$38&lt;&gt;"",1,0)</f>
        <v>2</v>
      </c>
      <c r="X16" s="46" t="n">
        <f aca="false">IF('Calendario Octubre 2026'!$H$37&lt;&gt;"",1,0)+IF('Calendario Octubre 2026'!$H$38&lt;&gt;"",1,0)</f>
        <v>2</v>
      </c>
      <c r="Y16" s="46" t="n">
        <f aca="false">IF('Calendario Octubre 2026'!$J$37&lt;&gt;"",1,0)+IF('Calendario Octubre 2026'!$J$38&lt;&gt;"",1,0)</f>
        <v>2</v>
      </c>
      <c r="Z16" s="47" t="n">
        <f aca="false">IF('Calendario Octubre 2026'!$L$37&lt;&gt;"",1,0)+IF('Calendario Octubre 2026'!$L$38&lt;&gt;"",1,0)</f>
        <v>2</v>
      </c>
      <c r="AA16" s="47" t="n">
        <f aca="false">IF('Calendario Octubre 2026'!$N$37&lt;&gt;"",1,0)+IF('Calendario Octubre 2026'!$N$38&lt;&gt;"",1,0)</f>
        <v>2</v>
      </c>
      <c r="AB16" s="46" t="n">
        <f aca="false">IF('Calendario Octubre 2026'!$B$46&lt;&gt;"",1,0)+IF('Calendario Octubre 2026'!$B$47&lt;&gt;"",1,0)</f>
        <v>2</v>
      </c>
      <c r="AC16" s="46" t="n">
        <f aca="false">IF('Calendario Octubre 2026'!$D$46&lt;&gt;"",1,0)+IF('Calendario Octubre 2026'!$D$47&lt;&gt;"",1,0)</f>
        <v>2</v>
      </c>
      <c r="AD16" s="46" t="n">
        <f aca="false">IF('Calendario Octubre 2026'!$F$46&lt;&gt;"",1,0)+IF('Calendario Octubre 2026'!$F$47&lt;&gt;"",1,0)</f>
        <v>2</v>
      </c>
      <c r="AE16" s="46" t="n">
        <f aca="false">IF('Calendario Octubre 2026'!$H$46&lt;&gt;"",1,0)+IF('Calendario Octubre 2026'!$H$47&lt;&gt;"",1,0)</f>
        <v>2</v>
      </c>
      <c r="AF16" s="46" t="n">
        <f aca="false">IF('Calendario Octubre 2026'!$J$46&lt;&gt;"",1,0)+IF('Calendario Octubre 2026'!$J$47&lt;&gt;"",1,0)</f>
        <v>2</v>
      </c>
      <c r="AG16" s="47" t="n">
        <f aca="false">IF('Calendario Octubre 2026'!$L$46&lt;&gt;"",1,0)+IF('Calendario Octubre 2026'!$L$47&lt;&gt;"",1,0)</f>
        <v>2</v>
      </c>
      <c r="AH16" s="47" t="n">
        <f aca="false">IF('Calendario Octubre 2026'!$N$46&lt;&gt;"",1,0)+IF('Calendario Octubre 2026'!$N$47&lt;&gt;"",1,0)</f>
        <v>2</v>
      </c>
      <c r="AI16" s="46" t="n">
        <f aca="false">IF('Calendario Octubre 2026'!$B$55&lt;&gt;"",1,0)+IF('Calendario Octubre 2026'!$B$56&lt;&gt;"",1,0)</f>
        <v>2</v>
      </c>
    </row>
    <row r="17" customFormat="false" ht="18.75" hidden="false" customHeight="true" outlineLevel="0" collapsed="false">
      <c r="A17" s="51" t="s">
        <v>131</v>
      </c>
      <c r="B17" s="52" t="n">
        <f aca="false">SUM(C17:AI17)</f>
        <v>163</v>
      </c>
      <c r="C17" s="53" t="n">
        <f aca="false">SUM(C13:C16)</f>
        <v>5</v>
      </c>
      <c r="D17" s="53" t="n">
        <f aca="false">SUM(D13:D16)</f>
        <v>5</v>
      </c>
      <c r="E17" s="53" t="n">
        <f aca="false">SUM(E13:E16)</f>
        <v>5</v>
      </c>
      <c r="F17" s="53" t="n">
        <f aca="false">SUM(F13:F16)</f>
        <v>5</v>
      </c>
      <c r="G17" s="53" t="n">
        <f aca="false">SUM(G13:G16)</f>
        <v>5</v>
      </c>
      <c r="H17" s="53" t="n">
        <f aca="false">SUM(H13:H16)</f>
        <v>5</v>
      </c>
      <c r="I17" s="53" t="n">
        <f aca="false">SUM(I13:I16)</f>
        <v>5</v>
      </c>
      <c r="J17" s="53" t="n">
        <f aca="false">SUM(J13:J16)</f>
        <v>5</v>
      </c>
      <c r="K17" s="53" t="n">
        <f aca="false">SUM(K13:K16)</f>
        <v>4</v>
      </c>
      <c r="L17" s="53" t="n">
        <f aca="false">SUM(L13:L16)</f>
        <v>5</v>
      </c>
      <c r="M17" s="53" t="n">
        <f aca="false">SUM(M13:M16)</f>
        <v>4</v>
      </c>
      <c r="N17" s="53" t="n">
        <f aca="false">SUM(N13:N16)</f>
        <v>5</v>
      </c>
      <c r="O17" s="53" t="n">
        <f aca="false">SUM(O13:O16)</f>
        <v>5</v>
      </c>
      <c r="P17" s="53" t="n">
        <f aca="false">SUM(P13:P16)</f>
        <v>5</v>
      </c>
      <c r="Q17" s="53" t="n">
        <f aca="false">SUM(Q13:Q16)</f>
        <v>5</v>
      </c>
      <c r="R17" s="53" t="n">
        <f aca="false">SUM(R13:R16)</f>
        <v>5</v>
      </c>
      <c r="S17" s="53" t="n">
        <f aca="false">SUM(S13:S16)</f>
        <v>5</v>
      </c>
      <c r="T17" s="53" t="n">
        <f aca="false">SUM(T13:T16)</f>
        <v>5</v>
      </c>
      <c r="U17" s="53" t="n">
        <f aca="false">SUM(U13:U16)</f>
        <v>5</v>
      </c>
      <c r="V17" s="53" t="n">
        <f aca="false">SUM(V13:V16)</f>
        <v>5</v>
      </c>
      <c r="W17" s="53" t="n">
        <f aca="false">SUM(W13:W16)</f>
        <v>5</v>
      </c>
      <c r="X17" s="53" t="n">
        <f aca="false">SUM(X13:X16)</f>
        <v>5</v>
      </c>
      <c r="Y17" s="53" t="n">
        <f aca="false">SUM(Y13:Y16)</f>
        <v>5</v>
      </c>
      <c r="Z17" s="53" t="n">
        <f aca="false">SUM(Z13:Z16)</f>
        <v>5</v>
      </c>
      <c r="AA17" s="53" t="n">
        <f aca="false">SUM(AA13:AA16)</f>
        <v>5</v>
      </c>
      <c r="AB17" s="53" t="n">
        <f aca="false">SUM(AB13:AB16)</f>
        <v>5</v>
      </c>
      <c r="AC17" s="53" t="n">
        <f aca="false">SUM(AC13:AC16)</f>
        <v>5</v>
      </c>
      <c r="AD17" s="53" t="n">
        <f aca="false">SUM(AD13:AD16)</f>
        <v>5</v>
      </c>
      <c r="AE17" s="53" t="n">
        <f aca="false">SUM(AE13:AE16)</f>
        <v>5</v>
      </c>
      <c r="AF17" s="53" t="n">
        <f aca="false">SUM(AF13:AF16)</f>
        <v>5</v>
      </c>
      <c r="AG17" s="53" t="n">
        <f aca="false">SUM(AG13:AG16)</f>
        <v>5</v>
      </c>
      <c r="AH17" s="53" t="n">
        <f aca="false">SUM(AH13:AH16)</f>
        <v>5</v>
      </c>
      <c r="AI17" s="53" t="n">
        <f aca="false">SUM(AI13:AI16)</f>
        <v>5</v>
      </c>
    </row>
    <row r="19" customFormat="false" ht="19.5" hidden="false" customHeight="true" outlineLevel="0" collapsed="false">
      <c r="A19" s="38" t="s">
        <v>170</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row>
    <row r="20" customFormat="false" ht="18" hidden="false" customHeight="true" outlineLevel="0" collapsed="false">
      <c r="A20" s="39" t="s">
        <v>130</v>
      </c>
      <c r="B20" s="40" t="s">
        <v>131</v>
      </c>
      <c r="C20" s="41" t="s">
        <v>132</v>
      </c>
      <c r="D20" s="41" t="s">
        <v>133</v>
      </c>
      <c r="E20" s="42" t="s">
        <v>134</v>
      </c>
      <c r="F20" s="42" t="s">
        <v>135</v>
      </c>
      <c r="G20" s="41" t="s">
        <v>136</v>
      </c>
      <c r="H20" s="41" t="s">
        <v>137</v>
      </c>
      <c r="I20" s="41" t="s">
        <v>138</v>
      </c>
      <c r="J20" s="41" t="s">
        <v>139</v>
      </c>
      <c r="K20" s="41" t="s">
        <v>140</v>
      </c>
      <c r="L20" s="42" t="s">
        <v>141</v>
      </c>
      <c r="M20" s="42" t="s">
        <v>142</v>
      </c>
      <c r="N20" s="43" t="s">
        <v>143</v>
      </c>
      <c r="O20" s="41" t="s">
        <v>144</v>
      </c>
      <c r="P20" s="41" t="s">
        <v>145</v>
      </c>
      <c r="Q20" s="41" t="s">
        <v>146</v>
      </c>
      <c r="R20" s="41" t="s">
        <v>147</v>
      </c>
      <c r="S20" s="42" t="s">
        <v>148</v>
      </c>
      <c r="T20" s="42" t="s">
        <v>149</v>
      </c>
      <c r="U20" s="41" t="s">
        <v>150</v>
      </c>
      <c r="V20" s="41" t="s">
        <v>151</v>
      </c>
      <c r="W20" s="41" t="s">
        <v>152</v>
      </c>
      <c r="X20" s="41" t="s">
        <v>153</v>
      </c>
      <c r="Y20" s="41" t="s">
        <v>154</v>
      </c>
      <c r="Z20" s="42" t="s">
        <v>155</v>
      </c>
      <c r="AA20" s="42" t="s">
        <v>156</v>
      </c>
      <c r="AB20" s="41" t="s">
        <v>157</v>
      </c>
      <c r="AC20" s="41" t="s">
        <v>158</v>
      </c>
      <c r="AD20" s="41" t="s">
        <v>159</v>
      </c>
      <c r="AE20" s="41" t="s">
        <v>160</v>
      </c>
      <c r="AF20" s="41" t="s">
        <v>161</v>
      </c>
      <c r="AG20" s="42" t="s">
        <v>162</v>
      </c>
      <c r="AH20" s="43" t="s">
        <v>163</v>
      </c>
      <c r="AI20" s="43" t="s">
        <v>164</v>
      </c>
    </row>
    <row r="21" customFormat="false" ht="16.5" hidden="false" customHeight="true" outlineLevel="0" collapsed="false">
      <c r="A21" s="44" t="s">
        <v>165</v>
      </c>
      <c r="B21" s="45" t="n">
        <f aca="false">SUM(C21:AI21)</f>
        <v>0</v>
      </c>
      <c r="C21" s="46" t="n">
        <f aca="false">C5-C13</f>
        <v>0</v>
      </c>
      <c r="D21" s="46" t="n">
        <f aca="false">D5-D13</f>
        <v>0</v>
      </c>
      <c r="E21" s="47" t="n">
        <f aca="false">E5-E13</f>
        <v>0</v>
      </c>
      <c r="F21" s="47" t="n">
        <f aca="false">F5-F13</f>
        <v>0</v>
      </c>
      <c r="G21" s="46" t="n">
        <f aca="false">G5-G13</f>
        <v>0</v>
      </c>
      <c r="H21" s="46" t="n">
        <f aca="false">H5-H13</f>
        <v>0</v>
      </c>
      <c r="I21" s="46" t="n">
        <f aca="false">I5-I13</f>
        <v>0</v>
      </c>
      <c r="J21" s="46" t="n">
        <f aca="false">J5-J13</f>
        <v>0</v>
      </c>
      <c r="K21" s="46" t="n">
        <f aca="false">K5-K13</f>
        <v>0</v>
      </c>
      <c r="L21" s="47" t="n">
        <f aca="false">L5-L13</f>
        <v>0</v>
      </c>
      <c r="M21" s="47" t="n">
        <f aca="false">M5-M13</f>
        <v>0</v>
      </c>
      <c r="N21" s="46" t="n">
        <f aca="false">N5-N13</f>
        <v>0</v>
      </c>
      <c r="O21" s="46" t="n">
        <f aca="false">O5-O13</f>
        <v>0</v>
      </c>
      <c r="P21" s="46" t="n">
        <f aca="false">P5-P13</f>
        <v>0</v>
      </c>
      <c r="Q21" s="46" t="n">
        <f aca="false">Q5-Q13</f>
        <v>0</v>
      </c>
      <c r="R21" s="46" t="n">
        <f aca="false">R5-R13</f>
        <v>0</v>
      </c>
      <c r="S21" s="47" t="n">
        <f aca="false">S5-S13</f>
        <v>0</v>
      </c>
      <c r="T21" s="47" t="n">
        <f aca="false">T5-T13</f>
        <v>0</v>
      </c>
      <c r="U21" s="46" t="n">
        <f aca="false">U5-U13</f>
        <v>0</v>
      </c>
      <c r="V21" s="46" t="n">
        <f aca="false">V5-V13</f>
        <v>0</v>
      </c>
      <c r="W21" s="46" t="n">
        <f aca="false">W5-W13</f>
        <v>0</v>
      </c>
      <c r="X21" s="46" t="n">
        <f aca="false">X5-X13</f>
        <v>0</v>
      </c>
      <c r="Y21" s="46" t="n">
        <f aca="false">Y5-Y13</f>
        <v>0</v>
      </c>
      <c r="Z21" s="47" t="n">
        <f aca="false">Z5-Z13</f>
        <v>0</v>
      </c>
      <c r="AA21" s="47" t="n">
        <f aca="false">AA5-AA13</f>
        <v>0</v>
      </c>
      <c r="AB21" s="46" t="n">
        <f aca="false">AB5-AB13</f>
        <v>0</v>
      </c>
      <c r="AC21" s="46" t="n">
        <f aca="false">AC5-AC13</f>
        <v>0</v>
      </c>
      <c r="AD21" s="46" t="n">
        <f aca="false">AD5-AD13</f>
        <v>0</v>
      </c>
      <c r="AE21" s="46" t="n">
        <f aca="false">AE5-AE13</f>
        <v>0</v>
      </c>
      <c r="AF21" s="46" t="n">
        <f aca="false">AF5-AF13</f>
        <v>0</v>
      </c>
      <c r="AG21" s="47" t="n">
        <f aca="false">AG5-AG13</f>
        <v>0</v>
      </c>
      <c r="AH21" s="47" t="n">
        <f aca="false">AH5-AH13</f>
        <v>0</v>
      </c>
      <c r="AI21" s="46" t="n">
        <f aca="false">AI5-AI13</f>
        <v>0</v>
      </c>
    </row>
    <row r="22" customFormat="false" ht="16.5" hidden="false" customHeight="true" outlineLevel="0" collapsed="false">
      <c r="A22" s="48" t="s">
        <v>166</v>
      </c>
      <c r="B22" s="45" t="n">
        <f aca="false">SUM(C22:AI22)</f>
        <v>0</v>
      </c>
      <c r="C22" s="46" t="n">
        <f aca="false">C6-C14</f>
        <v>0</v>
      </c>
      <c r="D22" s="46" t="n">
        <f aca="false">D6-D14</f>
        <v>0</v>
      </c>
      <c r="E22" s="47" t="n">
        <f aca="false">E6-E14</f>
        <v>0</v>
      </c>
      <c r="F22" s="47" t="n">
        <f aca="false">F6-F14</f>
        <v>0</v>
      </c>
      <c r="G22" s="46" t="n">
        <f aca="false">G6-G14</f>
        <v>0</v>
      </c>
      <c r="H22" s="46" t="n">
        <f aca="false">H6-H14</f>
        <v>0</v>
      </c>
      <c r="I22" s="46" t="n">
        <f aca="false">I6-I14</f>
        <v>0</v>
      </c>
      <c r="J22" s="46" t="n">
        <f aca="false">J6-J14</f>
        <v>0</v>
      </c>
      <c r="K22" s="46" t="n">
        <f aca="false">K6-K14</f>
        <v>0</v>
      </c>
      <c r="L22" s="47" t="n">
        <f aca="false">L6-L14</f>
        <v>0</v>
      </c>
      <c r="M22" s="47" t="n">
        <f aca="false">M6-M14</f>
        <v>0</v>
      </c>
      <c r="N22" s="46" t="n">
        <f aca="false">N6-N14</f>
        <v>0</v>
      </c>
      <c r="O22" s="46" t="n">
        <f aca="false">O6-O14</f>
        <v>0</v>
      </c>
      <c r="P22" s="46" t="n">
        <f aca="false">P6-P14</f>
        <v>0</v>
      </c>
      <c r="Q22" s="46" t="n">
        <f aca="false">Q6-Q14</f>
        <v>0</v>
      </c>
      <c r="R22" s="46" t="n">
        <f aca="false">R6-R14</f>
        <v>0</v>
      </c>
      <c r="S22" s="47" t="n">
        <f aca="false">S6-S14</f>
        <v>0</v>
      </c>
      <c r="T22" s="47" t="n">
        <f aca="false">T6-T14</f>
        <v>0</v>
      </c>
      <c r="U22" s="46" t="n">
        <f aca="false">U6-U14</f>
        <v>0</v>
      </c>
      <c r="V22" s="46" t="n">
        <f aca="false">V6-V14</f>
        <v>0</v>
      </c>
      <c r="W22" s="46" t="n">
        <f aca="false">W6-W14</f>
        <v>0</v>
      </c>
      <c r="X22" s="46" t="n">
        <f aca="false">X6-X14</f>
        <v>0</v>
      </c>
      <c r="Y22" s="46" t="n">
        <f aca="false">Y6-Y14</f>
        <v>0</v>
      </c>
      <c r="Z22" s="47" t="n">
        <f aca="false">Z6-Z14</f>
        <v>0</v>
      </c>
      <c r="AA22" s="47" t="n">
        <f aca="false">AA6-AA14</f>
        <v>0</v>
      </c>
      <c r="AB22" s="46" t="n">
        <f aca="false">AB6-AB14</f>
        <v>0</v>
      </c>
      <c r="AC22" s="46" t="n">
        <f aca="false">AC6-AC14</f>
        <v>0</v>
      </c>
      <c r="AD22" s="46" t="n">
        <f aca="false">AD6-AD14</f>
        <v>0</v>
      </c>
      <c r="AE22" s="46" t="n">
        <f aca="false">AE6-AE14</f>
        <v>0</v>
      </c>
      <c r="AF22" s="46" t="n">
        <f aca="false">AF6-AF14</f>
        <v>0</v>
      </c>
      <c r="AG22" s="47" t="n">
        <f aca="false">AG6-AG14</f>
        <v>0</v>
      </c>
      <c r="AH22" s="47" t="n">
        <f aca="false">AH6-AH14</f>
        <v>0</v>
      </c>
      <c r="AI22" s="46" t="n">
        <f aca="false">AI6-AI14</f>
        <v>0</v>
      </c>
    </row>
    <row r="23" customFormat="false" ht="16.5" hidden="false" customHeight="true" outlineLevel="0" collapsed="false">
      <c r="A23" s="49" t="s">
        <v>167</v>
      </c>
      <c r="B23" s="45" t="n">
        <f aca="false">SUM(C23:AI23)</f>
        <v>2</v>
      </c>
      <c r="C23" s="46" t="n">
        <f aca="false">C7-C15</f>
        <v>0</v>
      </c>
      <c r="D23" s="46" t="n">
        <f aca="false">D7-D15</f>
        <v>0</v>
      </c>
      <c r="E23" s="47" t="n">
        <f aca="false">E7-E15</f>
        <v>0</v>
      </c>
      <c r="F23" s="47" t="n">
        <f aca="false">F7-F15</f>
        <v>0</v>
      </c>
      <c r="G23" s="46" t="n">
        <f aca="false">G7-G15</f>
        <v>0</v>
      </c>
      <c r="H23" s="46" t="n">
        <f aca="false">H7-H15</f>
        <v>0</v>
      </c>
      <c r="I23" s="46" t="n">
        <f aca="false">I7-I15</f>
        <v>0</v>
      </c>
      <c r="J23" s="46" t="n">
        <f aca="false">J7-J15</f>
        <v>0</v>
      </c>
      <c r="K23" s="46" t="n">
        <f aca="false">K7-K15</f>
        <v>1</v>
      </c>
      <c r="L23" s="47" t="n">
        <f aca="false">L7-L15</f>
        <v>0</v>
      </c>
      <c r="M23" s="47" t="n">
        <f aca="false">M7-M15</f>
        <v>1</v>
      </c>
      <c r="N23" s="46" t="n">
        <f aca="false">N7-N15</f>
        <v>0</v>
      </c>
      <c r="O23" s="46" t="n">
        <f aca="false">O7-O15</f>
        <v>0</v>
      </c>
      <c r="P23" s="46" t="n">
        <f aca="false">P7-P15</f>
        <v>0</v>
      </c>
      <c r="Q23" s="46" t="n">
        <f aca="false">Q7-Q15</f>
        <v>0</v>
      </c>
      <c r="R23" s="46" t="n">
        <f aca="false">R7-R15</f>
        <v>0</v>
      </c>
      <c r="S23" s="47" t="n">
        <f aca="false">S7-S15</f>
        <v>0</v>
      </c>
      <c r="T23" s="47" t="n">
        <f aca="false">T7-T15</f>
        <v>0</v>
      </c>
      <c r="U23" s="46" t="n">
        <f aca="false">U7-U15</f>
        <v>0</v>
      </c>
      <c r="V23" s="46" t="n">
        <f aca="false">V7-V15</f>
        <v>0</v>
      </c>
      <c r="W23" s="46" t="n">
        <f aca="false">W7-W15</f>
        <v>0</v>
      </c>
      <c r="X23" s="46" t="n">
        <f aca="false">X7-X15</f>
        <v>0</v>
      </c>
      <c r="Y23" s="46" t="n">
        <f aca="false">Y7-Y15</f>
        <v>0</v>
      </c>
      <c r="Z23" s="47" t="n">
        <f aca="false">Z7-Z15</f>
        <v>0</v>
      </c>
      <c r="AA23" s="47" t="n">
        <f aca="false">AA7-AA15</f>
        <v>0</v>
      </c>
      <c r="AB23" s="46" t="n">
        <f aca="false">AB7-AB15</f>
        <v>0</v>
      </c>
      <c r="AC23" s="46" t="n">
        <f aca="false">AC7-AC15</f>
        <v>0</v>
      </c>
      <c r="AD23" s="46" t="n">
        <f aca="false">AD7-AD15</f>
        <v>0</v>
      </c>
      <c r="AE23" s="46" t="n">
        <f aca="false">AE7-AE15</f>
        <v>0</v>
      </c>
      <c r="AF23" s="46" t="n">
        <f aca="false">AF7-AF15</f>
        <v>0</v>
      </c>
      <c r="AG23" s="47" t="n">
        <f aca="false">AG7-AG15</f>
        <v>0</v>
      </c>
      <c r="AH23" s="47" t="n">
        <f aca="false">AH7-AH15</f>
        <v>0</v>
      </c>
      <c r="AI23" s="46" t="n">
        <f aca="false">AI7-AI15</f>
        <v>0</v>
      </c>
    </row>
    <row r="24" customFormat="false" ht="16.5" hidden="false" customHeight="true" outlineLevel="0" collapsed="false">
      <c r="A24" s="50" t="s">
        <v>168</v>
      </c>
      <c r="B24" s="45" t="n">
        <f aca="false">SUM(C24:AI24)</f>
        <v>0</v>
      </c>
      <c r="C24" s="46" t="n">
        <f aca="false">C8-C16</f>
        <v>0</v>
      </c>
      <c r="D24" s="46" t="n">
        <f aca="false">D8-D16</f>
        <v>0</v>
      </c>
      <c r="E24" s="47" t="n">
        <f aca="false">E8-E16</f>
        <v>0</v>
      </c>
      <c r="F24" s="47" t="n">
        <f aca="false">F8-F16</f>
        <v>0</v>
      </c>
      <c r="G24" s="46" t="n">
        <f aca="false">G8-G16</f>
        <v>0</v>
      </c>
      <c r="H24" s="46" t="n">
        <f aca="false">H8-H16</f>
        <v>0</v>
      </c>
      <c r="I24" s="46" t="n">
        <f aca="false">I8-I16</f>
        <v>0</v>
      </c>
      <c r="J24" s="46" t="n">
        <f aca="false">J8-J16</f>
        <v>0</v>
      </c>
      <c r="K24" s="46" t="n">
        <f aca="false">K8-K16</f>
        <v>0</v>
      </c>
      <c r="L24" s="47" t="n">
        <f aca="false">L8-L16</f>
        <v>0</v>
      </c>
      <c r="M24" s="47" t="n">
        <f aca="false">M8-M16</f>
        <v>0</v>
      </c>
      <c r="N24" s="46" t="n">
        <f aca="false">N8-N16</f>
        <v>0</v>
      </c>
      <c r="O24" s="46" t="n">
        <f aca="false">O8-O16</f>
        <v>0</v>
      </c>
      <c r="P24" s="46" t="n">
        <f aca="false">P8-P16</f>
        <v>0</v>
      </c>
      <c r="Q24" s="46" t="n">
        <f aca="false">Q8-Q16</f>
        <v>0</v>
      </c>
      <c r="R24" s="46" t="n">
        <f aca="false">R8-R16</f>
        <v>0</v>
      </c>
      <c r="S24" s="47" t="n">
        <f aca="false">S8-S16</f>
        <v>0</v>
      </c>
      <c r="T24" s="47" t="n">
        <f aca="false">T8-T16</f>
        <v>0</v>
      </c>
      <c r="U24" s="46" t="n">
        <f aca="false">U8-U16</f>
        <v>0</v>
      </c>
      <c r="V24" s="46" t="n">
        <f aca="false">V8-V16</f>
        <v>0</v>
      </c>
      <c r="W24" s="46" t="n">
        <f aca="false">W8-W16</f>
        <v>0</v>
      </c>
      <c r="X24" s="46" t="n">
        <f aca="false">X8-X16</f>
        <v>0</v>
      </c>
      <c r="Y24" s="46" t="n">
        <f aca="false">Y8-Y16</f>
        <v>0</v>
      </c>
      <c r="Z24" s="47" t="n">
        <f aca="false">Z8-Z16</f>
        <v>0</v>
      </c>
      <c r="AA24" s="47" t="n">
        <f aca="false">AA8-AA16</f>
        <v>0</v>
      </c>
      <c r="AB24" s="46" t="n">
        <f aca="false">AB8-AB16</f>
        <v>0</v>
      </c>
      <c r="AC24" s="46" t="n">
        <f aca="false">AC8-AC16</f>
        <v>0</v>
      </c>
      <c r="AD24" s="46" t="n">
        <f aca="false">AD8-AD16</f>
        <v>0</v>
      </c>
      <c r="AE24" s="46" t="n">
        <f aca="false">AE8-AE16</f>
        <v>0</v>
      </c>
      <c r="AF24" s="46" t="n">
        <f aca="false">AF8-AF16</f>
        <v>0</v>
      </c>
      <c r="AG24" s="47" t="n">
        <f aca="false">AG8-AG16</f>
        <v>0</v>
      </c>
      <c r="AH24" s="47" t="n">
        <f aca="false">AH8-AH16</f>
        <v>0</v>
      </c>
      <c r="AI24" s="46" t="n">
        <f aca="false">AI8-AI16</f>
        <v>0</v>
      </c>
    </row>
    <row r="25" customFormat="false" ht="18.75" hidden="false" customHeight="true" outlineLevel="0" collapsed="false">
      <c r="A25" s="51" t="s">
        <v>131</v>
      </c>
      <c r="B25" s="52" t="n">
        <f aca="false">SUM(C25:AI25)</f>
        <v>2</v>
      </c>
      <c r="C25" s="53" t="n">
        <f aca="false">SUM(C21:C24)</f>
        <v>0</v>
      </c>
      <c r="D25" s="53" t="n">
        <f aca="false">SUM(D21:D24)</f>
        <v>0</v>
      </c>
      <c r="E25" s="53" t="n">
        <f aca="false">SUM(E21:E24)</f>
        <v>0</v>
      </c>
      <c r="F25" s="53" t="n">
        <f aca="false">SUM(F21:F24)</f>
        <v>0</v>
      </c>
      <c r="G25" s="53" t="n">
        <f aca="false">SUM(G21:G24)</f>
        <v>0</v>
      </c>
      <c r="H25" s="53" t="n">
        <f aca="false">SUM(H21:H24)</f>
        <v>0</v>
      </c>
      <c r="I25" s="53" t="n">
        <f aca="false">SUM(I21:I24)</f>
        <v>0</v>
      </c>
      <c r="J25" s="53" t="n">
        <f aca="false">SUM(J21:J24)</f>
        <v>0</v>
      </c>
      <c r="K25" s="53" t="n">
        <f aca="false">SUM(K21:K24)</f>
        <v>1</v>
      </c>
      <c r="L25" s="53" t="n">
        <f aca="false">SUM(L21:L24)</f>
        <v>0</v>
      </c>
      <c r="M25" s="53" t="n">
        <f aca="false">SUM(M21:M24)</f>
        <v>1</v>
      </c>
      <c r="N25" s="53" t="n">
        <f aca="false">SUM(N21:N24)</f>
        <v>0</v>
      </c>
      <c r="O25" s="53" t="n">
        <f aca="false">SUM(O21:O24)</f>
        <v>0</v>
      </c>
      <c r="P25" s="53" t="n">
        <f aca="false">SUM(P21:P24)</f>
        <v>0</v>
      </c>
      <c r="Q25" s="53" t="n">
        <f aca="false">SUM(Q21:Q24)</f>
        <v>0</v>
      </c>
      <c r="R25" s="53" t="n">
        <f aca="false">SUM(R21:R24)</f>
        <v>0</v>
      </c>
      <c r="S25" s="53" t="n">
        <f aca="false">SUM(S21:S24)</f>
        <v>0</v>
      </c>
      <c r="T25" s="53" t="n">
        <f aca="false">SUM(T21:T24)</f>
        <v>0</v>
      </c>
      <c r="U25" s="53" t="n">
        <f aca="false">SUM(U21:U24)</f>
        <v>0</v>
      </c>
      <c r="V25" s="53" t="n">
        <f aca="false">SUM(V21:V24)</f>
        <v>0</v>
      </c>
      <c r="W25" s="53" t="n">
        <f aca="false">SUM(W21:W24)</f>
        <v>0</v>
      </c>
      <c r="X25" s="53" t="n">
        <f aca="false">SUM(X21:X24)</f>
        <v>0</v>
      </c>
      <c r="Y25" s="53" t="n">
        <f aca="false">SUM(Y21:Y24)</f>
        <v>0</v>
      </c>
      <c r="Z25" s="53" t="n">
        <f aca="false">SUM(Z21:Z24)</f>
        <v>0</v>
      </c>
      <c r="AA25" s="53" t="n">
        <f aca="false">SUM(AA21:AA24)</f>
        <v>0</v>
      </c>
      <c r="AB25" s="53" t="n">
        <f aca="false">SUM(AB21:AB24)</f>
        <v>0</v>
      </c>
      <c r="AC25" s="53" t="n">
        <f aca="false">SUM(AC21:AC24)</f>
        <v>0</v>
      </c>
      <c r="AD25" s="53" t="n">
        <f aca="false">SUM(AD21:AD24)</f>
        <v>0</v>
      </c>
      <c r="AE25" s="53" t="n">
        <f aca="false">SUM(AE21:AE24)</f>
        <v>0</v>
      </c>
      <c r="AF25" s="53" t="n">
        <f aca="false">SUM(AF21:AF24)</f>
        <v>0</v>
      </c>
      <c r="AG25" s="53" t="n">
        <f aca="false">SUM(AG21:AG24)</f>
        <v>0</v>
      </c>
      <c r="AH25" s="53" t="n">
        <f aca="false">SUM(AH21:AH24)</f>
        <v>0</v>
      </c>
      <c r="AI25" s="53" t="n">
        <f aca="false">SUM(AI21:AI24)</f>
        <v>0</v>
      </c>
    </row>
    <row r="27" customFormat="false" ht="15" hidden="false" customHeight="true" outlineLevel="0" collapsed="false">
      <c r="A27" s="54" t="s">
        <v>171</v>
      </c>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row>
  </sheetData>
  <mergeCells count="5">
    <mergeCell ref="A1:AI1"/>
    <mergeCell ref="A3:AI3"/>
    <mergeCell ref="A11:AI11"/>
    <mergeCell ref="A19:AI19"/>
    <mergeCell ref="A27:A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E27" activeCellId="0" sqref="E27"/>
    </sheetView>
  </sheetViews>
  <sheetFormatPr defaultColWidth="8.83203125" defaultRowHeight="15" zeroHeight="false" outlineLevelRow="0" outlineLevelCol="0"/>
  <cols>
    <col collapsed="false" customWidth="true" hidden="false" outlineLevel="0" max="1" min="1" style="1" width="20"/>
    <col collapsed="false" customWidth="true" hidden="false" outlineLevel="0" max="2" min="2" style="1" width="8"/>
    <col collapsed="false" customWidth="true" hidden="false" outlineLevel="0" max="7" min="3" style="1" width="11"/>
    <col collapsed="false" customWidth="true" hidden="false" outlineLevel="0" max="11" min="8" style="1" width="7"/>
    <col collapsed="false" customWidth="true" hidden="false" outlineLevel="0" max="12" min="12" style="1" width="8"/>
    <col collapsed="false" customWidth="true" hidden="false" outlineLevel="0" max="20" min="13" style="1" width="6"/>
  </cols>
  <sheetData>
    <row r="1" customFormat="false" ht="15" hidden="false" customHeight="true" outlineLevel="0" collapsed="false">
      <c r="A1" s="55" t="s">
        <v>172</v>
      </c>
      <c r="B1" s="55"/>
      <c r="C1" s="55"/>
      <c r="D1" s="55"/>
      <c r="E1" s="55"/>
      <c r="F1" s="55"/>
      <c r="G1" s="55"/>
      <c r="H1" s="55" t="s">
        <v>173</v>
      </c>
      <c r="I1" s="55"/>
      <c r="J1" s="55"/>
      <c r="K1" s="55"/>
      <c r="L1" s="55"/>
      <c r="M1" s="55" t="s">
        <v>174</v>
      </c>
      <c r="N1" s="55"/>
      <c r="O1" s="55"/>
      <c r="P1" s="55"/>
      <c r="Q1" s="55"/>
      <c r="R1" s="55"/>
      <c r="S1" s="55"/>
      <c r="T1" s="55"/>
    </row>
    <row r="2" customFormat="false" ht="30" hidden="false" customHeight="true" outlineLevel="0" collapsed="false">
      <c r="A2" s="56" t="s">
        <v>175</v>
      </c>
      <c r="B2" s="56" t="s">
        <v>176</v>
      </c>
      <c r="C2" s="56" t="s">
        <v>177</v>
      </c>
      <c r="D2" s="56" t="s">
        <v>178</v>
      </c>
      <c r="E2" s="56" t="s">
        <v>179</v>
      </c>
      <c r="F2" s="56" t="s">
        <v>180</v>
      </c>
      <c r="G2" s="56" t="s">
        <v>181</v>
      </c>
      <c r="H2" s="56" t="s">
        <v>23</v>
      </c>
      <c r="I2" s="56" t="s">
        <v>165</v>
      </c>
      <c r="J2" s="56" t="s">
        <v>166</v>
      </c>
      <c r="K2" s="56" t="s">
        <v>182</v>
      </c>
      <c r="L2" s="56" t="s">
        <v>131</v>
      </c>
      <c r="M2" s="56" t="s">
        <v>183</v>
      </c>
      <c r="N2" s="56" t="s">
        <v>184</v>
      </c>
      <c r="O2" s="56" t="s">
        <v>185</v>
      </c>
      <c r="P2" s="56" t="s">
        <v>186</v>
      </c>
      <c r="Q2" s="56" t="s">
        <v>187</v>
      </c>
      <c r="R2" s="56" t="s">
        <v>188</v>
      </c>
      <c r="S2" s="56" t="s">
        <v>189</v>
      </c>
      <c r="T2" s="56" t="s">
        <v>190</v>
      </c>
    </row>
    <row r="3" customFormat="false" ht="15" hidden="false" customHeight="true" outlineLevel="0" collapsed="false">
      <c r="A3" s="57" t="s">
        <v>191</v>
      </c>
      <c r="B3" s="58" t="s">
        <v>192</v>
      </c>
      <c r="C3" s="59"/>
      <c r="D3" s="59"/>
      <c r="E3" s="59"/>
      <c r="F3" s="59"/>
      <c r="G3" s="60" t="s">
        <v>193</v>
      </c>
      <c r="H3" s="61" t="n">
        <f aca="false">COUNTIF('Calendario Octubre 2026'!$A$5:$N$58,"MAY-Rosario")</f>
        <v>0</v>
      </c>
      <c r="I3" s="61" t="n">
        <f aca="false">COUNTIF('Calendario Octubre 2026'!$A$5:$N$58,"TX-Rosario")</f>
        <v>0</v>
      </c>
      <c r="J3" s="61" t="n">
        <f aca="false">COUNTIF('Calendario Octubre 2026'!$A$5:$N$58,"UCQ-Rosario")</f>
        <v>0</v>
      </c>
      <c r="K3" s="61" t="n">
        <f aca="false">COUNTIF('Calendario Octubre 2026'!$A$5:$N$58,"PEQ-Rosario")</f>
        <v>4</v>
      </c>
      <c r="L3" s="62" t="n">
        <f aca="false">SUM(H3:K3)</f>
        <v>4</v>
      </c>
      <c r="M3" s="60" t="n">
        <f aca="false">COUNTIF('Calendario Octubre 2026'!$B$5:$B$58,"*-Rosario")</f>
        <v>1</v>
      </c>
      <c r="N3" s="60" t="n">
        <f aca="false">COUNTIF('Calendario Octubre 2026'!$D$5:$D$58,"*-Rosario")</f>
        <v>0</v>
      </c>
      <c r="O3" s="60" t="n">
        <f aca="false">COUNTIF('Calendario Octubre 2026'!$F$5:$F$58,"*-Rosario")</f>
        <v>0</v>
      </c>
      <c r="P3" s="60" t="n">
        <f aca="false">COUNTIF('Calendario Octubre 2026'!$H$5:$H$58,"*-Rosario")</f>
        <v>1</v>
      </c>
      <c r="Q3" s="60" t="n">
        <f aca="false">COUNTIF('Calendario Octubre 2026'!$J$5:$J$58,"*-Rosario")</f>
        <v>1</v>
      </c>
      <c r="R3" s="60" t="n">
        <f aca="false">COUNTIF('Calendario Octubre 2026'!$L$5:$L$58,"*-Rosario")</f>
        <v>0</v>
      </c>
      <c r="S3" s="60" t="n">
        <f aca="false">COUNTIF('Calendario Octubre 2026'!$N$5:$N$58,"*-Rosario")</f>
        <v>1</v>
      </c>
      <c r="T3" s="60" t="n">
        <f aca="false">COUNTIF('Calendario Octubre 2026'!$B$25:$B$29,"*-Rosario")+COUNTIF('Calendario Octubre 2026'!$N$43:$N$47,"*-Rosario")+COUNTIF('Calendario Octubre 2026'!$B$52:$B$56,"*-Rosario")</f>
        <v>0</v>
      </c>
    </row>
    <row r="4" customFormat="false" ht="15" hidden="false" customHeight="true" outlineLevel="0" collapsed="false">
      <c r="A4" s="63" t="s">
        <v>194</v>
      </c>
      <c r="B4" s="64" t="s">
        <v>195</v>
      </c>
      <c r="C4" s="59"/>
      <c r="D4" s="59"/>
      <c r="E4" s="59"/>
      <c r="F4" s="59"/>
      <c r="G4" s="65" t="s">
        <v>193</v>
      </c>
      <c r="H4" s="61" t="n">
        <f aca="false">COUNTIF('Calendario Octubre 2026'!$A$5:$N$58,"MAY-Cristina")</f>
        <v>0</v>
      </c>
      <c r="I4" s="61" t="n">
        <f aca="false">COUNTIF('Calendario Octubre 2026'!$A$5:$N$58,"TX-Cristina")</f>
        <v>0</v>
      </c>
      <c r="J4" s="61" t="n">
        <f aca="false">COUNTIF('Calendario Octubre 2026'!$A$5:$N$58,"UCQ-Cristina")</f>
        <v>0</v>
      </c>
      <c r="K4" s="61" t="n">
        <f aca="false">COUNTIF('Calendario Octubre 2026'!$A$5:$N$58,"PEQ-Cristina")</f>
        <v>5</v>
      </c>
      <c r="L4" s="62" t="n">
        <f aca="false">SUM(H4:K4)</f>
        <v>5</v>
      </c>
      <c r="M4" s="60" t="n">
        <f aca="false">COUNTIF('Calendario Octubre 2026'!$B$5:$B$58,"*-Cristina")</f>
        <v>1</v>
      </c>
      <c r="N4" s="60" t="n">
        <f aca="false">COUNTIF('Calendario Octubre 2026'!$D$5:$D$58,"*-Cristina")</f>
        <v>0</v>
      </c>
      <c r="O4" s="60" t="n">
        <f aca="false">COUNTIF('Calendario Octubre 2026'!$F$5:$F$58,"*-Cristina")</f>
        <v>2</v>
      </c>
      <c r="P4" s="60" t="n">
        <f aca="false">COUNTIF('Calendario Octubre 2026'!$H$5:$H$58,"*-Cristina")</f>
        <v>1</v>
      </c>
      <c r="Q4" s="60" t="n">
        <f aca="false">COUNTIF('Calendario Octubre 2026'!$J$5:$J$58,"*-Cristina")</f>
        <v>0</v>
      </c>
      <c r="R4" s="60" t="n">
        <f aca="false">COUNTIF('Calendario Octubre 2026'!$L$5:$L$58,"*-Cristina")</f>
        <v>1</v>
      </c>
      <c r="S4" s="60" t="n">
        <f aca="false">COUNTIF('Calendario Octubre 2026'!$N$5:$N$58,"*-Cristina")</f>
        <v>0</v>
      </c>
      <c r="T4" s="60" t="n">
        <f aca="false">COUNTIF('Calendario Octubre 2026'!$B$25:$B$29,"*-Cristina")+COUNTIF('Calendario Octubre 2026'!$N$43:$N$47,"*-Cristina")+COUNTIF('Calendario Octubre 2026'!$B$52:$B$56,"*-Cristina")</f>
        <v>1</v>
      </c>
    </row>
    <row r="5" customFormat="false" ht="15" hidden="false" customHeight="true" outlineLevel="0" collapsed="false">
      <c r="A5" s="57" t="s">
        <v>196</v>
      </c>
      <c r="B5" s="58" t="s">
        <v>197</v>
      </c>
      <c r="C5" s="59"/>
      <c r="D5" s="59"/>
      <c r="E5" s="59"/>
      <c r="F5" s="59"/>
      <c r="G5" s="60" t="s">
        <v>198</v>
      </c>
      <c r="H5" s="61" t="n">
        <f aca="false">COUNTIF('Calendario Octubre 2026'!$A$5:$N$58,"MAY-Miriam")</f>
        <v>0</v>
      </c>
      <c r="I5" s="61" t="n">
        <f aca="false">COUNTIF('Calendario Octubre 2026'!$A$5:$N$58,"TX-Miriam")</f>
        <v>0</v>
      </c>
      <c r="J5" s="61" t="n">
        <f aca="false">COUNTIF('Calendario Octubre 2026'!$A$5:$N$58,"UCQ-Miriam")</f>
        <v>0</v>
      </c>
      <c r="K5" s="61" t="n">
        <f aca="false">COUNTIF('Calendario Octubre 2026'!$A$5:$N$58,"PEQ-Miriam")</f>
        <v>5</v>
      </c>
      <c r="L5" s="62" t="n">
        <f aca="false">SUM(H5:K5)</f>
        <v>5</v>
      </c>
      <c r="M5" s="60" t="n">
        <f aca="false">COUNTIF('Calendario Octubre 2026'!$B$5:$B$58,"*-Miriam")</f>
        <v>1</v>
      </c>
      <c r="N5" s="60" t="n">
        <f aca="false">COUNTIF('Calendario Octubre 2026'!$D$5:$D$58,"*-Miriam")</f>
        <v>1</v>
      </c>
      <c r="O5" s="60" t="n">
        <f aca="false">COUNTIF('Calendario Octubre 2026'!$F$5:$F$58,"*-Miriam")</f>
        <v>0</v>
      </c>
      <c r="P5" s="60" t="n">
        <f aca="false">COUNTIF('Calendario Octubre 2026'!$H$5:$H$58,"*-Miriam")</f>
        <v>1</v>
      </c>
      <c r="Q5" s="60" t="n">
        <f aca="false">COUNTIF('Calendario Octubre 2026'!$J$5:$J$58,"*-Miriam")</f>
        <v>0</v>
      </c>
      <c r="R5" s="60" t="n">
        <f aca="false">COUNTIF('Calendario Octubre 2026'!$L$5:$L$58,"*-Miriam")</f>
        <v>2</v>
      </c>
      <c r="S5" s="60" t="n">
        <f aca="false">COUNTIF('Calendario Octubre 2026'!$N$5:$N$58,"*-Miriam")</f>
        <v>0</v>
      </c>
      <c r="T5" s="60" t="n">
        <f aca="false">COUNTIF('Calendario Octubre 2026'!$B$25:$B$29,"*-Miriam")+COUNTIF('Calendario Octubre 2026'!$N$43:$N$47,"*-Miriam")+COUNTIF('Calendario Octubre 2026'!$B$52:$B$56,"*-Miriam")</f>
        <v>0</v>
      </c>
    </row>
    <row r="6" customFormat="false" ht="15" hidden="false" customHeight="true" outlineLevel="0" collapsed="false">
      <c r="A6" s="63" t="s">
        <v>199</v>
      </c>
      <c r="B6" s="64" t="s">
        <v>200</v>
      </c>
      <c r="C6" s="59"/>
      <c r="D6" s="59"/>
      <c r="E6" s="59"/>
      <c r="F6" s="59"/>
      <c r="G6" s="65" t="s">
        <v>193</v>
      </c>
      <c r="H6" s="61" t="n">
        <f aca="false">COUNTIF('Calendario Octubre 2026'!$A$5:$N$58,"MAY-David")</f>
        <v>0</v>
      </c>
      <c r="I6" s="61" t="n">
        <f aca="false">COUNTIF('Calendario Octubre 2026'!$A$5:$N$58,"TX-David")</f>
        <v>0</v>
      </c>
      <c r="J6" s="61" t="n">
        <f aca="false">COUNTIF('Calendario Octubre 2026'!$A$5:$N$58,"UCQ-David")</f>
        <v>0</v>
      </c>
      <c r="K6" s="61" t="n">
        <f aca="false">COUNTIF('Calendario Octubre 2026'!$A$5:$N$58,"PEQ-David")</f>
        <v>5</v>
      </c>
      <c r="L6" s="62" t="n">
        <f aca="false">SUM(H6:K6)</f>
        <v>5</v>
      </c>
      <c r="M6" s="60" t="n">
        <f aca="false">COUNTIF('Calendario Octubre 2026'!$B$5:$B$58,"*-David")</f>
        <v>1</v>
      </c>
      <c r="N6" s="60" t="n">
        <f aca="false">COUNTIF('Calendario Octubre 2026'!$D$5:$D$58,"*-David")</f>
        <v>1</v>
      </c>
      <c r="O6" s="60" t="n">
        <f aca="false">COUNTIF('Calendario Octubre 2026'!$F$5:$F$58,"*-David")</f>
        <v>1</v>
      </c>
      <c r="P6" s="60" t="n">
        <f aca="false">COUNTIF('Calendario Octubre 2026'!$H$5:$H$58,"*-David")</f>
        <v>0</v>
      </c>
      <c r="Q6" s="60" t="n">
        <f aca="false">COUNTIF('Calendario Octubre 2026'!$J$5:$J$58,"*-David")</f>
        <v>0</v>
      </c>
      <c r="R6" s="60" t="n">
        <f aca="false">COUNTIF('Calendario Octubre 2026'!$L$5:$L$58,"*-David")</f>
        <v>2</v>
      </c>
      <c r="S6" s="60" t="n">
        <f aca="false">COUNTIF('Calendario Octubre 2026'!$N$5:$N$58,"*-David")</f>
        <v>0</v>
      </c>
      <c r="T6" s="60" t="n">
        <f aca="false">COUNTIF('Calendario Octubre 2026'!$B$25:$B$29,"*-David")+COUNTIF('Calendario Octubre 2026'!$N$43:$N$47,"*-David")+COUNTIF('Calendario Octubre 2026'!$B$52:$B$56,"*-David")</f>
        <v>0</v>
      </c>
    </row>
    <row r="7" customFormat="false" ht="15" hidden="false" customHeight="true" outlineLevel="0" collapsed="false">
      <c r="A7" s="57" t="s">
        <v>201</v>
      </c>
      <c r="B7" s="58" t="s">
        <v>202</v>
      </c>
      <c r="C7" s="59"/>
      <c r="D7" s="59"/>
      <c r="E7" s="59"/>
      <c r="F7" s="59"/>
      <c r="G7" s="60" t="s">
        <v>193</v>
      </c>
      <c r="H7" s="61" t="n">
        <f aca="false">COUNTIF('Calendario Octubre 2026'!$A$5:$N$58,"MAY-Mercedes")</f>
        <v>0</v>
      </c>
      <c r="I7" s="61" t="n">
        <f aca="false">COUNTIF('Calendario Octubre 2026'!$A$5:$N$58,"TX-Mercedes")</f>
        <v>0</v>
      </c>
      <c r="J7" s="61" t="n">
        <f aca="false">COUNTIF('Calendario Octubre 2026'!$A$5:$N$58,"UCQ-Mercedes")</f>
        <v>0</v>
      </c>
      <c r="K7" s="61" t="n">
        <f aca="false">COUNTIF('Calendario Octubre 2026'!$A$5:$N$58,"PEQ-Mercedes")</f>
        <v>5</v>
      </c>
      <c r="L7" s="62" t="n">
        <f aca="false">SUM(H7:K7)</f>
        <v>5</v>
      </c>
      <c r="M7" s="60" t="n">
        <f aca="false">COUNTIF('Calendario Octubre 2026'!$B$5:$B$58,"*-Mercedes")</f>
        <v>1</v>
      </c>
      <c r="N7" s="60" t="n">
        <f aca="false">COUNTIF('Calendario Octubre 2026'!$D$5:$D$58,"*-Mercedes")</f>
        <v>1</v>
      </c>
      <c r="O7" s="60" t="n">
        <f aca="false">COUNTIF('Calendario Octubre 2026'!$F$5:$F$58,"*-Mercedes")</f>
        <v>1</v>
      </c>
      <c r="P7" s="60" t="n">
        <f aca="false">COUNTIF('Calendario Octubre 2026'!$H$5:$H$58,"*-Mercedes")</f>
        <v>1</v>
      </c>
      <c r="Q7" s="60" t="n">
        <f aca="false">COUNTIF('Calendario Octubre 2026'!$J$5:$J$58,"*-Mercedes")</f>
        <v>0</v>
      </c>
      <c r="R7" s="60" t="n">
        <f aca="false">COUNTIF('Calendario Octubre 2026'!$L$5:$L$58,"*-Mercedes")</f>
        <v>1</v>
      </c>
      <c r="S7" s="60" t="n">
        <f aca="false">COUNTIF('Calendario Octubre 2026'!$N$5:$N$58,"*-Mercedes")</f>
        <v>0</v>
      </c>
      <c r="T7" s="60" t="n">
        <f aca="false">COUNTIF('Calendario Octubre 2026'!$B$25:$B$29,"*-Mercedes")+COUNTIF('Calendario Octubre 2026'!$N$43:$N$47,"*-Mercedes")+COUNTIF('Calendario Octubre 2026'!$B$52:$B$56,"*-Mercedes")</f>
        <v>1</v>
      </c>
    </row>
    <row r="8" customFormat="false" ht="15" hidden="false" customHeight="true" outlineLevel="0" collapsed="false">
      <c r="A8" s="63" t="s">
        <v>203</v>
      </c>
      <c r="B8" s="64" t="s">
        <v>204</v>
      </c>
      <c r="C8" s="59"/>
      <c r="D8" s="59"/>
      <c r="E8" s="59"/>
      <c r="F8" s="59"/>
      <c r="G8" s="65" t="s">
        <v>193</v>
      </c>
      <c r="H8" s="61" t="n">
        <f aca="false">COUNTIF('Calendario Octubre 2026'!$A$5:$N$58,"MAY-Arturo")</f>
        <v>0</v>
      </c>
      <c r="I8" s="61" t="n">
        <f aca="false">COUNTIF('Calendario Octubre 2026'!$A$5:$N$58,"TX-Arturo")</f>
        <v>0</v>
      </c>
      <c r="J8" s="61" t="n">
        <f aca="false">COUNTIF('Calendario Octubre 2026'!$A$5:$N$58,"UCQ-Arturo")</f>
        <v>0</v>
      </c>
      <c r="K8" s="61" t="n">
        <f aca="false">COUNTIF('Calendario Octubre 2026'!$A$5:$N$58,"PEQ-Arturo")</f>
        <v>5</v>
      </c>
      <c r="L8" s="62" t="n">
        <f aca="false">SUM(H8:K8)</f>
        <v>5</v>
      </c>
      <c r="M8" s="60" t="n">
        <f aca="false">COUNTIF('Calendario Octubre 2026'!$B$5:$B$58,"*-Arturo")</f>
        <v>0</v>
      </c>
      <c r="N8" s="60" t="n">
        <f aca="false">COUNTIF('Calendario Octubre 2026'!$D$5:$D$58,"*-Arturo")</f>
        <v>2</v>
      </c>
      <c r="O8" s="60" t="n">
        <f aca="false">COUNTIF('Calendario Octubre 2026'!$F$5:$F$58,"*-Arturo")</f>
        <v>0</v>
      </c>
      <c r="P8" s="60" t="n">
        <f aca="false">COUNTIF('Calendario Octubre 2026'!$H$5:$H$58,"*-Arturo")</f>
        <v>1</v>
      </c>
      <c r="Q8" s="60" t="n">
        <f aca="false">COUNTIF('Calendario Octubre 2026'!$J$5:$J$58,"*-Arturo")</f>
        <v>1</v>
      </c>
      <c r="R8" s="60" t="n">
        <f aca="false">COUNTIF('Calendario Octubre 2026'!$L$5:$L$58,"*-Arturo")</f>
        <v>0</v>
      </c>
      <c r="S8" s="60" t="n">
        <f aca="false">COUNTIF('Calendario Octubre 2026'!$N$5:$N$58,"*-Arturo")</f>
        <v>1</v>
      </c>
      <c r="T8" s="60" t="n">
        <f aca="false">COUNTIF('Calendario Octubre 2026'!$B$25:$B$29,"*-Arturo")+COUNTIF('Calendario Octubre 2026'!$N$43:$N$47,"*-Arturo")+COUNTIF('Calendario Octubre 2026'!$B$52:$B$56,"*-Arturo")</f>
        <v>0</v>
      </c>
    </row>
    <row r="9" customFormat="false" ht="15" hidden="false" customHeight="true" outlineLevel="0" collapsed="false">
      <c r="A9" s="57" t="s">
        <v>205</v>
      </c>
      <c r="B9" s="58" t="s">
        <v>206</v>
      </c>
      <c r="C9" s="59"/>
      <c r="D9" s="59"/>
      <c r="E9" s="59"/>
      <c r="F9" s="59"/>
      <c r="G9" s="60" t="s">
        <v>193</v>
      </c>
      <c r="H9" s="61" t="n">
        <f aca="false">COUNTIF('Calendario Octubre 2026'!$A$5:$N$58,"MAY-Aitor")</f>
        <v>0</v>
      </c>
      <c r="I9" s="61" t="n">
        <f aca="false">COUNTIF('Calendario Octubre 2026'!$A$5:$N$58,"TX-Aitor")</f>
        <v>0</v>
      </c>
      <c r="J9" s="61" t="n">
        <f aca="false">COUNTIF('Calendario Octubre 2026'!$A$5:$N$58,"UCQ-Aitor")</f>
        <v>0</v>
      </c>
      <c r="K9" s="61" t="n">
        <f aca="false">COUNTIF('Calendario Octubre 2026'!$A$5:$N$58,"PEQ-Aitor")</f>
        <v>5</v>
      </c>
      <c r="L9" s="62" t="n">
        <f aca="false">SUM(H9:K9)</f>
        <v>5</v>
      </c>
      <c r="M9" s="60" t="n">
        <f aca="false">COUNTIF('Calendario Octubre 2026'!$B$5:$B$58,"*-Aitor")</f>
        <v>0</v>
      </c>
      <c r="N9" s="60" t="n">
        <f aca="false">COUNTIF('Calendario Octubre 2026'!$D$5:$D$58,"*-Aitor")</f>
        <v>1</v>
      </c>
      <c r="O9" s="60" t="n">
        <f aca="false">COUNTIF('Calendario Octubre 2026'!$F$5:$F$58,"*-Aitor")</f>
        <v>1</v>
      </c>
      <c r="P9" s="60" t="n">
        <f aca="false">COUNTIF('Calendario Octubre 2026'!$H$5:$H$58,"*-Aitor")</f>
        <v>1</v>
      </c>
      <c r="Q9" s="60" t="n">
        <f aca="false">COUNTIF('Calendario Octubre 2026'!$J$5:$J$58,"*-Aitor")</f>
        <v>1</v>
      </c>
      <c r="R9" s="60" t="n">
        <f aca="false">COUNTIF('Calendario Octubre 2026'!$L$5:$L$58,"*-Aitor")</f>
        <v>0</v>
      </c>
      <c r="S9" s="60" t="n">
        <f aca="false">COUNTIF('Calendario Octubre 2026'!$N$5:$N$58,"*-Aitor")</f>
        <v>1</v>
      </c>
      <c r="T9" s="60" t="n">
        <f aca="false">COUNTIF('Calendario Octubre 2026'!$B$25:$B$29,"*-Aitor")+COUNTIF('Calendario Octubre 2026'!$N$43:$N$47,"*-Aitor")+COUNTIF('Calendario Octubre 2026'!$B$52:$B$56,"*-Aitor")</f>
        <v>0</v>
      </c>
    </row>
    <row r="10" customFormat="false" ht="15" hidden="false" customHeight="true" outlineLevel="0" collapsed="false">
      <c r="A10" s="63" t="s">
        <v>207</v>
      </c>
      <c r="B10" s="64" t="s">
        <v>208</v>
      </c>
      <c r="C10" s="59"/>
      <c r="D10" s="59"/>
      <c r="E10" s="66"/>
      <c r="F10" s="59"/>
      <c r="G10" s="67" t="s">
        <v>193</v>
      </c>
      <c r="H10" s="61" t="n">
        <f aca="false">COUNTIF('Calendario Octubre 2026'!$A$5:$N$58,"MAY-Fatima")</f>
        <v>0</v>
      </c>
      <c r="I10" s="61" t="n">
        <f aca="false">COUNTIF('Calendario Octubre 2026'!$A$5:$N$58,"TX-Fatima")</f>
        <v>0</v>
      </c>
      <c r="J10" s="61" t="n">
        <f aca="false">COUNTIF('Calendario Octubre 2026'!$A$5:$N$58,"UCQ-Fatima")</f>
        <v>0</v>
      </c>
      <c r="K10" s="61" t="n">
        <f aca="false">COUNTIF('Calendario Octubre 2026'!$A$5:$N$58,"PEQ-Fatima")</f>
        <v>5</v>
      </c>
      <c r="L10" s="62" t="n">
        <f aca="false">SUM(H10:K10)</f>
        <v>5</v>
      </c>
      <c r="M10" s="60" t="n">
        <f aca="false">COUNTIF('Calendario Octubre 2026'!$B$5:$B$58,"*-Fatima")</f>
        <v>2</v>
      </c>
      <c r="N10" s="60" t="n">
        <f aca="false">COUNTIF('Calendario Octubre 2026'!$D$5:$D$58,"*-Fatima")</f>
        <v>0</v>
      </c>
      <c r="O10" s="60" t="n">
        <f aca="false">COUNTIF('Calendario Octubre 2026'!$F$5:$F$58,"*-Fatima")</f>
        <v>0</v>
      </c>
      <c r="P10" s="60" t="n">
        <f aca="false">COUNTIF('Calendario Octubre 2026'!$H$5:$H$58,"*-Fatima")</f>
        <v>1</v>
      </c>
      <c r="Q10" s="60" t="n">
        <f aca="false">COUNTIF('Calendario Octubre 2026'!$J$5:$J$58,"*-Fatima")</f>
        <v>1</v>
      </c>
      <c r="R10" s="60" t="n">
        <f aca="false">COUNTIF('Calendario Octubre 2026'!$L$5:$L$58,"*-Fatima")</f>
        <v>0</v>
      </c>
      <c r="S10" s="60" t="n">
        <f aca="false">COUNTIF('Calendario Octubre 2026'!$N$5:$N$58,"*-Fatima")</f>
        <v>1</v>
      </c>
      <c r="T10" s="60" t="n">
        <f aca="false">COUNTIF('Calendario Octubre 2026'!$B$25:$B$29,"*-Fatima")+COUNTIF('Calendario Octubre 2026'!$N$43:$N$47,"*-Fatima")+COUNTIF('Calendario Octubre 2026'!$B$52:$B$56,"*-Fatima")</f>
        <v>1</v>
      </c>
    </row>
    <row r="11" customFormat="false" ht="15" hidden="false" customHeight="true" outlineLevel="0" collapsed="false">
      <c r="A11" s="57" t="s">
        <v>209</v>
      </c>
      <c r="B11" s="58" t="s">
        <v>210</v>
      </c>
      <c r="C11" s="59" t="n">
        <v>6</v>
      </c>
      <c r="D11" s="59"/>
      <c r="E11" s="59"/>
      <c r="F11" s="68" t="s">
        <v>211</v>
      </c>
      <c r="G11" s="59" t="n">
        <v>0</v>
      </c>
      <c r="H11" s="61" t="n">
        <f aca="false">COUNTIF('Calendario Octubre 2026'!$A$5:$N$58,"MAY-Tania")</f>
        <v>0</v>
      </c>
      <c r="I11" s="61" t="n">
        <f aca="false">COUNTIF('Calendario Octubre 2026'!$A$5:$N$58,"TX-Tania")</f>
        <v>0</v>
      </c>
      <c r="J11" s="61" t="n">
        <f aca="false">COUNTIF('Calendario Octubre 2026'!$A$5:$N$58,"UCQ-Tania")</f>
        <v>6</v>
      </c>
      <c r="K11" s="61" t="n">
        <f aca="false">COUNTIF('Calendario Octubre 2026'!$A$5:$N$58,"PEQ-Tania")</f>
        <v>0</v>
      </c>
      <c r="L11" s="62" t="n">
        <f aca="false">SUM(H11:K11)</f>
        <v>6</v>
      </c>
      <c r="M11" s="60" t="n">
        <f aca="false">COUNTIF('Calendario Octubre 2026'!$B$5:$B$58,"*-Tania")</f>
        <v>0</v>
      </c>
      <c r="N11" s="60" t="n">
        <f aca="false">COUNTIF('Calendario Octubre 2026'!$D$5:$D$58,"*-Tania")</f>
        <v>2</v>
      </c>
      <c r="O11" s="60" t="n">
        <f aca="false">COUNTIF('Calendario Octubre 2026'!$F$5:$F$58,"*-Tania")</f>
        <v>0</v>
      </c>
      <c r="P11" s="60" t="n">
        <f aca="false">COUNTIF('Calendario Octubre 2026'!$H$5:$H$58,"*-Tania")</f>
        <v>1</v>
      </c>
      <c r="Q11" s="60" t="n">
        <f aca="false">COUNTIF('Calendario Octubre 2026'!$J$5:$J$58,"*-Tania")</f>
        <v>1</v>
      </c>
      <c r="R11" s="60" t="n">
        <f aca="false">COUNTIF('Calendario Octubre 2026'!$L$5:$L$58,"*-Tania")</f>
        <v>1</v>
      </c>
      <c r="S11" s="60" t="n">
        <f aca="false">COUNTIF('Calendario Octubre 2026'!$N$5:$N$58,"*-Tania")</f>
        <v>1</v>
      </c>
      <c r="T11" s="60" t="n">
        <f aca="false">COUNTIF('Calendario Octubre 2026'!$B$25:$B$29,"*-Tania")+COUNTIF('Calendario Octubre 2026'!$N$43:$N$47,"*-Tania")+COUNTIF('Calendario Octubre 2026'!$B$52:$B$56,"*-Tania")</f>
        <v>0</v>
      </c>
    </row>
    <row r="12" customFormat="false" ht="15" hidden="false" customHeight="true" outlineLevel="0" collapsed="false">
      <c r="A12" s="63" t="s">
        <v>212</v>
      </c>
      <c r="B12" s="64" t="s">
        <v>213</v>
      </c>
      <c r="C12" s="59" t="n">
        <v>6</v>
      </c>
      <c r="D12" s="59"/>
      <c r="E12" s="59"/>
      <c r="F12" s="67" t="s">
        <v>214</v>
      </c>
      <c r="G12" s="59"/>
      <c r="H12" s="61" t="n">
        <f aca="false">COUNTIF('Calendario Octubre 2026'!$A$5:$N$58,"MAY-Asis")</f>
        <v>0</v>
      </c>
      <c r="I12" s="61" t="n">
        <f aca="false">COUNTIF('Calendario Octubre 2026'!$A$5:$N$58,"TX-Asis")</f>
        <v>0</v>
      </c>
      <c r="J12" s="61" t="n">
        <f aca="false">COUNTIF('Calendario Octubre 2026'!$A$5:$N$58,"UCQ-Asis")</f>
        <v>1</v>
      </c>
      <c r="K12" s="61" t="n">
        <f aca="false">COUNTIF('Calendario Octubre 2026'!$A$5:$N$58,"PEQ-Asis")</f>
        <v>5</v>
      </c>
      <c r="L12" s="62" t="n">
        <f aca="false">SUM(H12:K12)</f>
        <v>6</v>
      </c>
      <c r="M12" s="60" t="n">
        <f aca="false">COUNTIF('Calendario Octubre 2026'!$B$5:$B$58,"*-Asis")</f>
        <v>1</v>
      </c>
      <c r="N12" s="60" t="n">
        <f aca="false">COUNTIF('Calendario Octubre 2026'!$D$5:$D$58,"*-Asis")</f>
        <v>0</v>
      </c>
      <c r="O12" s="60" t="n">
        <f aca="false">COUNTIF('Calendario Octubre 2026'!$F$5:$F$58,"*-Asis")</f>
        <v>1</v>
      </c>
      <c r="P12" s="60" t="n">
        <f aca="false">COUNTIF('Calendario Octubre 2026'!$H$5:$H$58,"*-Asis")</f>
        <v>0</v>
      </c>
      <c r="Q12" s="60" t="n">
        <f aca="false">COUNTIF('Calendario Octubre 2026'!$J$5:$J$58,"*-Asis")</f>
        <v>2</v>
      </c>
      <c r="R12" s="60" t="n">
        <f aca="false">COUNTIF('Calendario Octubre 2026'!$L$5:$L$58,"*-Asis")</f>
        <v>0</v>
      </c>
      <c r="S12" s="60" t="n">
        <f aca="false">COUNTIF('Calendario Octubre 2026'!$N$5:$N$58,"*-Asis")</f>
        <v>2</v>
      </c>
      <c r="T12" s="60" t="n">
        <f aca="false">COUNTIF('Calendario Octubre 2026'!$B$25:$B$29,"*-Asis")+COUNTIF('Calendario Octubre 2026'!$N$43:$N$47,"*-Asis")+COUNTIF('Calendario Octubre 2026'!$B$52:$B$56,"*-Asis")</f>
        <v>1</v>
      </c>
    </row>
    <row r="13" customFormat="false" ht="15" hidden="false" customHeight="true" outlineLevel="0" collapsed="false">
      <c r="A13" s="57" t="s">
        <v>215</v>
      </c>
      <c r="B13" s="58" t="s">
        <v>216</v>
      </c>
      <c r="C13" s="59" t="n">
        <v>6</v>
      </c>
      <c r="D13" s="59"/>
      <c r="E13" s="59"/>
      <c r="F13" s="68" t="s">
        <v>211</v>
      </c>
      <c r="G13" s="59" t="n">
        <v>0</v>
      </c>
      <c r="H13" s="61" t="n">
        <f aca="false">COUNTIF('Calendario Octubre 2026'!$A$5:$N$58,"MAY-PatriciaR2")</f>
        <v>0</v>
      </c>
      <c r="I13" s="61" t="n">
        <f aca="false">COUNTIF('Calendario Octubre 2026'!$A$5:$N$58,"TX-PatriciaR2")</f>
        <v>0</v>
      </c>
      <c r="J13" s="61" t="n">
        <f aca="false">COUNTIF('Calendario Octubre 2026'!$A$5:$N$58,"UCQ-PatriciaR2")</f>
        <v>6</v>
      </c>
      <c r="K13" s="61" t="n">
        <f aca="false">COUNTIF('Calendario Octubre 2026'!$A$5:$N$58,"PEQ-PatriciaR2")</f>
        <v>0</v>
      </c>
      <c r="L13" s="62" t="n">
        <f aca="false">SUM(H13:K13)</f>
        <v>6</v>
      </c>
      <c r="M13" s="60" t="n">
        <f aca="false">COUNTIF('Calendario Octubre 2026'!$B$5:$B$58,"*-PatriciaR2")</f>
        <v>0</v>
      </c>
      <c r="N13" s="60" t="n">
        <f aca="false">COUNTIF('Calendario Octubre 2026'!$D$5:$D$58,"*-PatriciaR2")</f>
        <v>1</v>
      </c>
      <c r="O13" s="60" t="n">
        <f aca="false">COUNTIF('Calendario Octubre 2026'!$F$5:$F$58,"*-PatriciaR2")</f>
        <v>0</v>
      </c>
      <c r="P13" s="60" t="n">
        <f aca="false">COUNTIF('Calendario Octubre 2026'!$H$5:$H$58,"*-PatriciaR2")</f>
        <v>2</v>
      </c>
      <c r="Q13" s="60" t="n">
        <f aca="false">COUNTIF('Calendario Octubre 2026'!$J$5:$J$58,"*-PatriciaR2")</f>
        <v>1</v>
      </c>
      <c r="R13" s="60" t="n">
        <f aca="false">COUNTIF('Calendario Octubre 2026'!$L$5:$L$58,"*-PatriciaR2")</f>
        <v>1</v>
      </c>
      <c r="S13" s="60" t="n">
        <f aca="false">COUNTIF('Calendario Octubre 2026'!$N$5:$N$58,"*-PatriciaR2")</f>
        <v>1</v>
      </c>
      <c r="T13" s="60" t="n">
        <f aca="false">COUNTIF('Calendario Octubre 2026'!$B$25:$B$29,"*-PatriciaR2")+COUNTIF('Calendario Octubre 2026'!$N$43:$N$47,"*-PatriciaR2")+COUNTIF('Calendario Octubre 2026'!$B$52:$B$56,"*-PatriciaR2")</f>
        <v>1</v>
      </c>
    </row>
    <row r="14" customFormat="false" ht="15" hidden="false" customHeight="true" outlineLevel="0" collapsed="false">
      <c r="A14" s="63" t="s">
        <v>217</v>
      </c>
      <c r="B14" s="64" t="s">
        <v>218</v>
      </c>
      <c r="C14" s="59" t="n">
        <v>6</v>
      </c>
      <c r="D14" s="59"/>
      <c r="E14" s="59"/>
      <c r="F14" s="67" t="s">
        <v>214</v>
      </c>
      <c r="G14" s="69"/>
      <c r="H14" s="61" t="n">
        <f aca="false">COUNTIF('Calendario Octubre 2026'!$A$5:$N$58,"MAY-Eva")</f>
        <v>0</v>
      </c>
      <c r="I14" s="61" t="n">
        <f aca="false">COUNTIF('Calendario Octubre 2026'!$A$5:$N$58,"TX-Eva")</f>
        <v>0</v>
      </c>
      <c r="J14" s="61" t="n">
        <f aca="false">COUNTIF('Calendario Octubre 2026'!$A$5:$N$58,"UCQ-Eva")</f>
        <v>1</v>
      </c>
      <c r="K14" s="61" t="n">
        <f aca="false">COUNTIF('Calendario Octubre 2026'!$A$5:$N$58,"PEQ-Eva")</f>
        <v>5</v>
      </c>
      <c r="L14" s="62" t="n">
        <f aca="false">SUM(H14:K14)</f>
        <v>6</v>
      </c>
      <c r="M14" s="60" t="n">
        <f aca="false">COUNTIF('Calendario Octubre 2026'!$B$5:$B$58,"*-Eva")</f>
        <v>1</v>
      </c>
      <c r="N14" s="60" t="n">
        <f aca="false">COUNTIF('Calendario Octubre 2026'!$D$5:$D$58,"*-Eva")</f>
        <v>0</v>
      </c>
      <c r="O14" s="60" t="n">
        <f aca="false">COUNTIF('Calendario Octubre 2026'!$F$5:$F$58,"*-Eva")</f>
        <v>1</v>
      </c>
      <c r="P14" s="60" t="n">
        <f aca="false">COUNTIF('Calendario Octubre 2026'!$H$5:$H$58,"*-Eva")</f>
        <v>1</v>
      </c>
      <c r="Q14" s="60" t="n">
        <f aca="false">COUNTIF('Calendario Octubre 2026'!$J$5:$J$58,"*-Eva")</f>
        <v>1</v>
      </c>
      <c r="R14" s="60" t="n">
        <f aca="false">COUNTIF('Calendario Octubre 2026'!$L$5:$L$58,"*-Eva")</f>
        <v>1</v>
      </c>
      <c r="S14" s="60" t="n">
        <f aca="false">COUNTIF('Calendario Octubre 2026'!$N$5:$N$58,"*-Eva")</f>
        <v>1</v>
      </c>
      <c r="T14" s="60" t="n">
        <f aca="false">COUNTIF('Calendario Octubre 2026'!$B$25:$B$29,"*-Eva")+COUNTIF('Calendario Octubre 2026'!$N$43:$N$47,"*-Eva")+COUNTIF('Calendario Octubre 2026'!$B$52:$B$56,"*-Eva")</f>
        <v>1</v>
      </c>
    </row>
    <row r="15" customFormat="false" ht="15" hidden="false" customHeight="true" outlineLevel="0" collapsed="false">
      <c r="A15" s="57" t="s">
        <v>219</v>
      </c>
      <c r="B15" s="58" t="s">
        <v>220</v>
      </c>
      <c r="C15" s="59" t="n">
        <v>6</v>
      </c>
      <c r="D15" s="59"/>
      <c r="E15" s="59"/>
      <c r="F15" s="68" t="s">
        <v>214</v>
      </c>
      <c r="G15" s="59"/>
      <c r="H15" s="61" t="n">
        <f aca="false">COUNTIF('Calendario Octubre 2026'!$A$5:$N$58,"MAY-Emilio")</f>
        <v>0</v>
      </c>
      <c r="I15" s="61" t="n">
        <f aca="false">COUNTIF('Calendario Octubre 2026'!$A$5:$N$58,"TX-Emilio")</f>
        <v>0</v>
      </c>
      <c r="J15" s="61" t="n">
        <f aca="false">COUNTIF('Calendario Octubre 2026'!$A$5:$N$58,"UCQ-Emilio")</f>
        <v>1</v>
      </c>
      <c r="K15" s="61" t="n">
        <f aca="false">COUNTIF('Calendario Octubre 2026'!$A$5:$N$58,"PEQ-Emilio")</f>
        <v>5</v>
      </c>
      <c r="L15" s="62" t="n">
        <f aca="false">SUM(H15:K15)</f>
        <v>6</v>
      </c>
      <c r="M15" s="60" t="n">
        <f aca="false">COUNTIF('Calendario Octubre 2026'!$B$5:$B$58,"*-Emilio")</f>
        <v>2</v>
      </c>
      <c r="N15" s="60" t="n">
        <f aca="false">COUNTIF('Calendario Octubre 2026'!$D$5:$D$58,"*-Emilio")</f>
        <v>1</v>
      </c>
      <c r="O15" s="60" t="n">
        <f aca="false">COUNTIF('Calendario Octubre 2026'!$F$5:$F$58,"*-Emilio")</f>
        <v>0</v>
      </c>
      <c r="P15" s="60" t="n">
        <f aca="false">COUNTIF('Calendario Octubre 2026'!$H$5:$H$58,"*-Emilio")</f>
        <v>1</v>
      </c>
      <c r="Q15" s="60" t="n">
        <f aca="false">COUNTIF('Calendario Octubre 2026'!$J$5:$J$58,"*-Emilio")</f>
        <v>0</v>
      </c>
      <c r="R15" s="60" t="n">
        <f aca="false">COUNTIF('Calendario Octubre 2026'!$L$5:$L$58,"*-Emilio")</f>
        <v>2</v>
      </c>
      <c r="S15" s="60" t="n">
        <f aca="false">COUNTIF('Calendario Octubre 2026'!$N$5:$N$58,"*-Emilio")</f>
        <v>0</v>
      </c>
      <c r="T15" s="60" t="n">
        <f aca="false">COUNTIF('Calendario Octubre 2026'!$B$25:$B$29,"*-Emilio")+COUNTIF('Calendario Octubre 2026'!$N$43:$N$47,"*-Emilio")+COUNTIF('Calendario Octubre 2026'!$B$52:$B$56,"*-Emilio")</f>
        <v>1</v>
      </c>
    </row>
    <row r="16" customFormat="false" ht="15" hidden="false" customHeight="true" outlineLevel="0" collapsed="false">
      <c r="A16" s="63" t="s">
        <v>221</v>
      </c>
      <c r="B16" s="64" t="s">
        <v>222</v>
      </c>
      <c r="C16" s="59" t="n">
        <v>6</v>
      </c>
      <c r="D16" s="59"/>
      <c r="E16" s="59"/>
      <c r="F16" s="67" t="s">
        <v>214</v>
      </c>
      <c r="G16" s="69"/>
      <c r="H16" s="61" t="n">
        <f aca="false">COUNTIF('Calendario Octubre 2026'!$A$5:$N$58,"MAY-Antonio")</f>
        <v>0</v>
      </c>
      <c r="I16" s="61" t="n">
        <f aca="false">COUNTIF('Calendario Octubre 2026'!$A$5:$N$58,"TX-Antonio")</f>
        <v>0</v>
      </c>
      <c r="J16" s="61" t="n">
        <f aca="false">COUNTIF('Calendario Octubre 2026'!$A$5:$N$58,"UCQ-Antonio")</f>
        <v>0</v>
      </c>
      <c r="K16" s="61" t="n">
        <f aca="false">COUNTIF('Calendario Octubre 2026'!$A$5:$N$58,"PEQ-Antonio")</f>
        <v>6</v>
      </c>
      <c r="L16" s="62" t="n">
        <f aca="false">SUM(H16:K16)</f>
        <v>6</v>
      </c>
      <c r="M16" s="60" t="n">
        <f aca="false">COUNTIF('Calendario Octubre 2026'!$B$5:$B$58,"*-Antonio")</f>
        <v>0</v>
      </c>
      <c r="N16" s="60" t="n">
        <f aca="false">COUNTIF('Calendario Octubre 2026'!$D$5:$D$58,"*-Antonio")</f>
        <v>1</v>
      </c>
      <c r="O16" s="60" t="n">
        <f aca="false">COUNTIF('Calendario Octubre 2026'!$F$5:$F$58,"*-Antonio")</f>
        <v>1</v>
      </c>
      <c r="P16" s="60" t="n">
        <f aca="false">COUNTIF('Calendario Octubre 2026'!$H$5:$H$58,"*-Antonio")</f>
        <v>1</v>
      </c>
      <c r="Q16" s="60" t="n">
        <f aca="false">COUNTIF('Calendario Octubre 2026'!$J$5:$J$58,"*-Antonio")</f>
        <v>1</v>
      </c>
      <c r="R16" s="60" t="n">
        <f aca="false">COUNTIF('Calendario Octubre 2026'!$L$5:$L$58,"*-Antonio")</f>
        <v>1</v>
      </c>
      <c r="S16" s="60" t="n">
        <f aca="false">COUNTIF('Calendario Octubre 2026'!$N$5:$N$58,"*-Antonio")</f>
        <v>1</v>
      </c>
      <c r="T16" s="60" t="n">
        <f aca="false">COUNTIF('Calendario Octubre 2026'!$B$25:$B$29,"*-Antonio")+COUNTIF('Calendario Octubre 2026'!$N$43:$N$47,"*-Antonio")+COUNTIF('Calendario Octubre 2026'!$B$52:$B$56,"*-Antonio")</f>
        <v>0</v>
      </c>
    </row>
    <row r="17" customFormat="false" ht="15" hidden="false" customHeight="true" outlineLevel="0" collapsed="false">
      <c r="A17" s="57" t="s">
        <v>223</v>
      </c>
      <c r="B17" s="58" t="s">
        <v>224</v>
      </c>
      <c r="C17" s="59" t="n">
        <v>6</v>
      </c>
      <c r="D17" s="59"/>
      <c r="E17" s="59"/>
      <c r="F17" s="68" t="s">
        <v>214</v>
      </c>
      <c r="G17" s="69"/>
      <c r="H17" s="61" t="n">
        <f aca="false">COUNTIF('Calendario Octubre 2026'!$A$5:$N$58,"MAY-AnaR2")</f>
        <v>0</v>
      </c>
      <c r="I17" s="61" t="n">
        <f aca="false">COUNTIF('Calendario Octubre 2026'!$A$5:$N$58,"TX-AnaR2")</f>
        <v>0</v>
      </c>
      <c r="J17" s="61" t="n">
        <f aca="false">COUNTIF('Calendario Octubre 2026'!$A$5:$N$58,"UCQ-AnaR2")</f>
        <v>5</v>
      </c>
      <c r="K17" s="61" t="n">
        <f aca="false">COUNTIF('Calendario Octubre 2026'!$A$5:$N$58,"PEQ-AnaR2")</f>
        <v>1</v>
      </c>
      <c r="L17" s="62" t="n">
        <f aca="false">SUM(H17:K17)</f>
        <v>6</v>
      </c>
      <c r="M17" s="60" t="n">
        <f aca="false">COUNTIF('Calendario Octubre 2026'!$B$5:$B$58,"*-AnaR2")</f>
        <v>2</v>
      </c>
      <c r="N17" s="60" t="n">
        <f aca="false">COUNTIF('Calendario Octubre 2026'!$D$5:$D$58,"*-AnaR2")</f>
        <v>0</v>
      </c>
      <c r="O17" s="60" t="n">
        <f aca="false">COUNTIF('Calendario Octubre 2026'!$F$5:$F$58,"*-AnaR2")</f>
        <v>1</v>
      </c>
      <c r="P17" s="60" t="n">
        <f aca="false">COUNTIF('Calendario Octubre 2026'!$H$5:$H$58,"*-AnaR2")</f>
        <v>0</v>
      </c>
      <c r="Q17" s="60" t="n">
        <f aca="false">COUNTIF('Calendario Octubre 2026'!$J$5:$J$58,"*-AnaR2")</f>
        <v>1</v>
      </c>
      <c r="R17" s="60" t="n">
        <f aca="false">COUNTIF('Calendario Octubre 2026'!$L$5:$L$58,"*-AnaR2")</f>
        <v>1</v>
      </c>
      <c r="S17" s="60" t="n">
        <f aca="false">COUNTIF('Calendario Octubre 2026'!$N$5:$N$58,"*-AnaR2")</f>
        <v>1</v>
      </c>
      <c r="T17" s="60" t="n">
        <f aca="false">COUNTIF('Calendario Octubre 2026'!$B$25:$B$29,"*-AnaR2")+COUNTIF('Calendario Octubre 2026'!$N$43:$N$47,"*-AnaR2")+COUNTIF('Calendario Octubre 2026'!$B$52:$B$56,"*-AnaR2")</f>
        <v>1</v>
      </c>
    </row>
    <row r="18" customFormat="false" ht="15" hidden="false" customHeight="true" outlineLevel="0" collapsed="false">
      <c r="A18" s="63" t="s">
        <v>225</v>
      </c>
      <c r="B18" s="64" t="s">
        <v>226</v>
      </c>
      <c r="C18" s="59" t="n">
        <v>6</v>
      </c>
      <c r="D18" s="59"/>
      <c r="E18" s="59"/>
      <c r="F18" s="67" t="s">
        <v>214</v>
      </c>
      <c r="G18" s="69" t="n">
        <v>6</v>
      </c>
      <c r="H18" s="61" t="n">
        <f aca="false">COUNTIF('Calendario Octubre 2026'!$A$5:$N$58,"MAY-Marc")</f>
        <v>0</v>
      </c>
      <c r="I18" s="61" t="n">
        <f aca="false">COUNTIF('Calendario Octubre 2026'!$A$5:$N$58,"TX-Marc")</f>
        <v>0</v>
      </c>
      <c r="J18" s="61" t="n">
        <f aca="false">COUNTIF('Calendario Octubre 2026'!$A$5:$N$58,"UCQ-Marc")</f>
        <v>1</v>
      </c>
      <c r="K18" s="61" t="n">
        <f aca="false">COUNTIF('Calendario Octubre 2026'!$A$5:$N$58,"PEQ-Marc")</f>
        <v>5</v>
      </c>
      <c r="L18" s="62" t="n">
        <f aca="false">SUM(H18:K18)</f>
        <v>6</v>
      </c>
      <c r="M18" s="60" t="n">
        <f aca="false">COUNTIF('Calendario Octubre 2026'!$B$5:$B$58,"*-Marc")</f>
        <v>0</v>
      </c>
      <c r="N18" s="60" t="n">
        <f aca="false">COUNTIF('Calendario Octubre 2026'!$D$5:$D$58,"*-Marc")</f>
        <v>0</v>
      </c>
      <c r="O18" s="60" t="n">
        <f aca="false">COUNTIF('Calendario Octubre 2026'!$F$5:$F$58,"*-Marc")</f>
        <v>1</v>
      </c>
      <c r="P18" s="60" t="n">
        <f aca="false">COUNTIF('Calendario Octubre 2026'!$H$5:$H$58,"*-Marc")</f>
        <v>1</v>
      </c>
      <c r="Q18" s="60" t="n">
        <f aca="false">COUNTIF('Calendario Octubre 2026'!$J$5:$J$58,"*-Marc")</f>
        <v>2</v>
      </c>
      <c r="R18" s="60" t="n">
        <f aca="false">COUNTIF('Calendario Octubre 2026'!$L$5:$L$58,"*-Marc")</f>
        <v>0</v>
      </c>
      <c r="S18" s="60" t="n">
        <f aca="false">COUNTIF('Calendario Octubre 2026'!$N$5:$N$58,"*-Marc")</f>
        <v>2</v>
      </c>
      <c r="T18" s="60" t="n">
        <f aca="false">COUNTIF('Calendario Octubre 2026'!$B$25:$B$29,"*-Marc")+COUNTIF('Calendario Octubre 2026'!$N$43:$N$47,"*-Marc")+COUNTIF('Calendario Octubre 2026'!$B$52:$B$56,"*-Marc")</f>
        <v>0</v>
      </c>
    </row>
    <row r="19" customFormat="false" ht="15" hidden="false" customHeight="true" outlineLevel="0" collapsed="false">
      <c r="A19" s="57" t="s">
        <v>227</v>
      </c>
      <c r="B19" s="58" t="s">
        <v>228</v>
      </c>
      <c r="C19" s="59" t="n">
        <v>6</v>
      </c>
      <c r="D19" s="68" t="n">
        <v>6</v>
      </c>
      <c r="E19" s="59"/>
      <c r="F19" s="59"/>
      <c r="G19" s="69"/>
      <c r="H19" s="61" t="n">
        <f aca="false">COUNTIF('Calendario Octubre 2026'!$A$5:$N$58,"MAY-PatriciaR3")</f>
        <v>5</v>
      </c>
      <c r="I19" s="61" t="n">
        <f aca="false">COUNTIF('Calendario Octubre 2026'!$A$5:$N$58,"TX-PatriciaR3")</f>
        <v>0</v>
      </c>
      <c r="J19" s="61" t="n">
        <f aca="false">COUNTIF('Calendario Octubre 2026'!$A$5:$N$58,"UCQ-PatriciaR3")</f>
        <v>0</v>
      </c>
      <c r="K19" s="61" t="n">
        <f aca="false">COUNTIF('Calendario Octubre 2026'!$A$5:$N$58,"PEQ-PatriciaR3")</f>
        <v>0</v>
      </c>
      <c r="L19" s="62" t="n">
        <f aca="false">SUM(H19:K19)</f>
        <v>5</v>
      </c>
      <c r="M19" s="60" t="n">
        <f aca="false">COUNTIF('Calendario Octubre 2026'!$B$5:$B$58,"*-PatriciaR3")</f>
        <v>0</v>
      </c>
      <c r="N19" s="60" t="n">
        <f aca="false">COUNTIF('Calendario Octubre 2026'!$D$5:$D$58,"*-PatriciaR3")</f>
        <v>0</v>
      </c>
      <c r="O19" s="60" t="n">
        <f aca="false">COUNTIF('Calendario Octubre 2026'!$F$5:$F$58,"*-PatriciaR3")</f>
        <v>1</v>
      </c>
      <c r="P19" s="60" t="n">
        <f aca="false">COUNTIF('Calendario Octubre 2026'!$H$5:$H$58,"*-PatriciaR3")</f>
        <v>1</v>
      </c>
      <c r="Q19" s="60" t="n">
        <f aca="false">COUNTIF('Calendario Octubre 2026'!$J$5:$J$58,"*-PatriciaR3")</f>
        <v>1</v>
      </c>
      <c r="R19" s="60" t="n">
        <f aca="false">COUNTIF('Calendario Octubre 2026'!$L$5:$L$58,"*-PatriciaR3")</f>
        <v>1</v>
      </c>
      <c r="S19" s="60" t="n">
        <f aca="false">COUNTIF('Calendario Octubre 2026'!$N$5:$N$58,"*-PatriciaR3")</f>
        <v>1</v>
      </c>
      <c r="T19" s="60" t="n">
        <f aca="false">COUNTIF('Calendario Octubre 2026'!$B$25:$B$29,"*-PatriciaR3")+COUNTIF('Calendario Octubre 2026'!$N$43:$N$47,"*-PatriciaR3")+COUNTIF('Calendario Octubre 2026'!$B$52:$B$56,"*-PatriciaR3")</f>
        <v>0</v>
      </c>
    </row>
    <row r="20" customFormat="false" ht="15" hidden="false" customHeight="true" outlineLevel="0" collapsed="false">
      <c r="A20" s="63" t="s">
        <v>229</v>
      </c>
      <c r="B20" s="64" t="s">
        <v>230</v>
      </c>
      <c r="C20" s="59" t="n">
        <v>6</v>
      </c>
      <c r="D20" s="67"/>
      <c r="E20" s="59"/>
      <c r="F20" s="59"/>
      <c r="G20" s="69"/>
      <c r="H20" s="61" t="n">
        <f aca="false">COUNTIF('Calendario Octubre 2026'!$A$5:$N$58,"MAY-Candela")</f>
        <v>5</v>
      </c>
      <c r="I20" s="61" t="n">
        <f aca="false">COUNTIF('Calendario Octubre 2026'!$A$5:$N$58,"TX-Candela")</f>
        <v>0</v>
      </c>
      <c r="J20" s="61" t="n">
        <f aca="false">COUNTIF('Calendario Octubre 2026'!$A$5:$N$58,"UCQ-Candela")</f>
        <v>0</v>
      </c>
      <c r="K20" s="61" t="n">
        <f aca="false">COUNTIF('Calendario Octubre 2026'!$A$5:$N$58,"PEQ-Candela")</f>
        <v>0</v>
      </c>
      <c r="L20" s="62" t="n">
        <f aca="false">SUM(H20:K20)</f>
        <v>5</v>
      </c>
      <c r="M20" s="60" t="n">
        <f aca="false">COUNTIF('Calendario Octubre 2026'!$B$5:$B$58,"*-Candela")</f>
        <v>0</v>
      </c>
      <c r="N20" s="60" t="n">
        <f aca="false">COUNTIF('Calendario Octubre 2026'!$D$5:$D$58,"*-Candela")</f>
        <v>2</v>
      </c>
      <c r="O20" s="60" t="n">
        <f aca="false">COUNTIF('Calendario Octubre 2026'!$F$5:$F$58,"*-Candela")</f>
        <v>0</v>
      </c>
      <c r="P20" s="60" t="n">
        <f aca="false">COUNTIF('Calendario Octubre 2026'!$H$5:$H$58,"*-Candela")</f>
        <v>0</v>
      </c>
      <c r="Q20" s="60" t="n">
        <f aca="false">COUNTIF('Calendario Octubre 2026'!$J$5:$J$58,"*-Candela")</f>
        <v>1</v>
      </c>
      <c r="R20" s="60" t="n">
        <f aca="false">COUNTIF('Calendario Octubre 2026'!$L$5:$L$58,"*-Candela")</f>
        <v>1</v>
      </c>
      <c r="S20" s="60" t="n">
        <f aca="false">COUNTIF('Calendario Octubre 2026'!$N$5:$N$58,"*-Candela")</f>
        <v>1</v>
      </c>
      <c r="T20" s="60" t="n">
        <f aca="false">COUNTIF('Calendario Octubre 2026'!$B$25:$B$29,"*-Candela")+COUNTIF('Calendario Octubre 2026'!$N$43:$N$47,"*-Candela")+COUNTIF('Calendario Octubre 2026'!$B$52:$B$56,"*-Candela")</f>
        <v>0</v>
      </c>
    </row>
    <row r="21" customFormat="false" ht="15" hidden="false" customHeight="true" outlineLevel="0" collapsed="false">
      <c r="A21" s="57" t="s">
        <v>231</v>
      </c>
      <c r="B21" s="58" t="s">
        <v>232</v>
      </c>
      <c r="C21" s="59" t="n">
        <v>6</v>
      </c>
      <c r="D21" s="59"/>
      <c r="E21" s="59"/>
      <c r="F21" s="68" t="s">
        <v>211</v>
      </c>
      <c r="G21" s="69" t="n">
        <v>0</v>
      </c>
      <c r="H21" s="61" t="n">
        <f aca="false">COUNTIF('Calendario Octubre 2026'!$A$5:$N$58,"MAY-Fabian")</f>
        <v>0</v>
      </c>
      <c r="I21" s="61" t="n">
        <f aca="false">COUNTIF('Calendario Octubre 2026'!$A$5:$N$58,"TX-Fabian")</f>
        <v>0</v>
      </c>
      <c r="J21" s="61" t="n">
        <f aca="false">COUNTIF('Calendario Octubre 2026'!$A$5:$N$58,"UCQ-Fabian")</f>
        <v>6</v>
      </c>
      <c r="K21" s="61" t="n">
        <f aca="false">COUNTIF('Calendario Octubre 2026'!$A$5:$N$58,"PEQ-Fabian")</f>
        <v>0</v>
      </c>
      <c r="L21" s="62" t="n">
        <f aca="false">SUM(H21:K21)</f>
        <v>6</v>
      </c>
      <c r="M21" s="60" t="n">
        <f aca="false">COUNTIF('Calendario Octubre 2026'!$B$5:$B$58,"*-Fabian")</f>
        <v>1</v>
      </c>
      <c r="N21" s="60" t="n">
        <f aca="false">COUNTIF('Calendario Octubre 2026'!$D$5:$D$58,"*-Fabian")</f>
        <v>1</v>
      </c>
      <c r="O21" s="60" t="n">
        <f aca="false">COUNTIF('Calendario Octubre 2026'!$F$5:$F$58,"*-Fabian")</f>
        <v>0</v>
      </c>
      <c r="P21" s="60" t="n">
        <f aca="false">COUNTIF('Calendario Octubre 2026'!$H$5:$H$58,"*-Fabian")</f>
        <v>1</v>
      </c>
      <c r="Q21" s="60" t="n">
        <f aca="false">COUNTIF('Calendario Octubre 2026'!$J$5:$J$58,"*-Fabian")</f>
        <v>1</v>
      </c>
      <c r="R21" s="60" t="n">
        <f aca="false">COUNTIF('Calendario Octubre 2026'!$L$5:$L$58,"*-Fabian")</f>
        <v>1</v>
      </c>
      <c r="S21" s="60" t="n">
        <f aca="false">COUNTIF('Calendario Octubre 2026'!$N$5:$N$58,"*-Fabian")</f>
        <v>1</v>
      </c>
      <c r="T21" s="60" t="n">
        <f aca="false">COUNTIF('Calendario Octubre 2026'!$B$25:$B$29,"*-Fabian")+COUNTIF('Calendario Octubre 2026'!$N$43:$N$47,"*-Fabian")+COUNTIF('Calendario Octubre 2026'!$B$52:$B$56,"*-Fabian")</f>
        <v>0</v>
      </c>
    </row>
    <row r="22" customFormat="false" ht="15" hidden="false" customHeight="true" outlineLevel="0" collapsed="false">
      <c r="A22" s="63" t="s">
        <v>233</v>
      </c>
      <c r="B22" s="64" t="s">
        <v>234</v>
      </c>
      <c r="C22" s="59" t="n">
        <v>6</v>
      </c>
      <c r="D22" s="59"/>
      <c r="E22" s="59"/>
      <c r="F22" s="67" t="s">
        <v>211</v>
      </c>
      <c r="G22" s="69" t="n">
        <v>0</v>
      </c>
      <c r="H22" s="61" t="n">
        <f aca="false">COUNTIF('Calendario Octubre 2026'!$A$5:$N$58,"MAY-Tony")</f>
        <v>0</v>
      </c>
      <c r="I22" s="61" t="n">
        <f aca="false">COUNTIF('Calendario Octubre 2026'!$A$5:$N$58,"TX-Tony")</f>
        <v>0</v>
      </c>
      <c r="J22" s="61" t="n">
        <f aca="false">COUNTIF('Calendario Octubre 2026'!$A$5:$N$58,"UCQ-Tony")</f>
        <v>6</v>
      </c>
      <c r="K22" s="61" t="n">
        <f aca="false">COUNTIF('Calendario Octubre 2026'!$A$5:$N$58,"PEQ-Tony")</f>
        <v>0</v>
      </c>
      <c r="L22" s="62" t="n">
        <f aca="false">SUM(H22:K22)</f>
        <v>6</v>
      </c>
      <c r="M22" s="60" t="n">
        <f aca="false">COUNTIF('Calendario Octubre 2026'!$B$5:$B$58,"*-Tony")</f>
        <v>1</v>
      </c>
      <c r="N22" s="60" t="n">
        <f aca="false">COUNTIF('Calendario Octubre 2026'!$D$5:$D$58,"*-Tony")</f>
        <v>0</v>
      </c>
      <c r="O22" s="60" t="n">
        <f aca="false">COUNTIF('Calendario Octubre 2026'!$F$5:$F$58,"*-Tony")</f>
        <v>2</v>
      </c>
      <c r="P22" s="60" t="n">
        <f aca="false">COUNTIF('Calendario Octubre 2026'!$H$5:$H$58,"*-Tony")</f>
        <v>0</v>
      </c>
      <c r="Q22" s="60" t="n">
        <f aca="false">COUNTIF('Calendario Octubre 2026'!$J$5:$J$58,"*-Tony")</f>
        <v>1</v>
      </c>
      <c r="R22" s="60" t="n">
        <f aca="false">COUNTIF('Calendario Octubre 2026'!$L$5:$L$58,"*-Tony")</f>
        <v>1</v>
      </c>
      <c r="S22" s="60" t="n">
        <f aca="false">COUNTIF('Calendario Octubre 2026'!$N$5:$N$58,"*-Tony")</f>
        <v>1</v>
      </c>
      <c r="T22" s="60" t="n">
        <f aca="false">COUNTIF('Calendario Octubre 2026'!$B$25:$B$29,"*-Tony")+COUNTIF('Calendario Octubre 2026'!$N$43:$N$47,"*-Tony")+COUNTIF('Calendario Octubre 2026'!$B$52:$B$56,"*-Tony")</f>
        <v>1</v>
      </c>
    </row>
    <row r="23" customFormat="false" ht="15" hidden="false" customHeight="true" outlineLevel="0" collapsed="false">
      <c r="A23" s="57" t="s">
        <v>235</v>
      </c>
      <c r="B23" s="58" t="s">
        <v>236</v>
      </c>
      <c r="C23" s="59"/>
      <c r="D23" s="68" t="s">
        <v>198</v>
      </c>
      <c r="E23" s="68" t="n">
        <v>7</v>
      </c>
      <c r="F23" s="59" t="n">
        <v>0</v>
      </c>
      <c r="G23" s="69"/>
      <c r="H23" s="61" t="n">
        <f aca="false">COUNTIF('Calendario Octubre 2026'!$A$5:$N$58,"MAY-Carlota")</f>
        <v>5</v>
      </c>
      <c r="I23" s="61" t="n">
        <f aca="false">COUNTIF('Calendario Octubre 2026'!$A$5:$N$58,"TX-Carlota")</f>
        <v>7</v>
      </c>
      <c r="J23" s="61" t="n">
        <f aca="false">COUNTIF('Calendario Octubre 2026'!$A$5:$N$58,"UCQ-Carlota")</f>
        <v>0</v>
      </c>
      <c r="K23" s="61" t="n">
        <f aca="false">COUNTIF('Calendario Octubre 2026'!$A$5:$N$58,"PEQ-Carlota")</f>
        <v>0</v>
      </c>
      <c r="L23" s="62" t="n">
        <f aca="false">SUM(H23:K23)</f>
        <v>12</v>
      </c>
      <c r="M23" s="60" t="n">
        <f aca="false">COUNTIF('Calendario Octubre 2026'!$B$5:$B$58,"*-Carlota")</f>
        <v>1</v>
      </c>
      <c r="N23" s="60" t="n">
        <f aca="false">COUNTIF('Calendario Octubre 2026'!$D$5:$D$58,"*-Carlota")</f>
        <v>2</v>
      </c>
      <c r="O23" s="60" t="n">
        <f aca="false">COUNTIF('Calendario Octubre 2026'!$F$5:$F$58,"*-Carlota")</f>
        <v>2</v>
      </c>
      <c r="P23" s="60" t="n">
        <f aca="false">COUNTIF('Calendario Octubre 2026'!$H$5:$H$58,"*-Carlota")</f>
        <v>2</v>
      </c>
      <c r="Q23" s="60" t="n">
        <f aca="false">COUNTIF('Calendario Octubre 2026'!$J$5:$J$58,"*-Carlota")</f>
        <v>2</v>
      </c>
      <c r="R23" s="60" t="n">
        <f aca="false">COUNTIF('Calendario Octubre 2026'!$L$5:$L$58,"*-Carlota")</f>
        <v>1</v>
      </c>
      <c r="S23" s="60" t="n">
        <f aca="false">COUNTIF('Calendario Octubre 2026'!$N$5:$N$58,"*-Carlota")</f>
        <v>2</v>
      </c>
      <c r="T23" s="60" t="n">
        <f aca="false">COUNTIF('Calendario Octubre 2026'!$B$25:$B$29,"*-Carlota")+COUNTIF('Calendario Octubre 2026'!$N$43:$N$47,"*-Carlota")+COUNTIF('Calendario Octubre 2026'!$B$52:$B$56,"*-Carlota")</f>
        <v>1</v>
      </c>
    </row>
    <row r="24" customFormat="false" ht="15" hidden="false" customHeight="true" outlineLevel="0" collapsed="false">
      <c r="A24" s="63" t="s">
        <v>237</v>
      </c>
      <c r="B24" s="64" t="s">
        <v>238</v>
      </c>
      <c r="C24" s="59"/>
      <c r="D24" s="67" t="s">
        <v>198</v>
      </c>
      <c r="E24" s="67" t="n">
        <v>7</v>
      </c>
      <c r="F24" s="59" t="n">
        <v>0</v>
      </c>
      <c r="G24" s="69"/>
      <c r="H24" s="61" t="n">
        <f aca="false">COUNTIF('Calendario Octubre 2026'!$A$5:$N$58,"MAY-Almudena")</f>
        <v>5</v>
      </c>
      <c r="I24" s="61" t="n">
        <f aca="false">COUNTIF('Calendario Octubre 2026'!$A$5:$N$58,"TX-Almudena")</f>
        <v>5</v>
      </c>
      <c r="J24" s="61" t="n">
        <f aca="false">COUNTIF('Calendario Octubre 2026'!$A$5:$N$58,"UCQ-Almudena")</f>
        <v>0</v>
      </c>
      <c r="K24" s="61" t="n">
        <f aca="false">COUNTIF('Calendario Octubre 2026'!$A$5:$N$58,"PEQ-Almudena")</f>
        <v>0</v>
      </c>
      <c r="L24" s="62" t="n">
        <f aca="false">SUM(H24:K24)</f>
        <v>10</v>
      </c>
      <c r="M24" s="60" t="n">
        <f aca="false">COUNTIF('Calendario Octubre 2026'!$B$5:$B$58,"*-Almudena")</f>
        <v>2</v>
      </c>
      <c r="N24" s="60" t="n">
        <f aca="false">COUNTIF('Calendario Octubre 2026'!$D$5:$D$58,"*-Almudena")</f>
        <v>0</v>
      </c>
      <c r="O24" s="60" t="n">
        <f aca="false">COUNTIF('Calendario Octubre 2026'!$F$5:$F$58,"*-Almudena")</f>
        <v>3</v>
      </c>
      <c r="P24" s="60" t="n">
        <f aca="false">COUNTIF('Calendario Octubre 2026'!$H$5:$H$58,"*-Almudena")</f>
        <v>1</v>
      </c>
      <c r="Q24" s="60" t="n">
        <f aca="false">COUNTIF('Calendario Octubre 2026'!$J$5:$J$58,"*-Almudena")</f>
        <v>1</v>
      </c>
      <c r="R24" s="60" t="n">
        <f aca="false">COUNTIF('Calendario Octubre 2026'!$L$5:$L$58,"*-Almudena")</f>
        <v>2</v>
      </c>
      <c r="S24" s="60" t="n">
        <f aca="false">COUNTIF('Calendario Octubre 2026'!$N$5:$N$58,"*-Almudena")</f>
        <v>1</v>
      </c>
      <c r="T24" s="60" t="n">
        <f aca="false">COUNTIF('Calendario Octubre 2026'!$B$25:$B$29,"*-Almudena")+COUNTIF('Calendario Octubre 2026'!$N$43:$N$47,"*-Almudena")+COUNTIF('Calendario Octubre 2026'!$B$52:$B$56,"*-Almudena")</f>
        <v>1</v>
      </c>
    </row>
    <row r="25" customFormat="false" ht="15" hidden="false" customHeight="true" outlineLevel="0" collapsed="false">
      <c r="A25" s="57" t="s">
        <v>239</v>
      </c>
      <c r="B25" s="58" t="s">
        <v>240</v>
      </c>
      <c r="C25" s="59"/>
      <c r="D25" s="68" t="s">
        <v>214</v>
      </c>
      <c r="E25" s="68" t="n">
        <v>4</v>
      </c>
      <c r="F25" s="59" t="n">
        <v>0</v>
      </c>
      <c r="G25" s="69"/>
      <c r="H25" s="61" t="n">
        <f aca="false">COUNTIF('Calendario Octubre 2026'!$A$5:$N$58,"MAY-AnaR4")</f>
        <v>1</v>
      </c>
      <c r="I25" s="61" t="n">
        <f aca="false">COUNTIF('Calendario Octubre 2026'!$A$5:$N$58,"TX-AnaR4")</f>
        <v>7</v>
      </c>
      <c r="J25" s="61" t="n">
        <f aca="false">COUNTIF('Calendario Octubre 2026'!$A$5:$N$58,"UCQ-AnaR4")</f>
        <v>0</v>
      </c>
      <c r="K25" s="61" t="n">
        <f aca="false">COUNTIF('Calendario Octubre 2026'!$A$5:$N$58,"PEQ-AnaR4")</f>
        <v>0</v>
      </c>
      <c r="L25" s="62" t="n">
        <f aca="false">SUM(H25:K25)</f>
        <v>8</v>
      </c>
      <c r="M25" s="60" t="n">
        <f aca="false">COUNTIF('Calendario Octubre 2026'!$B$5:$B$58,"*-AnaR4")</f>
        <v>3</v>
      </c>
      <c r="N25" s="60" t="n">
        <f aca="false">COUNTIF('Calendario Octubre 2026'!$D$5:$D$58,"*-AnaR4")</f>
        <v>0</v>
      </c>
      <c r="O25" s="60" t="n">
        <f aca="false">COUNTIF('Calendario Octubre 2026'!$F$5:$F$58,"*-AnaR4")</f>
        <v>0</v>
      </c>
      <c r="P25" s="60" t="n">
        <f aca="false">COUNTIF('Calendario Octubre 2026'!$H$5:$H$58,"*-AnaR4")</f>
        <v>2</v>
      </c>
      <c r="Q25" s="60" t="n">
        <f aca="false">COUNTIF('Calendario Octubre 2026'!$J$5:$J$58,"*-AnaR4")</f>
        <v>1</v>
      </c>
      <c r="R25" s="60" t="n">
        <f aca="false">COUNTIF('Calendario Octubre 2026'!$L$5:$L$58,"*-AnaR4")</f>
        <v>1</v>
      </c>
      <c r="S25" s="60" t="n">
        <f aca="false">COUNTIF('Calendario Octubre 2026'!$N$5:$N$58,"*-AnaR4")</f>
        <v>1</v>
      </c>
      <c r="T25" s="60" t="n">
        <f aca="false">COUNTIF('Calendario Octubre 2026'!$B$25:$B$29,"*-AnaR4")+COUNTIF('Calendario Octubre 2026'!$N$43:$N$47,"*-AnaR4")+COUNTIF('Calendario Octubre 2026'!$B$52:$B$56,"*-AnaR4")</f>
        <v>2</v>
      </c>
    </row>
    <row r="26" customFormat="false" ht="15" hidden="false" customHeight="true" outlineLevel="0" collapsed="false">
      <c r="A26" s="63" t="s">
        <v>241</v>
      </c>
      <c r="B26" s="64" t="s">
        <v>242</v>
      </c>
      <c r="C26" s="59"/>
      <c r="D26" s="67" t="s">
        <v>198</v>
      </c>
      <c r="E26" s="67" t="n">
        <v>8</v>
      </c>
      <c r="F26" s="59" t="n">
        <v>0</v>
      </c>
      <c r="G26" s="69"/>
      <c r="H26" s="61" t="n">
        <f aca="false">COUNTIF('Calendario Octubre 2026'!$A$5:$N$58,"MAY-Sandra")</f>
        <v>5</v>
      </c>
      <c r="I26" s="61" t="n">
        <f aca="false">COUNTIF('Calendario Octubre 2026'!$A$5:$N$58,"TX-Sandra")</f>
        <v>7</v>
      </c>
      <c r="J26" s="61" t="n">
        <f aca="false">COUNTIF('Calendario Octubre 2026'!$A$5:$N$58,"UCQ-Sandra")</f>
        <v>0</v>
      </c>
      <c r="K26" s="61" t="n">
        <f aca="false">COUNTIF('Calendario Octubre 2026'!$A$5:$N$58,"PEQ-Sandra")</f>
        <v>0</v>
      </c>
      <c r="L26" s="62" t="n">
        <f aca="false">SUM(H26:K26)</f>
        <v>12</v>
      </c>
      <c r="M26" s="60" t="n">
        <f aca="false">COUNTIF('Calendario Octubre 2026'!$B$5:$B$58,"*-Sandra")</f>
        <v>2</v>
      </c>
      <c r="N26" s="60" t="n">
        <f aca="false">COUNTIF('Calendario Octubre 2026'!$D$5:$D$58,"*-Sandra")</f>
        <v>2</v>
      </c>
      <c r="O26" s="60" t="n">
        <f aca="false">COUNTIF('Calendario Octubre 2026'!$F$5:$F$58,"*-Sandra")</f>
        <v>1</v>
      </c>
      <c r="P26" s="60" t="n">
        <f aca="false">COUNTIF('Calendario Octubre 2026'!$H$5:$H$58,"*-Sandra")</f>
        <v>2</v>
      </c>
      <c r="Q26" s="60" t="n">
        <f aca="false">COUNTIF('Calendario Octubre 2026'!$J$5:$J$58,"*-Sandra")</f>
        <v>1</v>
      </c>
      <c r="R26" s="60" t="n">
        <f aca="false">COUNTIF('Calendario Octubre 2026'!$L$5:$L$58,"*-Sandra")</f>
        <v>3</v>
      </c>
      <c r="S26" s="60" t="n">
        <f aca="false">COUNTIF('Calendario Octubre 2026'!$N$5:$N$58,"*-Sandra")</f>
        <v>1</v>
      </c>
      <c r="T26" s="60" t="n">
        <f aca="false">COUNTIF('Calendario Octubre 2026'!$B$25:$B$29,"*-Sandra")+COUNTIF('Calendario Octubre 2026'!$N$43:$N$47,"*-Sandra")+COUNTIF('Calendario Octubre 2026'!$B$52:$B$56,"*-Sandra")</f>
        <v>1</v>
      </c>
    </row>
    <row r="27" customFormat="false" ht="15" hidden="false" customHeight="true" outlineLevel="0" collapsed="false">
      <c r="A27" s="57" t="s">
        <v>243</v>
      </c>
      <c r="B27" s="58" t="s">
        <v>244</v>
      </c>
      <c r="C27" s="59"/>
      <c r="D27" s="68" t="s">
        <v>198</v>
      </c>
      <c r="E27" s="68" t="n">
        <v>7</v>
      </c>
      <c r="F27" s="59" t="n">
        <v>0</v>
      </c>
      <c r="G27" s="69"/>
      <c r="H27" s="61" t="n">
        <f aca="false">COUNTIF('Calendario Octubre 2026'!$A$5:$N$58,"MAY-Isa")</f>
        <v>5</v>
      </c>
      <c r="I27" s="61" t="n">
        <f aca="false">COUNTIF('Calendario Octubre 2026'!$A$5:$N$58,"TX-Isa")</f>
        <v>7</v>
      </c>
      <c r="J27" s="61" t="n">
        <f aca="false">COUNTIF('Calendario Octubre 2026'!$A$5:$N$58,"UCQ-Isa")</f>
        <v>0</v>
      </c>
      <c r="K27" s="61" t="n">
        <f aca="false">COUNTIF('Calendario Octubre 2026'!$A$5:$N$58,"PEQ-Isa")</f>
        <v>0</v>
      </c>
      <c r="L27" s="62" t="n">
        <f aca="false">SUM(H27:K27)</f>
        <v>12</v>
      </c>
      <c r="M27" s="60" t="n">
        <f aca="false">COUNTIF('Calendario Octubre 2026'!$B$5:$B$58,"*-Isa")</f>
        <v>2</v>
      </c>
      <c r="N27" s="60" t="n">
        <f aca="false">COUNTIF('Calendario Octubre 2026'!$D$5:$D$58,"*-Isa")</f>
        <v>2</v>
      </c>
      <c r="O27" s="60" t="n">
        <f aca="false">COUNTIF('Calendario Octubre 2026'!$F$5:$F$58,"*-Isa")</f>
        <v>1</v>
      </c>
      <c r="P27" s="60" t="n">
        <f aca="false">COUNTIF('Calendario Octubre 2026'!$H$5:$H$58,"*-Isa")</f>
        <v>2</v>
      </c>
      <c r="Q27" s="60" t="n">
        <f aca="false">COUNTIF('Calendario Octubre 2026'!$J$5:$J$58,"*-Isa")</f>
        <v>2</v>
      </c>
      <c r="R27" s="60" t="n">
        <f aca="false">COUNTIF('Calendario Octubre 2026'!$L$5:$L$58,"*-Isa")</f>
        <v>1</v>
      </c>
      <c r="S27" s="60" t="n">
        <f aca="false">COUNTIF('Calendario Octubre 2026'!$N$5:$N$58,"*-Isa")</f>
        <v>2</v>
      </c>
      <c r="T27" s="60" t="n">
        <f aca="false">COUNTIF('Calendario Octubre 2026'!$B$25:$B$29,"*-Isa")+COUNTIF('Calendario Octubre 2026'!$N$43:$N$47,"*-Isa")+COUNTIF('Calendario Octubre 2026'!$B$52:$B$56,"*-Isa")</f>
        <v>1</v>
      </c>
    </row>
    <row r="28" customFormat="false" ht="15" hidden="false" customHeight="true" outlineLevel="0" collapsed="false">
      <c r="A28" s="70" t="s">
        <v>245</v>
      </c>
      <c r="H28" s="71" t="n">
        <f aca="false">SUM(H3:H27)</f>
        <v>31</v>
      </c>
      <c r="I28" s="71" t="n">
        <f aca="false">SUM(I3:I27)</f>
        <v>33</v>
      </c>
      <c r="J28" s="71" t="n">
        <f aca="false">SUM(J3:J27)</f>
        <v>33</v>
      </c>
      <c r="K28" s="71" t="n">
        <f aca="false">SUM(K3:K27)</f>
        <v>66</v>
      </c>
      <c r="L28" s="71" t="n">
        <f aca="false">SUM(L3:L27)</f>
        <v>163</v>
      </c>
      <c r="M28" s="71" t="n">
        <f aca="false">SUM(M3:M27)</f>
        <v>25</v>
      </c>
      <c r="N28" s="71" t="n">
        <f aca="false">SUM(N3:N27)</f>
        <v>20</v>
      </c>
      <c r="O28" s="71" t="n">
        <f aca="false">SUM(O3:O27)</f>
        <v>20</v>
      </c>
      <c r="P28" s="71" t="n">
        <f aca="false">SUM(P3:P27)</f>
        <v>25</v>
      </c>
      <c r="Q28" s="71" t="n">
        <f aca="false">SUM(Q3:Q27)</f>
        <v>24</v>
      </c>
      <c r="R28" s="71" t="n">
        <f aca="false">SUM(R3:R27)</f>
        <v>25</v>
      </c>
      <c r="S28" s="71" t="n">
        <f aca="false">SUM(S3:S27)</f>
        <v>24</v>
      </c>
      <c r="T28" s="71" t="n">
        <f aca="false">SUM(T3:T27)</f>
        <v>15</v>
      </c>
    </row>
    <row r="30" customFormat="false" ht="15" hidden="false" customHeight="true" outlineLevel="0" collapsed="false">
      <c r="A30" s="54" t="s">
        <v>246</v>
      </c>
      <c r="B30" s="54"/>
      <c r="C30" s="54"/>
      <c r="D30" s="54"/>
      <c r="E30" s="54"/>
      <c r="F30" s="54"/>
      <c r="G30" s="54"/>
      <c r="H30" s="54"/>
      <c r="I30" s="54"/>
      <c r="J30" s="54"/>
      <c r="K30" s="54"/>
      <c r="L30" s="54"/>
      <c r="M30" s="54"/>
      <c r="N30" s="54"/>
      <c r="O30" s="54"/>
      <c r="P30" s="54"/>
      <c r="Q30" s="54"/>
      <c r="R30" s="54"/>
      <c r="S30" s="54"/>
      <c r="T30" s="54"/>
    </row>
  </sheetData>
  <mergeCells count="4">
    <mergeCell ref="A1:G1"/>
    <mergeCell ref="H1:L1"/>
    <mergeCell ref="M1:T1"/>
    <mergeCell ref="A30:T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O39" activeCellId="0" sqref="O39"/>
    </sheetView>
  </sheetViews>
  <sheetFormatPr defaultColWidth="8.8320312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5" min="3" style="1" width="3.33"/>
  </cols>
  <sheetData>
    <row r="1" customFormat="false" ht="27.75" hidden="false" customHeight="true" outlineLevel="0" collapsed="false">
      <c r="A1" s="37" t="s">
        <v>247</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row>
    <row r="2" customFormat="false" ht="18" hidden="false" customHeight="true" outlineLevel="0" collapsed="false">
      <c r="A2" s="72"/>
      <c r="B2" s="73" t="s">
        <v>248</v>
      </c>
      <c r="C2" s="73"/>
      <c r="D2" s="73"/>
      <c r="E2" s="73"/>
      <c r="F2" s="73"/>
      <c r="G2" s="73"/>
      <c r="H2" s="73"/>
      <c r="J2" s="74"/>
      <c r="K2" s="73" t="s">
        <v>249</v>
      </c>
      <c r="L2" s="73"/>
      <c r="M2" s="73"/>
      <c r="N2" s="73"/>
      <c r="O2" s="73"/>
      <c r="P2" s="73"/>
      <c r="Q2" s="73"/>
      <c r="S2" s="75"/>
      <c r="T2" s="73" t="s">
        <v>250</v>
      </c>
      <c r="U2" s="73"/>
      <c r="V2" s="73"/>
      <c r="W2" s="73"/>
      <c r="X2" s="73"/>
      <c r="Y2" s="73"/>
      <c r="Z2" s="73"/>
      <c r="AB2" s="76"/>
      <c r="AC2" s="73" t="s">
        <v>251</v>
      </c>
      <c r="AD2" s="73"/>
      <c r="AE2" s="73"/>
      <c r="AF2" s="73"/>
      <c r="AG2" s="73"/>
      <c r="AH2" s="73"/>
      <c r="AI2" s="73"/>
    </row>
    <row r="3" customFormat="false" ht="15" hidden="false" customHeight="true" outlineLevel="0" collapsed="false">
      <c r="C3" s="77" t="s">
        <v>186</v>
      </c>
      <c r="D3" s="77" t="s">
        <v>187</v>
      </c>
      <c r="E3" s="77" t="s">
        <v>188</v>
      </c>
      <c r="F3" s="77" t="s">
        <v>189</v>
      </c>
      <c r="G3" s="77" t="s">
        <v>183</v>
      </c>
      <c r="H3" s="77" t="s">
        <v>184</v>
      </c>
      <c r="I3" s="77" t="s">
        <v>184</v>
      </c>
      <c r="J3" s="77" t="s">
        <v>186</v>
      </c>
      <c r="K3" s="77" t="s">
        <v>187</v>
      </c>
      <c r="L3" s="77" t="s">
        <v>188</v>
      </c>
      <c r="M3" s="77" t="s">
        <v>189</v>
      </c>
      <c r="N3" s="77" t="s">
        <v>183</v>
      </c>
      <c r="O3" s="77" t="s">
        <v>184</v>
      </c>
      <c r="P3" s="77" t="s">
        <v>184</v>
      </c>
      <c r="Q3" s="77" t="s">
        <v>186</v>
      </c>
      <c r="R3" s="77" t="s">
        <v>187</v>
      </c>
      <c r="S3" s="77" t="s">
        <v>188</v>
      </c>
      <c r="T3" s="77" t="s">
        <v>189</v>
      </c>
      <c r="U3" s="77" t="s">
        <v>183</v>
      </c>
      <c r="V3" s="77" t="s">
        <v>184</v>
      </c>
      <c r="W3" s="77" t="s">
        <v>184</v>
      </c>
      <c r="X3" s="77" t="s">
        <v>186</v>
      </c>
      <c r="Y3" s="77" t="s">
        <v>187</v>
      </c>
      <c r="Z3" s="77" t="s">
        <v>188</v>
      </c>
      <c r="AA3" s="77" t="s">
        <v>189</v>
      </c>
      <c r="AB3" s="77" t="s">
        <v>183</v>
      </c>
      <c r="AC3" s="77" t="s">
        <v>184</v>
      </c>
      <c r="AD3" s="77" t="s">
        <v>184</v>
      </c>
      <c r="AE3" s="77" t="s">
        <v>186</v>
      </c>
      <c r="AF3" s="77" t="s">
        <v>187</v>
      </c>
      <c r="AG3" s="77" t="s">
        <v>188</v>
      </c>
      <c r="AH3" s="77" t="s">
        <v>189</v>
      </c>
      <c r="AI3" s="77" t="s">
        <v>183</v>
      </c>
    </row>
    <row r="4" customFormat="false" ht="15" hidden="false" customHeight="true" outlineLevel="0" collapsed="false">
      <c r="A4" s="78" t="s">
        <v>252</v>
      </c>
      <c r="B4" s="79" t="s">
        <v>176</v>
      </c>
      <c r="C4" s="80" t="s">
        <v>35</v>
      </c>
      <c r="D4" s="80" t="s">
        <v>36</v>
      </c>
      <c r="E4" s="81" t="s">
        <v>37</v>
      </c>
      <c r="F4" s="81" t="s">
        <v>38</v>
      </c>
      <c r="G4" s="80" t="s">
        <v>56</v>
      </c>
      <c r="H4" s="80" t="s">
        <v>57</v>
      </c>
      <c r="I4" s="80" t="s">
        <v>58</v>
      </c>
      <c r="J4" s="80" t="s">
        <v>59</v>
      </c>
      <c r="K4" s="80" t="s">
        <v>60</v>
      </c>
      <c r="L4" s="81" t="s">
        <v>61</v>
      </c>
      <c r="M4" s="81" t="s">
        <v>62</v>
      </c>
      <c r="N4" s="82" t="s">
        <v>253</v>
      </c>
      <c r="O4" s="80" t="s">
        <v>84</v>
      </c>
      <c r="P4" s="80" t="s">
        <v>85</v>
      </c>
      <c r="Q4" s="80" t="s">
        <v>86</v>
      </c>
      <c r="R4" s="80" t="s">
        <v>87</v>
      </c>
      <c r="S4" s="81" t="s">
        <v>88</v>
      </c>
      <c r="T4" s="81" t="s">
        <v>89</v>
      </c>
      <c r="U4" s="80" t="s">
        <v>99</v>
      </c>
      <c r="V4" s="80" t="s">
        <v>100</v>
      </c>
      <c r="W4" s="80" t="s">
        <v>101</v>
      </c>
      <c r="X4" s="80" t="s">
        <v>102</v>
      </c>
      <c r="Y4" s="80" t="s">
        <v>103</v>
      </c>
      <c r="Z4" s="81" t="s">
        <v>104</v>
      </c>
      <c r="AA4" s="81" t="s">
        <v>105</v>
      </c>
      <c r="AB4" s="80" t="s">
        <v>115</v>
      </c>
      <c r="AC4" s="80" t="s">
        <v>116</v>
      </c>
      <c r="AD4" s="80" t="s">
        <v>117</v>
      </c>
      <c r="AE4" s="80" t="s">
        <v>118</v>
      </c>
      <c r="AF4" s="80" t="s">
        <v>119</v>
      </c>
      <c r="AG4" s="81" t="s">
        <v>120</v>
      </c>
      <c r="AH4" s="82" t="s">
        <v>254</v>
      </c>
      <c r="AI4" s="82" t="s">
        <v>255</v>
      </c>
    </row>
    <row r="5" customFormat="false" ht="15" hidden="false" customHeight="true" outlineLevel="0" collapsed="false">
      <c r="A5" s="83" t="s">
        <v>191</v>
      </c>
      <c r="B5" s="84" t="s">
        <v>192</v>
      </c>
      <c r="C5" s="85"/>
      <c r="D5" s="86" t="s">
        <v>185</v>
      </c>
      <c r="E5" s="86" t="s">
        <v>185</v>
      </c>
      <c r="F5" s="86" t="s">
        <v>185</v>
      </c>
      <c r="G5" s="85"/>
      <c r="H5" s="85"/>
      <c r="I5" s="85"/>
      <c r="J5" s="85"/>
      <c r="K5" s="85"/>
      <c r="L5" s="85"/>
      <c r="M5" s="85"/>
      <c r="N5" s="85"/>
      <c r="O5" s="85"/>
      <c r="P5" s="85"/>
      <c r="Q5" s="85"/>
      <c r="R5" s="85"/>
      <c r="S5" s="85"/>
      <c r="T5" s="85"/>
      <c r="U5" s="85"/>
      <c r="V5" s="85"/>
      <c r="W5" s="86" t="s">
        <v>185</v>
      </c>
      <c r="X5" s="86" t="s">
        <v>185</v>
      </c>
      <c r="Y5" s="86" t="s">
        <v>185</v>
      </c>
      <c r="Z5" s="86" t="s">
        <v>185</v>
      </c>
      <c r="AA5" s="86" t="s">
        <v>185</v>
      </c>
      <c r="AB5" s="85"/>
      <c r="AC5" s="85"/>
      <c r="AD5" s="85"/>
      <c r="AE5" s="85"/>
      <c r="AF5" s="85"/>
      <c r="AG5" s="85"/>
      <c r="AH5" s="85"/>
      <c r="AI5" s="85"/>
    </row>
    <row r="6" customFormat="false" ht="15" hidden="false" customHeight="true" outlineLevel="0" collapsed="false">
      <c r="A6" s="87" t="s">
        <v>194</v>
      </c>
      <c r="B6" s="88" t="s">
        <v>195</v>
      </c>
      <c r="C6" s="85"/>
      <c r="D6" s="86" t="s">
        <v>185</v>
      </c>
      <c r="E6" s="86" t="s">
        <v>185</v>
      </c>
      <c r="F6" s="86" t="s">
        <v>185</v>
      </c>
      <c r="G6" s="85"/>
      <c r="H6" s="85"/>
      <c r="I6" s="85"/>
      <c r="J6" s="85"/>
      <c r="K6" s="85"/>
      <c r="L6" s="85"/>
      <c r="M6" s="85"/>
      <c r="N6" s="85"/>
      <c r="O6" s="85"/>
      <c r="P6" s="85"/>
      <c r="Q6" s="85"/>
      <c r="R6" s="85"/>
      <c r="S6" s="85"/>
      <c r="T6" s="85"/>
      <c r="U6" s="85"/>
      <c r="V6" s="85"/>
      <c r="W6" s="85"/>
      <c r="X6" s="85"/>
      <c r="Y6" s="86" t="s">
        <v>185</v>
      </c>
      <c r="Z6" s="86" t="s">
        <v>185</v>
      </c>
      <c r="AA6" s="86" t="s">
        <v>185</v>
      </c>
      <c r="AB6" s="85"/>
      <c r="AC6" s="85"/>
      <c r="AD6" s="85"/>
      <c r="AE6" s="85"/>
      <c r="AF6" s="85"/>
      <c r="AG6" s="85"/>
      <c r="AH6" s="85"/>
      <c r="AI6" s="85"/>
    </row>
    <row r="7" customFormat="false" ht="15" hidden="false" customHeight="true" outlineLevel="0" collapsed="false">
      <c r="A7" s="83" t="s">
        <v>196</v>
      </c>
      <c r="B7" s="84" t="s">
        <v>197</v>
      </c>
      <c r="C7" s="85"/>
      <c r="D7" s="85"/>
      <c r="E7" s="85"/>
      <c r="F7" s="85"/>
      <c r="G7" s="85"/>
      <c r="H7" s="85"/>
      <c r="I7" s="85"/>
      <c r="J7" s="85"/>
      <c r="K7" s="86" t="s">
        <v>185</v>
      </c>
      <c r="L7" s="86" t="s">
        <v>185</v>
      </c>
      <c r="M7" s="86" t="s">
        <v>185</v>
      </c>
      <c r="N7" s="85"/>
      <c r="O7" s="85"/>
      <c r="P7" s="85"/>
      <c r="Q7" s="85"/>
      <c r="R7" s="85"/>
      <c r="S7" s="85"/>
      <c r="T7" s="85"/>
      <c r="U7" s="85"/>
      <c r="V7" s="85"/>
      <c r="W7" s="85"/>
      <c r="X7" s="85"/>
      <c r="Y7" s="86" t="s">
        <v>185</v>
      </c>
      <c r="Z7" s="86" t="s">
        <v>185</v>
      </c>
      <c r="AA7" s="86" t="s">
        <v>185</v>
      </c>
      <c r="AB7" s="85"/>
      <c r="AC7" s="85"/>
      <c r="AD7" s="85"/>
      <c r="AE7" s="85"/>
      <c r="AF7" s="85"/>
      <c r="AG7" s="85"/>
      <c r="AH7" s="85"/>
      <c r="AI7" s="85"/>
    </row>
    <row r="8" customFormat="false" ht="15" hidden="false" customHeight="true" outlineLevel="0" collapsed="false">
      <c r="A8" s="87" t="s">
        <v>199</v>
      </c>
      <c r="B8" s="88" t="s">
        <v>200</v>
      </c>
      <c r="C8" s="85"/>
      <c r="D8" s="85"/>
      <c r="E8" s="85"/>
      <c r="F8" s="85"/>
      <c r="G8" s="85"/>
      <c r="H8" s="85"/>
      <c r="I8" s="85"/>
      <c r="J8" s="85"/>
      <c r="K8" s="85"/>
      <c r="L8" s="85"/>
      <c r="M8" s="85"/>
      <c r="N8" s="85"/>
      <c r="O8" s="85"/>
      <c r="P8" s="85"/>
      <c r="Q8" s="85"/>
      <c r="R8" s="85"/>
      <c r="S8" s="85"/>
      <c r="T8" s="85"/>
      <c r="U8" s="85"/>
      <c r="V8" s="85"/>
      <c r="W8" s="85"/>
      <c r="X8" s="85"/>
      <c r="Y8" s="86" t="s">
        <v>185</v>
      </c>
      <c r="Z8" s="86" t="s">
        <v>185</v>
      </c>
      <c r="AA8" s="86" t="s">
        <v>185</v>
      </c>
      <c r="AB8" s="85"/>
      <c r="AC8" s="85"/>
      <c r="AD8" s="85"/>
      <c r="AE8" s="85"/>
      <c r="AF8" s="85"/>
      <c r="AG8" s="85"/>
      <c r="AH8" s="85"/>
      <c r="AI8" s="85"/>
    </row>
    <row r="9" customFormat="false" ht="15" hidden="false" customHeight="true" outlineLevel="0" collapsed="false">
      <c r="A9" s="83" t="s">
        <v>201</v>
      </c>
      <c r="B9" s="84" t="s">
        <v>202</v>
      </c>
      <c r="C9" s="85"/>
      <c r="D9" s="86" t="s">
        <v>185</v>
      </c>
      <c r="E9" s="86" t="s">
        <v>185</v>
      </c>
      <c r="F9" s="86" t="s">
        <v>185</v>
      </c>
      <c r="G9" s="85"/>
      <c r="H9" s="85"/>
      <c r="I9" s="85"/>
      <c r="J9" s="85"/>
      <c r="K9" s="85"/>
      <c r="L9" s="85"/>
      <c r="M9" s="85"/>
      <c r="N9" s="85"/>
      <c r="O9" s="85"/>
      <c r="P9" s="85"/>
      <c r="Q9" s="85"/>
      <c r="R9" s="85"/>
      <c r="S9" s="85"/>
      <c r="T9" s="85"/>
      <c r="U9" s="85"/>
      <c r="V9" s="85"/>
      <c r="W9" s="85"/>
      <c r="X9" s="85"/>
      <c r="Y9" s="86" t="s">
        <v>185</v>
      </c>
      <c r="Z9" s="86" t="s">
        <v>185</v>
      </c>
      <c r="AA9" s="86" t="s">
        <v>185</v>
      </c>
      <c r="AB9" s="85"/>
      <c r="AC9" s="85"/>
      <c r="AD9" s="85"/>
      <c r="AE9" s="85"/>
      <c r="AF9" s="85"/>
      <c r="AG9" s="85"/>
      <c r="AH9" s="85"/>
      <c r="AI9" s="85"/>
    </row>
    <row r="10" customFormat="false" ht="15" hidden="false" customHeight="true" outlineLevel="0" collapsed="false">
      <c r="A10" s="87" t="s">
        <v>203</v>
      </c>
      <c r="B10" s="88" t="s">
        <v>204</v>
      </c>
      <c r="C10" s="85"/>
      <c r="D10" s="85"/>
      <c r="E10" s="85"/>
      <c r="F10" s="85"/>
      <c r="G10" s="85"/>
      <c r="H10" s="85"/>
      <c r="I10" s="85"/>
      <c r="J10" s="85"/>
      <c r="K10" s="85"/>
      <c r="L10" s="85"/>
      <c r="M10" s="85"/>
      <c r="N10" s="85"/>
      <c r="O10" s="85"/>
      <c r="P10" s="85"/>
      <c r="Q10" s="85"/>
      <c r="R10" s="85"/>
      <c r="S10" s="85"/>
      <c r="T10" s="85"/>
      <c r="U10" s="85"/>
      <c r="V10" s="85"/>
      <c r="W10" s="85"/>
      <c r="X10" s="85"/>
      <c r="Y10" s="86" t="s">
        <v>185</v>
      </c>
      <c r="Z10" s="86" t="s">
        <v>185</v>
      </c>
      <c r="AA10" s="86" t="s">
        <v>185</v>
      </c>
      <c r="AB10" s="85"/>
      <c r="AC10" s="85"/>
      <c r="AD10" s="85"/>
      <c r="AE10" s="85"/>
      <c r="AF10" s="85"/>
      <c r="AG10" s="85"/>
      <c r="AH10" s="85"/>
      <c r="AI10" s="85"/>
    </row>
    <row r="11" customFormat="false" ht="15" hidden="false" customHeight="true" outlineLevel="0" collapsed="false">
      <c r="A11" s="83" t="s">
        <v>205</v>
      </c>
      <c r="B11" s="84" t="s">
        <v>206</v>
      </c>
      <c r="C11" s="85"/>
      <c r="D11" s="86" t="s">
        <v>185</v>
      </c>
      <c r="E11" s="86" t="s">
        <v>185</v>
      </c>
      <c r="F11" s="86" t="s">
        <v>185</v>
      </c>
      <c r="G11" s="85"/>
      <c r="H11" s="85"/>
      <c r="I11" s="85"/>
      <c r="J11" s="85"/>
      <c r="K11" s="85"/>
      <c r="L11" s="85"/>
      <c r="M11" s="85"/>
      <c r="N11" s="85"/>
      <c r="O11" s="85"/>
      <c r="P11" s="85"/>
      <c r="Q11" s="85"/>
      <c r="R11" s="85"/>
      <c r="S11" s="85"/>
      <c r="T11" s="85"/>
      <c r="U11" s="85"/>
      <c r="V11" s="85"/>
      <c r="W11" s="85"/>
      <c r="X11" s="85"/>
      <c r="Y11" s="86" t="s">
        <v>185</v>
      </c>
      <c r="Z11" s="86" t="s">
        <v>185</v>
      </c>
      <c r="AA11" s="86" t="s">
        <v>185</v>
      </c>
      <c r="AB11" s="85"/>
      <c r="AC11" s="85"/>
      <c r="AD11" s="85"/>
      <c r="AE11" s="85"/>
      <c r="AF11" s="85"/>
      <c r="AG11" s="85"/>
      <c r="AH11" s="85"/>
      <c r="AI11" s="85"/>
    </row>
    <row r="12" customFormat="false" ht="15" hidden="false" customHeight="true" outlineLevel="0" collapsed="false">
      <c r="A12" s="87" t="s">
        <v>207</v>
      </c>
      <c r="B12" s="88" t="s">
        <v>208</v>
      </c>
      <c r="C12" s="85"/>
      <c r="D12" s="85"/>
      <c r="E12" s="85"/>
      <c r="F12" s="85"/>
      <c r="G12" s="85"/>
      <c r="H12" s="85"/>
      <c r="I12" s="85"/>
      <c r="J12" s="85"/>
      <c r="K12" s="86" t="s">
        <v>185</v>
      </c>
      <c r="L12" s="86" t="s">
        <v>185</v>
      </c>
      <c r="M12" s="86" t="s">
        <v>185</v>
      </c>
      <c r="N12" s="85"/>
      <c r="O12" s="85"/>
      <c r="P12" s="85"/>
      <c r="Q12" s="85"/>
      <c r="R12" s="85"/>
      <c r="S12" s="85"/>
      <c r="T12" s="85"/>
      <c r="U12" s="85"/>
      <c r="V12" s="85"/>
      <c r="W12" s="85"/>
      <c r="X12" s="85"/>
      <c r="Y12" s="86" t="s">
        <v>185</v>
      </c>
      <c r="Z12" s="86" t="s">
        <v>185</v>
      </c>
      <c r="AA12" s="86" t="s">
        <v>185</v>
      </c>
      <c r="AB12" s="85"/>
      <c r="AC12" s="85"/>
      <c r="AD12" s="85"/>
      <c r="AE12" s="85"/>
      <c r="AF12" s="85"/>
      <c r="AG12" s="85"/>
      <c r="AH12" s="85"/>
      <c r="AI12" s="85"/>
    </row>
    <row r="13" customFormat="false" ht="15" hidden="false" customHeight="true" outlineLevel="0" collapsed="false">
      <c r="A13" s="83" t="s">
        <v>209</v>
      </c>
      <c r="B13" s="84" t="s">
        <v>210</v>
      </c>
      <c r="C13" s="85"/>
      <c r="D13" s="85"/>
      <c r="E13" s="85"/>
      <c r="F13" s="85"/>
      <c r="G13" s="85"/>
      <c r="H13" s="85"/>
      <c r="I13" s="85"/>
      <c r="J13" s="85"/>
      <c r="K13" s="85"/>
      <c r="L13" s="86" t="s">
        <v>185</v>
      </c>
      <c r="M13" s="85"/>
      <c r="N13" s="85"/>
      <c r="O13" s="85"/>
      <c r="P13" s="85"/>
      <c r="Q13" s="85"/>
      <c r="R13" s="85"/>
      <c r="S13" s="85"/>
      <c r="T13" s="85"/>
      <c r="U13" s="85"/>
      <c r="V13" s="85"/>
      <c r="W13" s="85"/>
      <c r="X13" s="85"/>
      <c r="Y13" s="85"/>
      <c r="Z13" s="85"/>
      <c r="AA13" s="85"/>
      <c r="AB13" s="85"/>
      <c r="AC13" s="85"/>
      <c r="AD13" s="85"/>
      <c r="AE13" s="85"/>
      <c r="AF13" s="85"/>
      <c r="AG13" s="85"/>
      <c r="AH13" s="85"/>
      <c r="AI13" s="85"/>
    </row>
    <row r="14" customFormat="false" ht="15" hidden="false" customHeight="true" outlineLevel="0" collapsed="false">
      <c r="A14" s="87" t="s">
        <v>212</v>
      </c>
      <c r="B14" s="88" t="s">
        <v>213</v>
      </c>
      <c r="C14" s="85"/>
      <c r="D14" s="85"/>
      <c r="E14" s="85"/>
      <c r="F14" s="85"/>
      <c r="G14" s="85"/>
      <c r="H14" s="85"/>
      <c r="I14" s="85"/>
      <c r="J14" s="86" t="s">
        <v>185</v>
      </c>
      <c r="K14" s="86" t="s">
        <v>185</v>
      </c>
      <c r="L14" s="85"/>
      <c r="M14" s="85"/>
      <c r="N14" s="85"/>
      <c r="O14" s="85"/>
      <c r="P14" s="85"/>
      <c r="Q14" s="85"/>
      <c r="R14" s="85"/>
      <c r="S14" s="85"/>
      <c r="T14" s="85"/>
      <c r="U14" s="85"/>
      <c r="V14" s="85"/>
      <c r="W14" s="85"/>
      <c r="X14" s="85"/>
      <c r="Y14" s="86" t="s">
        <v>185</v>
      </c>
      <c r="Z14" s="86" t="s">
        <v>185</v>
      </c>
      <c r="AA14" s="86" t="s">
        <v>185</v>
      </c>
      <c r="AB14" s="85"/>
      <c r="AC14" s="85"/>
      <c r="AD14" s="85"/>
      <c r="AE14" s="85"/>
      <c r="AF14" s="85"/>
      <c r="AG14" s="85"/>
      <c r="AH14" s="85"/>
      <c r="AI14" s="85"/>
    </row>
    <row r="15" customFormat="false" ht="15" hidden="false" customHeight="true" outlineLevel="0" collapsed="false">
      <c r="A15" s="83" t="s">
        <v>215</v>
      </c>
      <c r="B15" s="84" t="s">
        <v>216</v>
      </c>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row>
    <row r="16" customFormat="false" ht="15" hidden="false" customHeight="true" outlineLevel="0" collapsed="false">
      <c r="A16" s="87" t="s">
        <v>217</v>
      </c>
      <c r="B16" s="88" t="s">
        <v>218</v>
      </c>
      <c r="C16" s="86" t="s">
        <v>185</v>
      </c>
      <c r="D16" s="86" t="s">
        <v>185</v>
      </c>
      <c r="E16" s="86" t="s">
        <v>185</v>
      </c>
      <c r="F16" s="86" t="s">
        <v>185</v>
      </c>
      <c r="G16" s="86" t="s">
        <v>185</v>
      </c>
      <c r="H16" s="86" t="s">
        <v>185</v>
      </c>
      <c r="I16" s="86" t="s">
        <v>185</v>
      </c>
      <c r="J16" s="86" t="s">
        <v>185</v>
      </c>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row>
    <row r="17" customFormat="false" ht="15" hidden="false" customHeight="true" outlineLevel="0" collapsed="false">
      <c r="A17" s="83" t="s">
        <v>219</v>
      </c>
      <c r="B17" s="84" t="s">
        <v>220</v>
      </c>
      <c r="C17" s="86" t="s">
        <v>185</v>
      </c>
      <c r="D17" s="85"/>
      <c r="E17" s="85"/>
      <c r="F17" s="85"/>
      <c r="G17" s="85"/>
      <c r="H17" s="85"/>
      <c r="I17" s="85"/>
      <c r="J17" s="85"/>
      <c r="K17" s="85"/>
      <c r="L17" s="85"/>
      <c r="M17" s="85"/>
      <c r="N17" s="85"/>
      <c r="O17" s="85"/>
      <c r="P17" s="85"/>
      <c r="Q17" s="85"/>
      <c r="R17" s="85"/>
      <c r="S17" s="85"/>
      <c r="T17" s="85"/>
      <c r="U17" s="85"/>
      <c r="V17" s="85"/>
      <c r="W17" s="85"/>
      <c r="X17" s="85"/>
      <c r="Y17" s="85"/>
      <c r="Z17" s="85"/>
      <c r="AA17" s="85"/>
      <c r="AB17" s="86" t="s">
        <v>185</v>
      </c>
      <c r="AC17" s="85"/>
      <c r="AD17" s="85"/>
      <c r="AE17" s="85"/>
      <c r="AF17" s="86" t="s">
        <v>185</v>
      </c>
      <c r="AG17" s="85"/>
      <c r="AH17" s="85"/>
      <c r="AI17" s="85"/>
    </row>
    <row r="18" customFormat="false" ht="15" hidden="false" customHeight="true" outlineLevel="0" collapsed="false">
      <c r="A18" s="87" t="s">
        <v>221</v>
      </c>
      <c r="B18" s="88" t="s">
        <v>222</v>
      </c>
      <c r="C18" s="85"/>
      <c r="D18" s="85"/>
      <c r="E18" s="85"/>
      <c r="F18" s="85"/>
      <c r="G18" s="85"/>
      <c r="H18" s="85"/>
      <c r="I18" s="85"/>
      <c r="J18" s="85"/>
      <c r="K18" s="85"/>
      <c r="L18" s="85"/>
      <c r="M18" s="85"/>
      <c r="N18" s="85"/>
      <c r="O18" s="85"/>
      <c r="P18" s="85"/>
      <c r="Q18" s="86" t="s">
        <v>185</v>
      </c>
      <c r="R18" s="86" t="s">
        <v>185</v>
      </c>
      <c r="S18" s="86" t="s">
        <v>185</v>
      </c>
      <c r="T18" s="86" t="s">
        <v>185</v>
      </c>
      <c r="U18" s="85"/>
      <c r="V18" s="85"/>
      <c r="W18" s="85"/>
      <c r="X18" s="85"/>
      <c r="Y18" s="85"/>
      <c r="Z18" s="85"/>
      <c r="AA18" s="85"/>
      <c r="AB18" s="85"/>
      <c r="AC18" s="85"/>
      <c r="AD18" s="85"/>
      <c r="AE18" s="85"/>
      <c r="AF18" s="85"/>
      <c r="AG18" s="85"/>
      <c r="AH18" s="85"/>
      <c r="AI18" s="85"/>
    </row>
    <row r="19" customFormat="false" ht="15" hidden="false" customHeight="true" outlineLevel="0" collapsed="false">
      <c r="A19" s="83" t="s">
        <v>223</v>
      </c>
      <c r="B19" s="84" t="s">
        <v>224</v>
      </c>
      <c r="C19" s="85"/>
      <c r="D19" s="85"/>
      <c r="E19" s="86" t="s">
        <v>185</v>
      </c>
      <c r="F19" s="86" t="s">
        <v>185</v>
      </c>
      <c r="G19" s="85"/>
      <c r="H19" s="85"/>
      <c r="I19" s="85"/>
      <c r="J19" s="85"/>
      <c r="K19" s="85"/>
      <c r="L19" s="85"/>
      <c r="M19" s="85"/>
      <c r="N19" s="85"/>
      <c r="O19" s="85"/>
      <c r="P19" s="85"/>
      <c r="Q19" s="85"/>
      <c r="R19" s="85"/>
      <c r="S19" s="85"/>
      <c r="T19" s="85"/>
      <c r="U19" s="85"/>
      <c r="V19" s="85"/>
      <c r="W19" s="85"/>
      <c r="X19" s="85"/>
      <c r="Y19" s="86" t="s">
        <v>185</v>
      </c>
      <c r="Z19" s="86" t="s">
        <v>185</v>
      </c>
      <c r="AA19" s="86" t="s">
        <v>185</v>
      </c>
      <c r="AB19" s="85"/>
      <c r="AC19" s="85"/>
      <c r="AD19" s="85"/>
      <c r="AE19" s="85"/>
      <c r="AF19" s="85"/>
      <c r="AG19" s="85"/>
      <c r="AH19" s="85"/>
      <c r="AI19" s="85"/>
    </row>
    <row r="20" customFormat="false" ht="15" hidden="false" customHeight="true" outlineLevel="0" collapsed="false">
      <c r="A20" s="87" t="s">
        <v>225</v>
      </c>
      <c r="B20" s="88" t="s">
        <v>226</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row>
    <row r="21" customFormat="false" ht="15" hidden="false" customHeight="true" outlineLevel="0" collapsed="false">
      <c r="A21" s="83" t="s">
        <v>227</v>
      </c>
      <c r="B21" s="84" t="s">
        <v>228</v>
      </c>
      <c r="C21" s="85"/>
      <c r="D21" s="85"/>
      <c r="E21" s="85"/>
      <c r="F21" s="85"/>
      <c r="G21" s="85"/>
      <c r="H21" s="85"/>
      <c r="I21" s="85"/>
      <c r="J21" s="86" t="s">
        <v>185</v>
      </c>
      <c r="K21" s="86" t="s">
        <v>185</v>
      </c>
      <c r="L21" s="86" t="s">
        <v>185</v>
      </c>
      <c r="M21" s="86" t="s">
        <v>185</v>
      </c>
      <c r="N21" s="86" t="s">
        <v>185</v>
      </c>
      <c r="O21" s="85"/>
      <c r="P21" s="85"/>
      <c r="Q21" s="85"/>
      <c r="R21" s="85"/>
      <c r="S21" s="85"/>
      <c r="T21" s="85"/>
      <c r="U21" s="85"/>
      <c r="V21" s="85"/>
      <c r="W21" s="85"/>
      <c r="X21" s="85"/>
      <c r="Y21" s="85"/>
      <c r="Z21" s="85"/>
      <c r="AA21" s="85"/>
      <c r="AB21" s="85"/>
      <c r="AC21" s="85"/>
      <c r="AD21" s="85"/>
      <c r="AE21" s="85"/>
      <c r="AF21" s="85"/>
      <c r="AG21" s="85"/>
      <c r="AH21" s="85"/>
      <c r="AI21" s="85"/>
    </row>
    <row r="22" customFormat="false" ht="15" hidden="false" customHeight="true" outlineLevel="0" collapsed="false">
      <c r="A22" s="87" t="s">
        <v>229</v>
      </c>
      <c r="B22" s="88" t="s">
        <v>230</v>
      </c>
      <c r="C22" s="85"/>
      <c r="D22" s="85"/>
      <c r="E22" s="85"/>
      <c r="F22" s="85"/>
      <c r="G22" s="85"/>
      <c r="H22" s="85"/>
      <c r="I22" s="85"/>
      <c r="J22" s="86" t="s">
        <v>185</v>
      </c>
      <c r="K22" s="86" t="s">
        <v>185</v>
      </c>
      <c r="L22" s="85"/>
      <c r="M22" s="85"/>
      <c r="N22" s="85"/>
      <c r="O22" s="85"/>
      <c r="P22" s="85"/>
      <c r="Q22" s="85"/>
      <c r="R22" s="85"/>
      <c r="S22" s="85"/>
      <c r="T22" s="85"/>
      <c r="U22" s="85"/>
      <c r="V22" s="85"/>
      <c r="W22" s="85"/>
      <c r="X22" s="86" t="s">
        <v>185</v>
      </c>
      <c r="Y22" s="86" t="s">
        <v>185</v>
      </c>
      <c r="Z22" s="86" t="s">
        <v>185</v>
      </c>
      <c r="AA22" s="86" t="s">
        <v>185</v>
      </c>
      <c r="AB22" s="85"/>
      <c r="AC22" s="85"/>
      <c r="AD22" s="85"/>
      <c r="AE22" s="85"/>
      <c r="AF22" s="85"/>
      <c r="AG22" s="85"/>
      <c r="AH22" s="85"/>
      <c r="AI22" s="85"/>
    </row>
    <row r="23" customFormat="false" ht="15" hidden="false" customHeight="true" outlineLevel="0" collapsed="false">
      <c r="A23" s="83" t="s">
        <v>231</v>
      </c>
      <c r="B23" s="84" t="s">
        <v>232</v>
      </c>
      <c r="C23" s="85"/>
      <c r="D23" s="85"/>
      <c r="E23" s="85"/>
      <c r="F23" s="85"/>
      <c r="G23" s="85"/>
      <c r="H23" s="85"/>
      <c r="I23" s="85"/>
      <c r="J23" s="85"/>
      <c r="K23" s="85"/>
      <c r="L23" s="85"/>
      <c r="M23" s="85"/>
      <c r="N23" s="85"/>
      <c r="O23" s="85"/>
      <c r="P23" s="85"/>
      <c r="Q23" s="85"/>
      <c r="R23" s="85"/>
      <c r="S23" s="85"/>
      <c r="T23" s="85"/>
      <c r="U23" s="85"/>
      <c r="V23" s="85"/>
      <c r="W23" s="85"/>
      <c r="X23" s="85"/>
      <c r="Y23" s="85"/>
      <c r="Z23" s="86" t="s">
        <v>185</v>
      </c>
      <c r="AA23" s="86" t="s">
        <v>185</v>
      </c>
      <c r="AB23" s="85"/>
      <c r="AC23" s="85"/>
      <c r="AD23" s="85"/>
      <c r="AE23" s="85"/>
      <c r="AF23" s="85"/>
      <c r="AG23" s="85"/>
      <c r="AH23" s="85"/>
      <c r="AI23" s="85"/>
    </row>
    <row r="24" customFormat="false" ht="15" hidden="false" customHeight="true" outlineLevel="0" collapsed="false">
      <c r="A24" s="87" t="s">
        <v>233</v>
      </c>
      <c r="B24" s="88" t="s">
        <v>234</v>
      </c>
      <c r="C24" s="85"/>
      <c r="D24" s="85"/>
      <c r="E24" s="85"/>
      <c r="F24" s="85"/>
      <c r="G24" s="85"/>
      <c r="H24" s="85"/>
      <c r="I24" s="85"/>
      <c r="J24" s="85"/>
      <c r="K24" s="86" t="s">
        <v>185</v>
      </c>
      <c r="L24" s="86" t="s">
        <v>185</v>
      </c>
      <c r="M24" s="86" t="s">
        <v>185</v>
      </c>
      <c r="N24" s="85"/>
      <c r="O24" s="85"/>
      <c r="P24" s="85"/>
      <c r="Q24" s="85"/>
      <c r="R24" s="85"/>
      <c r="S24" s="85"/>
      <c r="T24" s="85"/>
      <c r="U24" s="85"/>
      <c r="V24" s="85"/>
      <c r="W24" s="85"/>
      <c r="X24" s="85"/>
      <c r="Y24" s="85"/>
      <c r="Z24" s="85"/>
      <c r="AA24" s="85"/>
      <c r="AB24" s="85"/>
      <c r="AC24" s="85"/>
      <c r="AD24" s="85"/>
      <c r="AE24" s="85"/>
      <c r="AF24" s="85"/>
      <c r="AG24" s="85"/>
      <c r="AH24" s="85"/>
      <c r="AI24" s="85"/>
    </row>
    <row r="25" customFormat="false" ht="15" hidden="false" customHeight="true" outlineLevel="0" collapsed="false">
      <c r="A25" s="83" t="s">
        <v>235</v>
      </c>
      <c r="B25" s="84" t="s">
        <v>236</v>
      </c>
      <c r="C25" s="85"/>
      <c r="D25" s="89" t="s">
        <v>256</v>
      </c>
      <c r="E25" s="89" t="s">
        <v>256</v>
      </c>
      <c r="F25" s="89" t="s">
        <v>256</v>
      </c>
      <c r="G25" s="85"/>
      <c r="H25" s="85"/>
      <c r="I25" s="85"/>
      <c r="J25" s="85"/>
      <c r="K25" s="85"/>
      <c r="L25" s="85"/>
      <c r="M25" s="89" t="s">
        <v>256</v>
      </c>
      <c r="N25" s="85"/>
      <c r="O25" s="85"/>
      <c r="P25" s="85"/>
      <c r="Q25" s="85"/>
      <c r="R25" s="85"/>
      <c r="S25" s="85"/>
      <c r="T25" s="85"/>
      <c r="U25" s="85"/>
      <c r="V25" s="85"/>
      <c r="W25" s="85"/>
      <c r="X25" s="85"/>
      <c r="Y25" s="89" t="s">
        <v>256</v>
      </c>
      <c r="Z25" s="89" t="s">
        <v>256</v>
      </c>
      <c r="AA25" s="89" t="s">
        <v>256</v>
      </c>
      <c r="AB25" s="85"/>
      <c r="AC25" s="85"/>
      <c r="AD25" s="85"/>
      <c r="AE25" s="85"/>
      <c r="AF25" s="85"/>
      <c r="AG25" s="85"/>
      <c r="AH25" s="85"/>
      <c r="AI25" s="85"/>
    </row>
    <row r="26" customFormat="false" ht="15" hidden="false" customHeight="true" outlineLevel="0" collapsed="false">
      <c r="A26" s="87" t="s">
        <v>237</v>
      </c>
      <c r="B26" s="88" t="s">
        <v>238</v>
      </c>
      <c r="C26" s="85"/>
      <c r="D26" s="86" t="s">
        <v>185</v>
      </c>
      <c r="E26" s="86" t="s">
        <v>185</v>
      </c>
      <c r="F26" s="86" t="s">
        <v>185</v>
      </c>
      <c r="G26" s="85"/>
      <c r="H26" s="85"/>
      <c r="I26" s="85"/>
      <c r="J26" s="85"/>
      <c r="K26" s="86" t="s">
        <v>185</v>
      </c>
      <c r="L26" s="86" t="s">
        <v>185</v>
      </c>
      <c r="M26" s="86" t="s">
        <v>185</v>
      </c>
      <c r="N26" s="85"/>
      <c r="O26" s="85"/>
      <c r="P26" s="85"/>
      <c r="Q26" s="86" t="s">
        <v>185</v>
      </c>
      <c r="R26" s="86" t="s">
        <v>185</v>
      </c>
      <c r="S26" s="86" t="s">
        <v>185</v>
      </c>
      <c r="T26" s="86" t="s">
        <v>185</v>
      </c>
      <c r="U26" s="86" t="s">
        <v>185</v>
      </c>
      <c r="V26" s="86" t="s">
        <v>185</v>
      </c>
      <c r="W26" s="86" t="s">
        <v>185</v>
      </c>
      <c r="X26" s="85"/>
      <c r="Y26" s="85"/>
      <c r="Z26" s="85"/>
      <c r="AA26" s="85"/>
      <c r="AB26" s="85"/>
      <c r="AC26" s="85"/>
      <c r="AD26" s="85"/>
      <c r="AE26" s="85"/>
      <c r="AF26" s="85"/>
      <c r="AG26" s="85"/>
      <c r="AH26" s="85"/>
      <c r="AI26" s="85"/>
    </row>
    <row r="27" customFormat="false" ht="15" hidden="false" customHeight="true" outlineLevel="0" collapsed="false">
      <c r="A27" s="83" t="s">
        <v>239</v>
      </c>
      <c r="B27" s="84" t="s">
        <v>240</v>
      </c>
      <c r="C27" s="90" t="s">
        <v>257</v>
      </c>
      <c r="D27" s="85"/>
      <c r="E27" s="85"/>
      <c r="F27" s="90" t="s">
        <v>257</v>
      </c>
      <c r="G27" s="85"/>
      <c r="H27" s="85"/>
      <c r="I27" s="90" t="s">
        <v>257</v>
      </c>
      <c r="J27" s="85"/>
      <c r="K27" s="85"/>
      <c r="L27" s="90" t="s">
        <v>257</v>
      </c>
      <c r="M27" s="85"/>
      <c r="N27" s="85"/>
      <c r="O27" s="90" t="s">
        <v>257</v>
      </c>
      <c r="P27" s="85"/>
      <c r="Q27" s="85"/>
      <c r="R27" s="89" t="s">
        <v>256</v>
      </c>
      <c r="S27" s="89" t="s">
        <v>256</v>
      </c>
      <c r="T27" s="90" t="s">
        <v>257</v>
      </c>
      <c r="U27" s="85"/>
      <c r="V27" s="85"/>
      <c r="W27" s="90" t="s">
        <v>257</v>
      </c>
      <c r="X27" s="85"/>
      <c r="Y27" s="85"/>
      <c r="Z27" s="85"/>
      <c r="AA27" s="90" t="s">
        <v>257</v>
      </c>
      <c r="AB27" s="85"/>
      <c r="AC27" s="85"/>
      <c r="AD27" s="90" t="s">
        <v>257</v>
      </c>
      <c r="AE27" s="85"/>
      <c r="AF27" s="85"/>
      <c r="AG27" s="85"/>
      <c r="AH27" s="85"/>
      <c r="AI27" s="85"/>
    </row>
    <row r="28" customFormat="false" ht="15" hidden="false" customHeight="true" outlineLevel="0" collapsed="false">
      <c r="A28" s="87" t="s">
        <v>241</v>
      </c>
      <c r="B28" s="88" t="s">
        <v>242</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6" t="s">
        <v>185</v>
      </c>
      <c r="AF28" s="86" t="s">
        <v>185</v>
      </c>
      <c r="AG28" s="86" t="s">
        <v>185</v>
      </c>
      <c r="AH28" s="86" t="s">
        <v>185</v>
      </c>
      <c r="AI28" s="85"/>
    </row>
    <row r="29" customFormat="false" ht="15" hidden="false" customHeight="true" outlineLevel="0" collapsed="false">
      <c r="A29" s="83" t="s">
        <v>243</v>
      </c>
      <c r="B29" s="84" t="s">
        <v>244</v>
      </c>
      <c r="C29" s="85"/>
      <c r="D29" s="85"/>
      <c r="E29" s="86" t="s">
        <v>185</v>
      </c>
      <c r="F29" s="86" t="s">
        <v>185</v>
      </c>
      <c r="G29" s="85"/>
      <c r="H29" s="85"/>
      <c r="I29" s="85"/>
      <c r="J29" s="85"/>
      <c r="K29" s="85"/>
      <c r="L29" s="85"/>
      <c r="M29" s="85"/>
      <c r="N29" s="85"/>
      <c r="O29" s="85"/>
      <c r="P29" s="86" t="s">
        <v>185</v>
      </c>
      <c r="Q29" s="86" t="s">
        <v>185</v>
      </c>
      <c r="R29" s="86" t="s">
        <v>185</v>
      </c>
      <c r="S29" s="86" t="s">
        <v>185</v>
      </c>
      <c r="T29" s="86" t="s">
        <v>185</v>
      </c>
      <c r="U29" s="85"/>
      <c r="V29" s="85"/>
      <c r="W29" s="85"/>
      <c r="X29" s="85"/>
      <c r="Y29" s="85"/>
      <c r="Z29" s="85"/>
      <c r="AA29" s="85"/>
      <c r="AB29" s="85"/>
      <c r="AC29" s="85"/>
      <c r="AD29" s="85"/>
      <c r="AE29" s="85"/>
      <c r="AF29" s="85"/>
      <c r="AG29" s="85"/>
      <c r="AH29" s="85"/>
      <c r="AI29" s="85"/>
    </row>
    <row r="30" customFormat="false" ht="15.75" hidden="false" customHeight="true" outlineLevel="0" collapsed="false">
      <c r="A30" s="91" t="s">
        <v>258</v>
      </c>
      <c r="C30" s="92" t="n">
        <v>3</v>
      </c>
      <c r="D30" s="93" t="n">
        <v>7</v>
      </c>
      <c r="E30" s="94" t="n">
        <v>8</v>
      </c>
      <c r="F30" s="94" t="n">
        <v>10</v>
      </c>
      <c r="G30" s="92" t="n">
        <v>1</v>
      </c>
      <c r="H30" s="92" t="n">
        <v>1</v>
      </c>
      <c r="I30" s="92" t="n">
        <v>2</v>
      </c>
      <c r="J30" s="93" t="n">
        <v>4</v>
      </c>
      <c r="K30" s="93" t="n">
        <v>7</v>
      </c>
      <c r="L30" s="93" t="n">
        <v>7</v>
      </c>
      <c r="M30" s="93" t="n">
        <v>6</v>
      </c>
      <c r="N30" s="92" t="n">
        <v>1</v>
      </c>
      <c r="O30" s="92" t="n">
        <v>1</v>
      </c>
      <c r="P30" s="92" t="n">
        <v>1</v>
      </c>
      <c r="Q30" s="92" t="n">
        <v>3</v>
      </c>
      <c r="R30" s="93" t="n">
        <v>4</v>
      </c>
      <c r="S30" s="93" t="n">
        <v>4</v>
      </c>
      <c r="T30" s="93" t="n">
        <v>4</v>
      </c>
      <c r="U30" s="92" t="n">
        <v>1</v>
      </c>
      <c r="V30" s="92" t="n">
        <v>1</v>
      </c>
      <c r="W30" s="92" t="n">
        <v>3</v>
      </c>
      <c r="X30" s="92" t="n">
        <v>2</v>
      </c>
      <c r="Y30" s="94" t="n">
        <v>12</v>
      </c>
      <c r="Z30" s="94" t="n">
        <v>13</v>
      </c>
      <c r="AA30" s="94" t="n">
        <v>14</v>
      </c>
      <c r="AB30" s="92" t="n">
        <v>1</v>
      </c>
      <c r="AC30" s="92" t="n">
        <v>0</v>
      </c>
      <c r="AD30" s="92" t="n">
        <v>1</v>
      </c>
      <c r="AE30" s="92" t="n">
        <v>1</v>
      </c>
      <c r="AF30" s="92" t="n">
        <v>2</v>
      </c>
      <c r="AG30" s="92" t="n">
        <v>1</v>
      </c>
      <c r="AH30" s="92" t="n">
        <v>1</v>
      </c>
      <c r="AI30" s="92" t="n">
        <v>0</v>
      </c>
    </row>
  </sheetData>
  <mergeCells count="5">
    <mergeCell ref="A1:AI1"/>
    <mergeCell ref="B2:H2"/>
    <mergeCell ref="K2:Q2"/>
    <mergeCell ref="T2:Z2"/>
    <mergeCell ref="AC2:A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5" activePane="bottomLeft" state="frozen"/>
      <selection pane="topLeft" activeCell="A1" activeCellId="0" sqref="A1"/>
      <selection pane="bottomLeft" activeCell="E13" activeCellId="0" sqref="E13"/>
    </sheetView>
  </sheetViews>
  <sheetFormatPr defaultColWidth="8.8320312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4"/>
    <col collapsed="false" customWidth="true" hidden="false" outlineLevel="0" max="4" min="4" style="1" width="55"/>
  </cols>
  <sheetData>
    <row r="1" customFormat="false" ht="21.75" hidden="false" customHeight="true" outlineLevel="0" collapsed="false">
      <c r="A1" s="95" t="s">
        <v>259</v>
      </c>
      <c r="B1" s="95"/>
      <c r="C1" s="95"/>
      <c r="D1" s="95"/>
    </row>
    <row r="3" customFormat="false" ht="15" hidden="false" customHeight="true" outlineLevel="0" collapsed="false">
      <c r="A3" s="78" t="s">
        <v>260</v>
      </c>
      <c r="B3" s="78" t="s">
        <v>261</v>
      </c>
      <c r="C3" s="78" t="s">
        <v>262</v>
      </c>
      <c r="D3" s="78" t="s">
        <v>263</v>
      </c>
    </row>
    <row r="4" customFormat="false" ht="27.75" hidden="false" customHeight="true" outlineLevel="0" collapsed="false">
      <c r="A4" s="96" t="s">
        <v>264</v>
      </c>
      <c r="B4" s="97" t="s">
        <v>265</v>
      </c>
      <c r="C4" s="98" t="s">
        <v>266</v>
      </c>
      <c r="D4" s="99" t="s">
        <v>267</v>
      </c>
    </row>
    <row r="5" customFormat="false" ht="27.75" hidden="false" customHeight="true" outlineLevel="0" collapsed="false">
      <c r="A5" s="100" t="s">
        <v>268</v>
      </c>
      <c r="B5" s="101" t="s">
        <v>269</v>
      </c>
      <c r="C5" s="98" t="s">
        <v>270</v>
      </c>
      <c r="D5" s="102" t="s">
        <v>271</v>
      </c>
    </row>
    <row r="6" customFormat="false" ht="27.75" hidden="false" customHeight="true" outlineLevel="0" collapsed="false">
      <c r="A6" s="96" t="s">
        <v>272</v>
      </c>
      <c r="B6" s="97" t="s">
        <v>273</v>
      </c>
      <c r="C6" s="98" t="s">
        <v>270</v>
      </c>
      <c r="D6" s="99" t="s">
        <v>271</v>
      </c>
    </row>
    <row r="7" customFormat="false" ht="27.75" hidden="false" customHeight="true" outlineLevel="0" collapsed="false">
      <c r="A7" s="100" t="s">
        <v>274</v>
      </c>
      <c r="B7" s="101" t="s">
        <v>275</v>
      </c>
      <c r="C7" s="98" t="s">
        <v>270</v>
      </c>
      <c r="D7" s="102" t="s">
        <v>271</v>
      </c>
    </row>
    <row r="8" customFormat="false" ht="27.75" hidden="false" customHeight="true" outlineLevel="0" collapsed="false">
      <c r="A8" s="96" t="s">
        <v>276</v>
      </c>
      <c r="B8" s="97" t="s">
        <v>277</v>
      </c>
      <c r="C8" s="98" t="s">
        <v>266</v>
      </c>
      <c r="D8" s="99" t="s">
        <v>278</v>
      </c>
    </row>
    <row r="9" customFormat="false" ht="27.75" hidden="false" customHeight="true" outlineLevel="0" collapsed="false">
      <c r="A9" s="100" t="s">
        <v>279</v>
      </c>
      <c r="B9" s="101" t="s">
        <v>280</v>
      </c>
      <c r="C9" s="98" t="s">
        <v>270</v>
      </c>
      <c r="D9" s="102" t="s">
        <v>271</v>
      </c>
    </row>
    <row r="10" customFormat="false" ht="27.75" hidden="false" customHeight="true" outlineLevel="0" collapsed="false">
      <c r="A10" s="96" t="s">
        <v>281</v>
      </c>
      <c r="B10" s="97" t="s">
        <v>282</v>
      </c>
      <c r="C10" s="98" t="s">
        <v>270</v>
      </c>
      <c r="D10" s="99" t="s">
        <v>271</v>
      </c>
    </row>
    <row r="11" customFormat="false" ht="27.75" hidden="false" customHeight="true" outlineLevel="0" collapsed="false">
      <c r="A11" s="100" t="s">
        <v>283</v>
      </c>
      <c r="B11" s="101" t="s">
        <v>284</v>
      </c>
      <c r="C11" s="98" t="s">
        <v>270</v>
      </c>
      <c r="D11" s="102" t="s">
        <v>271</v>
      </c>
    </row>
    <row r="12" customFormat="false" ht="27.75" hidden="false" customHeight="true" outlineLevel="0" collapsed="false">
      <c r="A12" s="96" t="s">
        <v>285</v>
      </c>
      <c r="B12" s="97" t="s">
        <v>286</v>
      </c>
      <c r="C12" s="98" t="s">
        <v>270</v>
      </c>
      <c r="D12" s="99"/>
    </row>
    <row r="13" customFormat="false" ht="27.75" hidden="false" customHeight="true" outlineLevel="0" collapsed="false">
      <c r="A13" s="100" t="s">
        <v>287</v>
      </c>
      <c r="B13" s="101" t="s">
        <v>288</v>
      </c>
      <c r="C13" s="98" t="s">
        <v>270</v>
      </c>
      <c r="D13" s="102" t="s">
        <v>289</v>
      </c>
      <c r="E13" s="1" t="s">
        <v>290</v>
      </c>
    </row>
    <row r="14" customFormat="false" ht="27.75" hidden="false" customHeight="true" outlineLevel="0" collapsed="false">
      <c r="A14" s="96" t="s">
        <v>291</v>
      </c>
      <c r="B14" s="97" t="s">
        <v>292</v>
      </c>
      <c r="C14" s="98" t="s">
        <v>270</v>
      </c>
      <c r="D14" s="99" t="s">
        <v>271</v>
      </c>
    </row>
    <row r="15" customFormat="false" ht="27.75" hidden="false" customHeight="true" outlineLevel="0" collapsed="false">
      <c r="A15" s="100" t="s">
        <v>293</v>
      </c>
      <c r="B15" s="101" t="s">
        <v>294</v>
      </c>
      <c r="C15" s="98" t="s">
        <v>270</v>
      </c>
      <c r="D15" s="102" t="s">
        <v>271</v>
      </c>
    </row>
    <row r="16" customFormat="false" ht="27.75" hidden="false" customHeight="true" outlineLevel="0" collapsed="false">
      <c r="A16" s="96" t="s">
        <v>295</v>
      </c>
      <c r="B16" s="97" t="s">
        <v>296</v>
      </c>
      <c r="C16" s="98" t="s">
        <v>270</v>
      </c>
      <c r="D16" s="99" t="s">
        <v>271</v>
      </c>
    </row>
    <row r="17" customFormat="false" ht="27.75" hidden="false" customHeight="true" outlineLevel="0" collapsed="false">
      <c r="A17" s="100" t="s">
        <v>297</v>
      </c>
      <c r="B17" s="101" t="s">
        <v>298</v>
      </c>
      <c r="C17" s="98" t="s">
        <v>270</v>
      </c>
      <c r="D17" s="102" t="s">
        <v>271</v>
      </c>
    </row>
    <row r="18" customFormat="false" ht="27.75" hidden="false" customHeight="true" outlineLevel="0" collapsed="false">
      <c r="A18" s="96" t="s">
        <v>299</v>
      </c>
      <c r="B18" s="97" t="s">
        <v>300</v>
      </c>
      <c r="C18" s="98" t="s">
        <v>270</v>
      </c>
      <c r="D18" s="99" t="s">
        <v>301</v>
      </c>
    </row>
    <row r="19" customFormat="false" ht="27.75" hidden="false" customHeight="true" outlineLevel="0" collapsed="false">
      <c r="A19" s="100" t="s">
        <v>302</v>
      </c>
      <c r="B19" s="101" t="s">
        <v>303</v>
      </c>
      <c r="C19" s="98" t="s">
        <v>270</v>
      </c>
      <c r="D19" s="102" t="s">
        <v>271</v>
      </c>
      <c r="G19" s="1" t="s">
        <v>304</v>
      </c>
    </row>
    <row r="20" customFormat="false" ht="27.75" hidden="false" customHeight="true" outlineLevel="0" collapsed="false">
      <c r="A20" s="96" t="s">
        <v>305</v>
      </c>
      <c r="B20" s="97" t="s">
        <v>306</v>
      </c>
      <c r="C20" s="98" t="s">
        <v>270</v>
      </c>
      <c r="D20" s="99" t="s">
        <v>271</v>
      </c>
      <c r="G20" s="1" t="s">
        <v>307</v>
      </c>
    </row>
    <row r="21" customFormat="false" ht="27.75" hidden="false" customHeight="true" outlineLevel="0" collapsed="false">
      <c r="A21" s="100" t="s">
        <v>308</v>
      </c>
      <c r="B21" s="101" t="s">
        <v>309</v>
      </c>
      <c r="C21" s="98" t="s">
        <v>270</v>
      </c>
      <c r="D21" s="102" t="s">
        <v>271</v>
      </c>
      <c r="G21" s="1" t="s">
        <v>310</v>
      </c>
    </row>
    <row r="22" customFormat="false" ht="28.35" hidden="false" customHeight="false" outlineLevel="0" collapsed="false">
      <c r="A22" s="1" t="s">
        <v>311</v>
      </c>
      <c r="B22" s="103" t="s">
        <v>312</v>
      </c>
      <c r="C22" s="1" t="s">
        <v>270</v>
      </c>
      <c r="D22" s="103" t="s">
        <v>271</v>
      </c>
    </row>
    <row r="23" customFormat="false" ht="15" hidden="false" customHeight="true" outlineLevel="0" collapsed="false">
      <c r="A23" s="1" t="s">
        <v>313</v>
      </c>
      <c r="B23" s="103" t="s">
        <v>314</v>
      </c>
      <c r="C23" s="1" t="s">
        <v>270</v>
      </c>
      <c r="D23" s="103" t="s">
        <v>315</v>
      </c>
    </row>
    <row r="24" customFormat="false" ht="26.25" hidden="false" customHeight="true" outlineLevel="0" collapsed="false">
      <c r="A24" s="1" t="s">
        <v>316</v>
      </c>
      <c r="B24" s="103" t="s">
        <v>317</v>
      </c>
      <c r="C24" s="1" t="s">
        <v>270</v>
      </c>
      <c r="D24" s="103" t="s">
        <v>318</v>
      </c>
    </row>
    <row r="26" customFormat="false" ht="15" hidden="false" customHeight="false" outlineLevel="0" collapsed="false">
      <c r="A26" s="104" t="s">
        <v>319</v>
      </c>
      <c r="B26" s="104"/>
      <c r="C26" s="104"/>
      <c r="D26" s="104"/>
    </row>
    <row r="27" customFormat="false" ht="15.75" hidden="false" customHeight="true" outlineLevel="0" collapsed="false">
      <c r="A27" s="70" t="s">
        <v>262</v>
      </c>
      <c r="B27" s="105" t="s">
        <v>320</v>
      </c>
    </row>
    <row r="28" customFormat="false" ht="15" hidden="false" customHeight="true" outlineLevel="0" collapsed="false"/>
    <row r="29" customFormat="false" ht="15" hidden="false" customHeight="true" outlineLevel="0" collapsed="false"/>
    <row r="30" customFormat="false" ht="15" hidden="false" customHeight="true" outlineLevel="0" collapsed="false">
      <c r="A30" s="106" t="s">
        <v>321</v>
      </c>
      <c r="B30" s="106"/>
      <c r="C30" s="106"/>
      <c r="D30" s="106"/>
    </row>
    <row r="31" customFormat="false" ht="15" hidden="false" customHeight="true" outlineLevel="0" collapsed="false">
      <c r="A31" s="78" t="s">
        <v>260</v>
      </c>
      <c r="B31" s="78" t="s">
        <v>322</v>
      </c>
      <c r="C31" s="78" t="s">
        <v>323</v>
      </c>
      <c r="D31" s="78" t="s">
        <v>324</v>
      </c>
    </row>
    <row r="32" customFormat="false" ht="15" hidden="false" customHeight="true" outlineLevel="0" collapsed="false">
      <c r="A32" s="96" t="s">
        <v>325</v>
      </c>
      <c r="B32" s="107" t="s">
        <v>326</v>
      </c>
      <c r="C32" s="108" t="n">
        <v>10</v>
      </c>
      <c r="D32" s="109" t="n">
        <v>10</v>
      </c>
    </row>
    <row r="33" customFormat="false" ht="15" hidden="false" customHeight="true" outlineLevel="0" collapsed="false">
      <c r="A33" s="100" t="s">
        <v>327</v>
      </c>
      <c r="B33" s="110" t="s">
        <v>328</v>
      </c>
      <c r="C33" s="111" t="n">
        <v>10</v>
      </c>
      <c r="D33" s="109" t="n">
        <v>10</v>
      </c>
    </row>
    <row r="34" customFormat="false" ht="15" hidden="false" customHeight="true" outlineLevel="0" collapsed="false">
      <c r="A34" s="96" t="s">
        <v>329</v>
      </c>
      <c r="B34" s="107" t="s">
        <v>330</v>
      </c>
      <c r="C34" s="108" t="n">
        <v>6</v>
      </c>
      <c r="D34" s="109" t="n">
        <v>0</v>
      </c>
    </row>
    <row r="35" customFormat="false" ht="15" hidden="false" customHeight="true" outlineLevel="0" collapsed="false">
      <c r="A35" s="100" t="s">
        <v>331</v>
      </c>
      <c r="B35" s="110" t="s">
        <v>332</v>
      </c>
      <c r="C35" s="111" t="n">
        <v>6</v>
      </c>
      <c r="D35" s="109" t="n">
        <v>6</v>
      </c>
    </row>
    <row r="36" customFormat="false" ht="15" hidden="false" customHeight="true" outlineLevel="0" collapsed="false">
      <c r="A36" s="96" t="s">
        <v>333</v>
      </c>
      <c r="B36" s="107" t="s">
        <v>334</v>
      </c>
      <c r="C36" s="108" t="n">
        <v>5</v>
      </c>
      <c r="D36" s="109" t="n">
        <v>0</v>
      </c>
    </row>
    <row r="37" customFormat="false" ht="15" hidden="false" customHeight="false" outlineLevel="0" collapsed="false">
      <c r="A37" s="100"/>
      <c r="B37" s="110"/>
      <c r="C37" s="111"/>
      <c r="D37" s="109"/>
    </row>
    <row r="38" customFormat="false" ht="15" hidden="false" customHeight="false" outlineLevel="0" collapsed="false">
      <c r="A38" s="96" t="s">
        <v>335</v>
      </c>
      <c r="B38" s="107" t="s">
        <v>336</v>
      </c>
      <c r="C38" s="108" t="n">
        <v>2</v>
      </c>
      <c r="D38" s="109" t="n">
        <v>0</v>
      </c>
    </row>
    <row r="39" customFormat="false" ht="15.75" hidden="false" customHeight="true" outlineLevel="0" collapsed="false">
      <c r="B39" s="70" t="s">
        <v>245</v>
      </c>
      <c r="C39" s="70" t="n">
        <f aca="false">SUM(C29:C35)</f>
        <v>32</v>
      </c>
      <c r="D39" s="70" t="n">
        <f aca="false">SUM(D29:D35)</f>
        <v>26</v>
      </c>
    </row>
    <row r="40" customFormat="false" ht="15" hidden="false" customHeight="true" outlineLevel="0" collapsed="false"/>
    <row r="41" customFormat="false" ht="175.5" hidden="false" customHeight="true" outlineLevel="0" collapsed="false"/>
    <row r="42" customFormat="false" ht="81.75" hidden="false" customHeight="true" outlineLevel="0" collapsed="false">
      <c r="A42" s="106" t="s">
        <v>337</v>
      </c>
      <c r="B42" s="106"/>
      <c r="C42" s="106"/>
      <c r="D42" s="106"/>
    </row>
    <row r="43" customFormat="false" ht="41.25" hidden="false" customHeight="true" outlineLevel="0" collapsed="false">
      <c r="A43" s="78" t="s">
        <v>338</v>
      </c>
      <c r="B43" s="78" t="s">
        <v>339</v>
      </c>
      <c r="C43" s="78" t="s">
        <v>340</v>
      </c>
      <c r="D43" s="78" t="s">
        <v>341</v>
      </c>
    </row>
    <row r="44" customFormat="false" ht="176.1" hidden="false" customHeight="false" outlineLevel="0" collapsed="false">
      <c r="A44" s="1" t="s">
        <v>342</v>
      </c>
      <c r="B44" s="103" t="s">
        <v>343</v>
      </c>
      <c r="C44" s="103" t="s">
        <v>344</v>
      </c>
      <c r="D44" s="1" t="s">
        <v>345</v>
      </c>
    </row>
    <row r="45" customFormat="false" ht="82.05" hidden="false" customHeight="false" outlineLevel="0" collapsed="false">
      <c r="A45" s="1" t="s">
        <v>346</v>
      </c>
      <c r="B45" s="103" t="s">
        <v>347</v>
      </c>
      <c r="C45" s="103" t="s">
        <v>348</v>
      </c>
      <c r="D45" s="1" t="s">
        <v>349</v>
      </c>
    </row>
    <row r="46" customFormat="false" ht="41.75" hidden="false" customHeight="false" outlineLevel="0" collapsed="false">
      <c r="A46" s="1" t="s">
        <v>346</v>
      </c>
      <c r="B46" s="103" t="s">
        <v>350</v>
      </c>
      <c r="C46" s="103" t="s">
        <v>351</v>
      </c>
      <c r="D46" s="1" t="s">
        <v>349</v>
      </c>
    </row>
    <row r="47" customFormat="false" ht="176.1" hidden="false" customHeight="false" outlineLevel="0" collapsed="false">
      <c r="A47" s="1" t="s">
        <v>352</v>
      </c>
      <c r="B47" s="103" t="s">
        <v>353</v>
      </c>
      <c r="C47" s="103" t="s">
        <v>354</v>
      </c>
      <c r="D47" s="1" t="s">
        <v>355</v>
      </c>
    </row>
  </sheetData>
  <mergeCells count="4">
    <mergeCell ref="A1:D1"/>
    <mergeCell ref="A26:D26"/>
    <mergeCell ref="A30:D30"/>
    <mergeCell ref="A42:D42"/>
  </mergeCells>
  <dataValidations count="1">
    <dataValidation allowBlank="true" errorStyle="stop" operator="between" showDropDown="false" showErrorMessage="false" showInputMessage="false" sqref="C4:C21 B24" type="list">
      <formula1>"Pendiente,✅,❌"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P37" activeCellId="0" sqref="P37"/>
    </sheetView>
  </sheetViews>
  <sheetFormatPr defaultColWidth="8.8320312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60"/>
  </cols>
  <sheetData>
    <row r="1" customFormat="false" ht="21.75" hidden="false" customHeight="true" outlineLevel="0" collapsed="false">
      <c r="A1" s="112" t="s">
        <v>356</v>
      </c>
      <c r="B1" s="112"/>
      <c r="C1" s="112"/>
    </row>
    <row r="2" customFormat="false" ht="15" hidden="false" customHeight="true" outlineLevel="0" collapsed="false">
      <c r="A2" s="78" t="s">
        <v>252</v>
      </c>
      <c r="B2" s="78" t="s">
        <v>176</v>
      </c>
      <c r="C2" s="78" t="s">
        <v>357</v>
      </c>
    </row>
    <row r="3" customFormat="false" ht="15.75" hidden="false" customHeight="true" outlineLevel="0" collapsed="false">
      <c r="A3" s="57" t="s">
        <v>191</v>
      </c>
      <c r="B3" s="58" t="s">
        <v>192</v>
      </c>
      <c r="C3" s="113" t="s">
        <v>358</v>
      </c>
    </row>
    <row r="4" customFormat="false" ht="15.75" hidden="false" customHeight="true" outlineLevel="0" collapsed="false">
      <c r="A4" s="63" t="s">
        <v>194</v>
      </c>
      <c r="B4" s="64" t="s">
        <v>195</v>
      </c>
      <c r="C4" s="114" t="s">
        <v>359</v>
      </c>
    </row>
    <row r="5" customFormat="false" ht="15.75" hidden="false" customHeight="true" outlineLevel="0" collapsed="false">
      <c r="A5" s="57" t="s">
        <v>196</v>
      </c>
      <c r="B5" s="58" t="s">
        <v>197</v>
      </c>
      <c r="C5" s="113" t="s">
        <v>360</v>
      </c>
    </row>
    <row r="6" customFormat="false" ht="15.75" hidden="false" customHeight="true" outlineLevel="0" collapsed="false">
      <c r="A6" s="63" t="s">
        <v>199</v>
      </c>
      <c r="B6" s="64" t="s">
        <v>200</v>
      </c>
      <c r="C6" s="114" t="s">
        <v>361</v>
      </c>
    </row>
    <row r="7" customFormat="false" ht="15.75" hidden="false" customHeight="true" outlineLevel="0" collapsed="false">
      <c r="A7" s="57" t="s">
        <v>201</v>
      </c>
      <c r="B7" s="58" t="s">
        <v>202</v>
      </c>
      <c r="C7" s="113" t="s">
        <v>359</v>
      </c>
    </row>
    <row r="8" customFormat="false" ht="15.75" hidden="false" customHeight="true" outlineLevel="0" collapsed="false">
      <c r="A8" s="63" t="s">
        <v>203</v>
      </c>
      <c r="B8" s="64" t="s">
        <v>204</v>
      </c>
      <c r="C8" s="114" t="s">
        <v>361</v>
      </c>
    </row>
    <row r="9" customFormat="false" ht="15.75" hidden="false" customHeight="true" outlineLevel="0" collapsed="false">
      <c r="A9" s="57" t="s">
        <v>205</v>
      </c>
      <c r="B9" s="58" t="s">
        <v>206</v>
      </c>
      <c r="C9" s="113" t="s">
        <v>359</v>
      </c>
    </row>
    <row r="10" customFormat="false" ht="15.75" hidden="false" customHeight="true" outlineLevel="0" collapsed="false">
      <c r="A10" s="63" t="s">
        <v>207</v>
      </c>
      <c r="B10" s="64" t="s">
        <v>208</v>
      </c>
      <c r="C10" s="114" t="s">
        <v>360</v>
      </c>
    </row>
    <row r="11" customFormat="false" ht="15.75" hidden="false" customHeight="true" outlineLevel="0" collapsed="false">
      <c r="A11" s="57" t="s">
        <v>209</v>
      </c>
      <c r="B11" s="58" t="s">
        <v>210</v>
      </c>
      <c r="C11" s="113" t="s">
        <v>61</v>
      </c>
    </row>
    <row r="12" customFormat="false" ht="15.75" hidden="false" customHeight="true" outlineLevel="0" collapsed="false">
      <c r="A12" s="63" t="s">
        <v>212</v>
      </c>
      <c r="B12" s="64" t="s">
        <v>213</v>
      </c>
      <c r="C12" s="114" t="s">
        <v>362</v>
      </c>
    </row>
    <row r="13" customFormat="false" ht="15.75" hidden="false" customHeight="true" outlineLevel="0" collapsed="false">
      <c r="A13" s="57" t="s">
        <v>215</v>
      </c>
      <c r="B13" s="58" t="s">
        <v>216</v>
      </c>
      <c r="C13" s="113" t="s">
        <v>363</v>
      </c>
    </row>
    <row r="14" customFormat="false" ht="15.75" hidden="false" customHeight="true" outlineLevel="0" collapsed="false">
      <c r="A14" s="63" t="s">
        <v>217</v>
      </c>
      <c r="B14" s="64" t="s">
        <v>218</v>
      </c>
      <c r="C14" s="114" t="s">
        <v>364</v>
      </c>
    </row>
    <row r="15" customFormat="false" ht="15.75" hidden="false" customHeight="true" outlineLevel="0" collapsed="false">
      <c r="A15" s="57" t="s">
        <v>219</v>
      </c>
      <c r="B15" s="58" t="s">
        <v>220</v>
      </c>
      <c r="C15" s="113" t="s">
        <v>365</v>
      </c>
    </row>
    <row r="16" customFormat="false" ht="15.75" hidden="false" customHeight="true" outlineLevel="0" collapsed="false">
      <c r="A16" s="63" t="s">
        <v>221</v>
      </c>
      <c r="B16" s="64" t="s">
        <v>222</v>
      </c>
      <c r="C16" s="114" t="s">
        <v>366</v>
      </c>
    </row>
    <row r="17" customFormat="false" ht="15.75" hidden="false" customHeight="true" outlineLevel="0" collapsed="false">
      <c r="A17" s="57" t="s">
        <v>223</v>
      </c>
      <c r="B17" s="58" t="s">
        <v>224</v>
      </c>
      <c r="C17" s="113" t="s">
        <v>367</v>
      </c>
    </row>
    <row r="18" customFormat="false" ht="15.75" hidden="false" customHeight="true" outlineLevel="0" collapsed="false">
      <c r="A18" s="63" t="s">
        <v>225</v>
      </c>
      <c r="B18" s="64" t="s">
        <v>226</v>
      </c>
      <c r="C18" s="114" t="s">
        <v>363</v>
      </c>
    </row>
    <row r="19" customFormat="false" ht="15.75" hidden="false" customHeight="true" outlineLevel="0" collapsed="false">
      <c r="A19" s="57" t="s">
        <v>227</v>
      </c>
      <c r="B19" s="58" t="s">
        <v>228</v>
      </c>
      <c r="C19" s="113" t="s">
        <v>368</v>
      </c>
    </row>
    <row r="20" customFormat="false" ht="15.75" hidden="false" customHeight="true" outlineLevel="0" collapsed="false">
      <c r="A20" s="63" t="s">
        <v>229</v>
      </c>
      <c r="B20" s="64" t="s">
        <v>230</v>
      </c>
      <c r="C20" s="114" t="s">
        <v>369</v>
      </c>
    </row>
    <row r="21" customFormat="false" ht="15.75" hidden="false" customHeight="true" outlineLevel="0" collapsed="false">
      <c r="A21" s="57" t="s">
        <v>231</v>
      </c>
      <c r="B21" s="58" t="s">
        <v>232</v>
      </c>
      <c r="C21" s="113" t="s">
        <v>370</v>
      </c>
    </row>
    <row r="22" customFormat="false" ht="15.75" hidden="false" customHeight="true" outlineLevel="0" collapsed="false">
      <c r="A22" s="63" t="s">
        <v>233</v>
      </c>
      <c r="B22" s="64" t="s">
        <v>234</v>
      </c>
      <c r="C22" s="114" t="s">
        <v>371</v>
      </c>
    </row>
    <row r="23" customFormat="false" ht="15.75" hidden="false" customHeight="true" outlineLevel="0" collapsed="false">
      <c r="A23" s="57" t="s">
        <v>235</v>
      </c>
      <c r="B23" s="58" t="s">
        <v>236</v>
      </c>
      <c r="C23" s="113" t="s">
        <v>372</v>
      </c>
    </row>
    <row r="24" customFormat="false" ht="15.75" hidden="false" customHeight="true" outlineLevel="0" collapsed="false">
      <c r="A24" s="63" t="s">
        <v>237</v>
      </c>
      <c r="B24" s="64" t="s">
        <v>238</v>
      </c>
      <c r="C24" s="114" t="s">
        <v>373</v>
      </c>
    </row>
    <row r="25" customFormat="false" ht="15.75" hidden="false" customHeight="true" outlineLevel="0" collapsed="false">
      <c r="A25" s="57" t="s">
        <v>239</v>
      </c>
      <c r="B25" s="58" t="s">
        <v>240</v>
      </c>
      <c r="C25" s="113" t="s">
        <v>374</v>
      </c>
    </row>
    <row r="26" customFormat="false" ht="15.75" hidden="false" customHeight="true" outlineLevel="0" collapsed="false">
      <c r="A26" s="63" t="s">
        <v>241</v>
      </c>
      <c r="B26" s="64" t="s">
        <v>242</v>
      </c>
      <c r="C26" s="114" t="s">
        <v>375</v>
      </c>
    </row>
    <row r="27" customFormat="false" ht="15.75" hidden="false" customHeight="true" outlineLevel="0" collapsed="false">
      <c r="A27" s="57" t="s">
        <v>243</v>
      </c>
      <c r="B27" s="58" t="s">
        <v>244</v>
      </c>
      <c r="C27" s="113" t="s">
        <v>376</v>
      </c>
    </row>
    <row r="29" customFormat="false" ht="15.75" hidden="false" customHeight="true" outlineLevel="0" collapsed="false">
      <c r="A29" s="106" t="s">
        <v>377</v>
      </c>
      <c r="B29" s="106"/>
      <c r="C29" s="106"/>
    </row>
    <row r="30" customFormat="false" ht="15" hidden="false" customHeight="true" outlineLevel="0" collapsed="false">
      <c r="A30" s="78" t="s">
        <v>378</v>
      </c>
      <c r="B30" s="78" t="s">
        <v>379</v>
      </c>
      <c r="C30" s="78" t="s">
        <v>380</v>
      </c>
    </row>
    <row r="31" customFormat="false" ht="15" hidden="false" customHeight="true" outlineLevel="0" collapsed="false">
      <c r="A31" s="115" t="s">
        <v>381</v>
      </c>
      <c r="B31" s="115" t="s">
        <v>382</v>
      </c>
      <c r="C31" s="115" t="s">
        <v>383</v>
      </c>
    </row>
    <row r="32" customFormat="false" ht="15" hidden="false" customHeight="true" outlineLevel="0" collapsed="false">
      <c r="A32" s="115" t="s">
        <v>384</v>
      </c>
      <c r="B32" s="115" t="s">
        <v>385</v>
      </c>
      <c r="C32" s="115" t="s">
        <v>386</v>
      </c>
    </row>
    <row r="33" customFormat="false" ht="15" hidden="false" customHeight="true" outlineLevel="0" collapsed="false">
      <c r="A33" s="115" t="s">
        <v>387</v>
      </c>
      <c r="B33" s="115" t="s">
        <v>382</v>
      </c>
      <c r="C33" s="115" t="s">
        <v>383</v>
      </c>
    </row>
    <row r="34" customFormat="false" ht="15" hidden="false" customHeight="true" outlineLevel="0" collapsed="false">
      <c r="A34" s="115" t="s">
        <v>388</v>
      </c>
      <c r="B34" s="115" t="s">
        <v>385</v>
      </c>
      <c r="C34" s="115" t="s">
        <v>386</v>
      </c>
    </row>
    <row r="35" customFormat="false" ht="15" hidden="false" customHeight="true" outlineLevel="0" collapsed="false">
      <c r="A35" s="115" t="s">
        <v>389</v>
      </c>
      <c r="B35" s="115" t="s">
        <v>382</v>
      </c>
      <c r="C35" s="115" t="s">
        <v>383</v>
      </c>
    </row>
    <row r="36" customFormat="false" ht="15" hidden="false" customHeight="true" outlineLevel="0" collapsed="false">
      <c r="A36" s="115" t="s">
        <v>390</v>
      </c>
      <c r="B36" s="115" t="s">
        <v>385</v>
      </c>
      <c r="C36" s="115" t="s">
        <v>386</v>
      </c>
    </row>
    <row r="37" customFormat="false" ht="15" hidden="false" customHeight="true" outlineLevel="0" collapsed="false">
      <c r="A37" s="115" t="s">
        <v>391</v>
      </c>
      <c r="B37" s="115" t="s">
        <v>382</v>
      </c>
      <c r="C37" s="115" t="s">
        <v>383</v>
      </c>
    </row>
    <row r="38" customFormat="false" ht="15" hidden="false" customHeight="true" outlineLevel="0" collapsed="false">
      <c r="A38" s="115" t="s">
        <v>392</v>
      </c>
      <c r="B38" s="115" t="s">
        <v>382</v>
      </c>
      <c r="C38" s="115" t="s">
        <v>383</v>
      </c>
    </row>
    <row r="39" customFormat="false" ht="15" hidden="false" customHeight="true" outlineLevel="0" collapsed="false">
      <c r="A39" s="115" t="s">
        <v>393</v>
      </c>
      <c r="B39" s="115" t="s">
        <v>385</v>
      </c>
      <c r="C39" s="115" t="s">
        <v>386</v>
      </c>
    </row>
  </sheetData>
  <mergeCells count="2">
    <mergeCell ref="A1:C1"/>
    <mergeCell ref="A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C8" activeCellId="0" sqref="C8"/>
    </sheetView>
  </sheetViews>
  <sheetFormatPr defaultColWidth="8.8320312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45"/>
    <col collapsed="false" customWidth="true" hidden="false" outlineLevel="0" max="4" min="4" style="1" width="22"/>
  </cols>
  <sheetData>
    <row r="1" customFormat="false" ht="21.75" hidden="false" customHeight="true" outlineLevel="0" collapsed="false">
      <c r="A1" s="112" t="s">
        <v>394</v>
      </c>
      <c r="B1" s="112"/>
      <c r="C1" s="112"/>
      <c r="D1" s="112"/>
    </row>
    <row r="2" customFormat="false" ht="15" hidden="false" customHeight="true" outlineLevel="0" collapsed="false">
      <c r="A2" s="78" t="s">
        <v>176</v>
      </c>
      <c r="B2" s="78" t="s">
        <v>395</v>
      </c>
      <c r="C2" s="78" t="s">
        <v>396</v>
      </c>
      <c r="D2" s="78" t="s">
        <v>397</v>
      </c>
    </row>
    <row r="3" customFormat="false" ht="30" hidden="false" customHeight="true" outlineLevel="0" collapsed="false">
      <c r="A3" s="96" t="s">
        <v>398</v>
      </c>
      <c r="B3" s="116" t="s">
        <v>399</v>
      </c>
      <c r="C3" s="117" t="s">
        <v>400</v>
      </c>
      <c r="D3" s="116" t="s">
        <v>401</v>
      </c>
    </row>
    <row r="4" customFormat="false" ht="30" hidden="false" customHeight="true" outlineLevel="0" collapsed="false">
      <c r="A4" s="100" t="s">
        <v>402</v>
      </c>
      <c r="B4" s="118" t="s">
        <v>403</v>
      </c>
      <c r="C4" s="117" t="s">
        <v>404</v>
      </c>
      <c r="D4" s="118" t="s">
        <v>405</v>
      </c>
    </row>
    <row r="5" customFormat="false" ht="30" hidden="false" customHeight="true" outlineLevel="0" collapsed="false">
      <c r="A5" s="96" t="s">
        <v>406</v>
      </c>
      <c r="B5" s="116" t="s">
        <v>407</v>
      </c>
      <c r="C5" s="119" t="s">
        <v>408</v>
      </c>
      <c r="D5" s="116" t="s">
        <v>409</v>
      </c>
    </row>
    <row r="6" customFormat="false" ht="30" hidden="false" customHeight="true" outlineLevel="0" collapsed="false">
      <c r="A6" s="100" t="s">
        <v>410</v>
      </c>
      <c r="B6" s="118" t="s">
        <v>411</v>
      </c>
      <c r="C6" s="119" t="s">
        <v>412</v>
      </c>
      <c r="D6" s="118" t="s">
        <v>401</v>
      </c>
    </row>
    <row r="7" customFormat="false" ht="30" hidden="false" customHeight="true" outlineLevel="0" collapsed="false">
      <c r="A7" s="96" t="s">
        <v>413</v>
      </c>
      <c r="B7" s="116" t="s">
        <v>414</v>
      </c>
      <c r="C7" s="119" t="s">
        <v>415</v>
      </c>
      <c r="D7" s="116" t="s">
        <v>409</v>
      </c>
    </row>
    <row r="8" customFormat="false" ht="30" hidden="false" customHeight="true" outlineLevel="0" collapsed="false">
      <c r="A8" s="100" t="s">
        <v>416</v>
      </c>
      <c r="B8" s="118" t="s">
        <v>417</v>
      </c>
      <c r="C8" s="119" t="s">
        <v>418</v>
      </c>
      <c r="D8" s="118" t="s">
        <v>419</v>
      </c>
    </row>
    <row r="9" customFormat="false" ht="30" hidden="false" customHeight="true" outlineLevel="0" collapsed="false">
      <c r="A9" s="96" t="s">
        <v>420</v>
      </c>
      <c r="B9" s="116" t="s">
        <v>421</v>
      </c>
      <c r="C9" s="117" t="s">
        <v>422</v>
      </c>
      <c r="D9" s="116" t="s">
        <v>401</v>
      </c>
    </row>
    <row r="10" customFormat="false" ht="30" hidden="false" customHeight="true" outlineLevel="0" collapsed="false">
      <c r="A10" s="100" t="s">
        <v>423</v>
      </c>
      <c r="B10" s="118" t="s">
        <v>424</v>
      </c>
      <c r="C10" s="117" t="s">
        <v>425</v>
      </c>
      <c r="D10" s="118" t="s">
        <v>401</v>
      </c>
    </row>
    <row r="11" customFormat="false" ht="30" hidden="false" customHeight="true" outlineLevel="0" collapsed="false">
      <c r="A11" s="96" t="s">
        <v>426</v>
      </c>
      <c r="B11" s="116" t="s">
        <v>427</v>
      </c>
      <c r="C11" s="117" t="s">
        <v>428</v>
      </c>
      <c r="D11" s="116" t="s">
        <v>401</v>
      </c>
    </row>
    <row r="12" customFormat="false" ht="30" hidden="false" customHeight="true" outlineLevel="0" collapsed="false">
      <c r="A12" s="100" t="s">
        <v>429</v>
      </c>
      <c r="B12" s="118" t="s">
        <v>430</v>
      </c>
      <c r="C12" s="117" t="s">
        <v>431</v>
      </c>
      <c r="D12" s="118" t="s">
        <v>405</v>
      </c>
    </row>
    <row r="13" customFormat="false" ht="30" hidden="false" customHeight="true" outlineLevel="0" collapsed="false">
      <c r="A13" s="96" t="s">
        <v>432</v>
      </c>
      <c r="B13" s="116" t="s">
        <v>433</v>
      </c>
      <c r="C13" s="120" t="s">
        <v>434</v>
      </c>
      <c r="D13" s="116" t="s">
        <v>435</v>
      </c>
    </row>
    <row r="14" customFormat="false" ht="30" hidden="false" customHeight="true" outlineLevel="0" collapsed="false">
      <c r="A14" s="100" t="s">
        <v>436</v>
      </c>
      <c r="B14" s="118" t="s">
        <v>437</v>
      </c>
      <c r="C14" s="117" t="s">
        <v>438</v>
      </c>
      <c r="D14" s="118" t="s">
        <v>409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F27" activeCellId="0" sqref="F27"/>
    </sheetView>
  </sheetViews>
  <sheetFormatPr defaultColWidth="8.8320312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8"/>
    <col collapsed="false" customWidth="true" hidden="false" outlineLevel="0" max="6" min="4" style="1" width="12"/>
    <col collapsed="false" customWidth="true" hidden="false" outlineLevel="0" max="7" min="7" style="1" width="8"/>
  </cols>
  <sheetData>
    <row r="1" customFormat="false" ht="21.75" hidden="false" customHeight="true" outlineLevel="0" collapsed="false">
      <c r="A1" s="112" t="s">
        <v>439</v>
      </c>
      <c r="B1" s="112"/>
      <c r="C1" s="112"/>
      <c r="D1" s="112"/>
      <c r="E1" s="112"/>
      <c r="F1" s="112"/>
    </row>
    <row r="2" customFormat="false" ht="15" hidden="false" customHeight="true" outlineLevel="0" collapsed="false">
      <c r="A2" s="121" t="s">
        <v>176</v>
      </c>
      <c r="B2" s="121" t="s">
        <v>440</v>
      </c>
      <c r="C2" s="121" t="s">
        <v>441</v>
      </c>
      <c r="D2" s="121" t="s">
        <v>442</v>
      </c>
      <c r="E2" s="121" t="s">
        <v>443</v>
      </c>
      <c r="F2" s="121" t="s">
        <v>444</v>
      </c>
      <c r="G2" s="121" t="s">
        <v>19</v>
      </c>
    </row>
    <row r="3" customFormat="false" ht="15" hidden="false" customHeight="true" outlineLevel="0" collapsed="false">
      <c r="A3" s="57" t="s">
        <v>192</v>
      </c>
      <c r="B3" s="57" t="s">
        <v>191</v>
      </c>
      <c r="C3" s="57" t="s">
        <v>445</v>
      </c>
      <c r="D3" s="122"/>
      <c r="E3" s="122"/>
      <c r="F3" s="122" t="s">
        <v>446</v>
      </c>
      <c r="G3" s="122"/>
    </row>
    <row r="4" customFormat="false" ht="15" hidden="false" customHeight="true" outlineLevel="0" collapsed="false">
      <c r="A4" s="63" t="s">
        <v>195</v>
      </c>
      <c r="B4" s="63" t="s">
        <v>194</v>
      </c>
      <c r="C4" s="63" t="s">
        <v>445</v>
      </c>
      <c r="D4" s="123"/>
      <c r="E4" s="123"/>
      <c r="F4" s="123" t="s">
        <v>446</v>
      </c>
      <c r="G4" s="123"/>
    </row>
    <row r="5" customFormat="false" ht="15" hidden="false" customHeight="true" outlineLevel="0" collapsed="false">
      <c r="A5" s="57" t="s">
        <v>197</v>
      </c>
      <c r="B5" s="57" t="s">
        <v>196</v>
      </c>
      <c r="C5" s="57" t="s">
        <v>445</v>
      </c>
      <c r="D5" s="122"/>
      <c r="E5" s="122"/>
      <c r="F5" s="122" t="s">
        <v>446</v>
      </c>
      <c r="G5" s="122"/>
    </row>
    <row r="6" customFormat="false" ht="15" hidden="false" customHeight="true" outlineLevel="0" collapsed="false">
      <c r="A6" s="63" t="s">
        <v>200</v>
      </c>
      <c r="B6" s="63" t="s">
        <v>199</v>
      </c>
      <c r="C6" s="63" t="s">
        <v>445</v>
      </c>
      <c r="D6" s="123"/>
      <c r="E6" s="123"/>
      <c r="F6" s="123" t="s">
        <v>446</v>
      </c>
      <c r="G6" s="123"/>
    </row>
    <row r="7" customFormat="false" ht="15" hidden="false" customHeight="true" outlineLevel="0" collapsed="false">
      <c r="A7" s="57" t="s">
        <v>202</v>
      </c>
      <c r="B7" s="57" t="s">
        <v>201</v>
      </c>
      <c r="C7" s="57" t="s">
        <v>445</v>
      </c>
      <c r="D7" s="122"/>
      <c r="E7" s="122"/>
      <c r="F7" s="122" t="s">
        <v>446</v>
      </c>
      <c r="G7" s="122"/>
    </row>
    <row r="8" customFormat="false" ht="15" hidden="false" customHeight="true" outlineLevel="0" collapsed="false">
      <c r="A8" s="63" t="s">
        <v>204</v>
      </c>
      <c r="B8" s="63" t="s">
        <v>203</v>
      </c>
      <c r="C8" s="63" t="s">
        <v>445</v>
      </c>
      <c r="D8" s="123"/>
      <c r="E8" s="123"/>
      <c r="F8" s="123" t="s">
        <v>446</v>
      </c>
      <c r="G8" s="123"/>
    </row>
    <row r="9" customFormat="false" ht="15" hidden="false" customHeight="true" outlineLevel="0" collapsed="false">
      <c r="A9" s="57" t="s">
        <v>206</v>
      </c>
      <c r="B9" s="57" t="s">
        <v>205</v>
      </c>
      <c r="C9" s="57" t="s">
        <v>445</v>
      </c>
      <c r="D9" s="122"/>
      <c r="E9" s="122"/>
      <c r="F9" s="122" t="s">
        <v>446</v>
      </c>
      <c r="G9" s="122"/>
    </row>
    <row r="10" customFormat="false" ht="15" hidden="false" customHeight="true" outlineLevel="0" collapsed="false">
      <c r="A10" s="63" t="s">
        <v>208</v>
      </c>
      <c r="B10" s="63" t="s">
        <v>207</v>
      </c>
      <c r="C10" s="63" t="s">
        <v>445</v>
      </c>
      <c r="D10" s="123"/>
      <c r="E10" s="123"/>
      <c r="F10" s="123" t="s">
        <v>446</v>
      </c>
      <c r="G10" s="123"/>
    </row>
    <row r="11" customFormat="false" ht="15" hidden="false" customHeight="true" outlineLevel="0" collapsed="false">
      <c r="A11" s="57" t="s">
        <v>210</v>
      </c>
      <c r="B11" s="57" t="s">
        <v>209</v>
      </c>
      <c r="C11" s="57" t="s">
        <v>447</v>
      </c>
      <c r="D11" s="122"/>
      <c r="E11" s="122" t="s">
        <v>446</v>
      </c>
      <c r="F11" s="122"/>
      <c r="G11" s="122"/>
    </row>
    <row r="12" customFormat="false" ht="15" hidden="false" customHeight="true" outlineLevel="0" collapsed="false">
      <c r="A12" s="63" t="s">
        <v>213</v>
      </c>
      <c r="B12" s="63" t="s">
        <v>212</v>
      </c>
      <c r="C12" s="63" t="s">
        <v>447</v>
      </c>
      <c r="D12" s="123"/>
      <c r="E12" s="123" t="s">
        <v>446</v>
      </c>
      <c r="F12" s="123" t="s">
        <v>446</v>
      </c>
      <c r="G12" s="123"/>
    </row>
    <row r="13" customFormat="false" ht="15" hidden="false" customHeight="true" outlineLevel="0" collapsed="false">
      <c r="A13" s="57" t="s">
        <v>216</v>
      </c>
      <c r="B13" s="57" t="s">
        <v>215</v>
      </c>
      <c r="C13" s="57" t="s">
        <v>447</v>
      </c>
      <c r="D13" s="122"/>
      <c r="E13" s="122" t="s">
        <v>446</v>
      </c>
      <c r="F13" s="122"/>
      <c r="G13" s="122"/>
    </row>
    <row r="14" customFormat="false" ht="15" hidden="false" customHeight="true" outlineLevel="0" collapsed="false">
      <c r="A14" s="63" t="s">
        <v>218</v>
      </c>
      <c r="B14" s="63" t="s">
        <v>217</v>
      </c>
      <c r="C14" s="63" t="s">
        <v>447</v>
      </c>
      <c r="D14" s="123"/>
      <c r="E14" s="123" t="s">
        <v>446</v>
      </c>
      <c r="F14" s="123" t="s">
        <v>446</v>
      </c>
      <c r="G14" s="123"/>
    </row>
    <row r="15" customFormat="false" ht="15" hidden="false" customHeight="true" outlineLevel="0" collapsed="false">
      <c r="A15" s="57" t="s">
        <v>220</v>
      </c>
      <c r="B15" s="57" t="s">
        <v>219</v>
      </c>
      <c r="C15" s="57" t="s">
        <v>447</v>
      </c>
      <c r="D15" s="122"/>
      <c r="E15" s="122" t="s">
        <v>446</v>
      </c>
      <c r="F15" s="122" t="s">
        <v>446</v>
      </c>
      <c r="G15" s="122"/>
    </row>
    <row r="16" customFormat="false" ht="15" hidden="false" customHeight="true" outlineLevel="0" collapsed="false">
      <c r="A16" s="63" t="s">
        <v>222</v>
      </c>
      <c r="B16" s="63" t="s">
        <v>221</v>
      </c>
      <c r="C16" s="63" t="s">
        <v>447</v>
      </c>
      <c r="D16" s="123"/>
      <c r="E16" s="123" t="s">
        <v>446</v>
      </c>
      <c r="F16" s="123" t="s">
        <v>446</v>
      </c>
      <c r="G16" s="123"/>
    </row>
    <row r="17" customFormat="false" ht="15" hidden="false" customHeight="true" outlineLevel="0" collapsed="false">
      <c r="A17" s="57" t="s">
        <v>224</v>
      </c>
      <c r="B17" s="57" t="s">
        <v>223</v>
      </c>
      <c r="C17" s="57" t="s">
        <v>447</v>
      </c>
      <c r="D17" s="122"/>
      <c r="E17" s="122" t="s">
        <v>446</v>
      </c>
      <c r="F17" s="122" t="s">
        <v>446</v>
      </c>
      <c r="G17" s="122"/>
    </row>
    <row r="18" customFormat="false" ht="15" hidden="false" customHeight="true" outlineLevel="0" collapsed="false">
      <c r="A18" s="63" t="s">
        <v>226</v>
      </c>
      <c r="B18" s="63" t="s">
        <v>225</v>
      </c>
      <c r="C18" s="63" t="s">
        <v>447</v>
      </c>
      <c r="D18" s="123"/>
      <c r="E18" s="123" t="s">
        <v>446</v>
      </c>
      <c r="F18" s="123" t="s">
        <v>446</v>
      </c>
      <c r="G18" s="123"/>
    </row>
    <row r="19" customFormat="false" ht="15" hidden="false" customHeight="true" outlineLevel="0" collapsed="false">
      <c r="A19" s="57" t="s">
        <v>228</v>
      </c>
      <c r="B19" s="57" t="s">
        <v>227</v>
      </c>
      <c r="C19" s="57" t="s">
        <v>448</v>
      </c>
      <c r="D19" s="122" t="s">
        <v>446</v>
      </c>
      <c r="E19" s="122"/>
      <c r="F19" s="122"/>
      <c r="G19" s="122"/>
    </row>
    <row r="20" customFormat="false" ht="15" hidden="false" customHeight="true" outlineLevel="0" collapsed="false">
      <c r="A20" s="63" t="s">
        <v>230</v>
      </c>
      <c r="B20" s="63" t="s">
        <v>229</v>
      </c>
      <c r="C20" s="63" t="s">
        <v>448</v>
      </c>
      <c r="D20" s="123" t="s">
        <v>446</v>
      </c>
      <c r="E20" s="123"/>
      <c r="F20" s="123"/>
      <c r="G20" s="123"/>
    </row>
    <row r="21" customFormat="false" ht="15" hidden="false" customHeight="true" outlineLevel="0" collapsed="false">
      <c r="A21" s="57" t="s">
        <v>232</v>
      </c>
      <c r="B21" s="57" t="s">
        <v>231</v>
      </c>
      <c r="C21" s="57" t="s">
        <v>448</v>
      </c>
      <c r="D21" s="122"/>
      <c r="E21" s="122" t="s">
        <v>446</v>
      </c>
      <c r="F21" s="122"/>
      <c r="G21" s="122"/>
    </row>
    <row r="22" customFormat="false" ht="15" hidden="false" customHeight="true" outlineLevel="0" collapsed="false">
      <c r="A22" s="63" t="s">
        <v>234</v>
      </c>
      <c r="B22" s="63" t="s">
        <v>233</v>
      </c>
      <c r="C22" s="63" t="s">
        <v>448</v>
      </c>
      <c r="D22" s="123"/>
      <c r="E22" s="123" t="s">
        <v>446</v>
      </c>
      <c r="F22" s="123"/>
      <c r="G22" s="123"/>
    </row>
    <row r="23" customFormat="false" ht="15" hidden="false" customHeight="true" outlineLevel="0" collapsed="false">
      <c r="A23" s="57" t="s">
        <v>236</v>
      </c>
      <c r="B23" s="57" t="s">
        <v>235</v>
      </c>
      <c r="C23" s="57" t="s">
        <v>449</v>
      </c>
      <c r="D23" s="122" t="s">
        <v>446</v>
      </c>
      <c r="E23" s="122"/>
      <c r="F23" s="122"/>
      <c r="G23" s="122" t="s">
        <v>446</v>
      </c>
    </row>
    <row r="24" customFormat="false" ht="15" hidden="false" customHeight="true" outlineLevel="0" collapsed="false">
      <c r="A24" s="63" t="s">
        <v>238</v>
      </c>
      <c r="B24" s="63" t="s">
        <v>237</v>
      </c>
      <c r="C24" s="63" t="s">
        <v>449</v>
      </c>
      <c r="D24" s="123" t="s">
        <v>446</v>
      </c>
      <c r="E24" s="123"/>
      <c r="F24" s="123"/>
      <c r="G24" s="123" t="s">
        <v>446</v>
      </c>
    </row>
    <row r="25" customFormat="false" ht="15" hidden="false" customHeight="true" outlineLevel="0" collapsed="false">
      <c r="A25" s="57" t="s">
        <v>240</v>
      </c>
      <c r="B25" s="57" t="s">
        <v>239</v>
      </c>
      <c r="C25" s="57" t="s">
        <v>449</v>
      </c>
      <c r="D25" s="122" t="s">
        <v>446</v>
      </c>
      <c r="E25" s="122"/>
      <c r="F25" s="122"/>
      <c r="G25" s="122" t="s">
        <v>446</v>
      </c>
    </row>
    <row r="26" customFormat="false" ht="15" hidden="false" customHeight="true" outlineLevel="0" collapsed="false">
      <c r="A26" s="63" t="s">
        <v>242</v>
      </c>
      <c r="B26" s="63" t="s">
        <v>241</v>
      </c>
      <c r="C26" s="63" t="s">
        <v>449</v>
      </c>
      <c r="D26" s="123" t="s">
        <v>446</v>
      </c>
      <c r="E26" s="123"/>
      <c r="F26" s="123"/>
      <c r="G26" s="123" t="s">
        <v>446</v>
      </c>
    </row>
    <row r="27" customFormat="false" ht="15" hidden="false" customHeight="true" outlineLevel="0" collapsed="false">
      <c r="A27" s="57" t="s">
        <v>244</v>
      </c>
      <c r="B27" s="57" t="s">
        <v>243</v>
      </c>
      <c r="C27" s="57" t="s">
        <v>449</v>
      </c>
      <c r="D27" s="122" t="s">
        <v>446</v>
      </c>
      <c r="E27" s="122"/>
      <c r="F27" s="122"/>
      <c r="G27" s="122" t="s">
        <v>446</v>
      </c>
    </row>
    <row r="28" customFormat="false" ht="15" hidden="false" customHeight="true" outlineLevel="0" collapsed="false">
      <c r="A28" s="124" t="s">
        <v>450</v>
      </c>
      <c r="B28" s="124"/>
      <c r="C28" s="124"/>
      <c r="D28" s="124"/>
      <c r="E28" s="124"/>
      <c r="F28" s="124"/>
      <c r="G28" s="124"/>
    </row>
    <row r="29" customFormat="false" ht="15" hidden="false" customHeight="true" outlineLevel="0" collapsed="false">
      <c r="A29" s="125" t="s">
        <v>451</v>
      </c>
      <c r="B29" s="126" t="s">
        <v>452</v>
      </c>
      <c r="C29" s="125" t="s">
        <v>449</v>
      </c>
      <c r="D29" s="125" t="s">
        <v>446</v>
      </c>
      <c r="E29" s="125"/>
      <c r="F29" s="125"/>
      <c r="G29" s="125" t="s">
        <v>446</v>
      </c>
    </row>
    <row r="30" customFormat="false" ht="15" hidden="false" customHeight="true" outlineLevel="0" collapsed="false">
      <c r="A30" s="125" t="s">
        <v>453</v>
      </c>
      <c r="B30" s="126" t="s">
        <v>454</v>
      </c>
      <c r="C30" s="125" t="s">
        <v>449</v>
      </c>
      <c r="D30" s="125" t="s">
        <v>446</v>
      </c>
      <c r="E30" s="125"/>
      <c r="F30" s="125"/>
      <c r="G30" s="125" t="s">
        <v>446</v>
      </c>
    </row>
    <row r="31" customFormat="false" ht="15" hidden="false" customHeight="true" outlineLevel="0" collapsed="false">
      <c r="A31" s="125" t="s">
        <v>455</v>
      </c>
      <c r="B31" s="126" t="s">
        <v>199</v>
      </c>
      <c r="C31" s="125" t="s">
        <v>448</v>
      </c>
      <c r="D31" s="127" t="s">
        <v>456</v>
      </c>
      <c r="E31" s="127" t="s">
        <v>456</v>
      </c>
      <c r="F31" s="125"/>
      <c r="G31" s="125"/>
    </row>
    <row r="32" customFormat="false" ht="15" hidden="false" customHeight="true" outlineLevel="0" collapsed="false">
      <c r="A32" s="125" t="s">
        <v>457</v>
      </c>
      <c r="B32" s="126" t="s">
        <v>458</v>
      </c>
      <c r="C32" s="125" t="s">
        <v>448</v>
      </c>
      <c r="D32" s="127" t="s">
        <v>456</v>
      </c>
      <c r="E32" s="127" t="s">
        <v>456</v>
      </c>
      <c r="F32" s="125"/>
      <c r="G32" s="125"/>
    </row>
    <row r="33" customFormat="false" ht="15" hidden="false" customHeight="true" outlineLevel="0" collapsed="false">
      <c r="A33" s="125" t="s">
        <v>459</v>
      </c>
      <c r="B33" s="126" t="s">
        <v>460</v>
      </c>
      <c r="C33" s="125" t="s">
        <v>448</v>
      </c>
      <c r="D33" s="127" t="s">
        <v>456</v>
      </c>
      <c r="E33" s="127" t="s">
        <v>456</v>
      </c>
      <c r="F33" s="125"/>
      <c r="G33" s="125"/>
    </row>
    <row r="34" customFormat="false" ht="15" hidden="false" customHeight="true" outlineLevel="0" collapsed="false">
      <c r="A34" s="125" t="s">
        <v>461</v>
      </c>
      <c r="B34" s="126" t="s">
        <v>462</v>
      </c>
      <c r="C34" s="125" t="s">
        <v>448</v>
      </c>
      <c r="D34" s="127" t="s">
        <v>456</v>
      </c>
      <c r="E34" s="127" t="s">
        <v>456</v>
      </c>
      <c r="F34" s="125"/>
      <c r="G34" s="125"/>
    </row>
    <row r="37" customFormat="false" ht="15" hidden="false" customHeight="true" outlineLevel="0" collapsed="false">
      <c r="A37" s="128" t="s">
        <v>463</v>
      </c>
      <c r="B37" s="128"/>
      <c r="C37" s="128"/>
      <c r="D37" s="128"/>
      <c r="E37" s="128"/>
      <c r="F37" s="128"/>
      <c r="G37" s="128"/>
    </row>
    <row r="38" customFormat="false" ht="15" hidden="false" customHeight="true" outlineLevel="0" collapsed="false">
      <c r="A38" s="129" t="s">
        <v>464</v>
      </c>
      <c r="B38" s="129"/>
      <c r="C38" s="129"/>
      <c r="D38" s="129"/>
      <c r="E38" s="129"/>
      <c r="F38" s="129"/>
      <c r="G38" s="129"/>
    </row>
  </sheetData>
  <mergeCells count="4">
    <mergeCell ref="A1:F1"/>
    <mergeCell ref="A28:G28"/>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32" activeCellId="0" sqref="B32"/>
    </sheetView>
  </sheetViews>
  <sheetFormatPr defaultColWidth="8.83203125" defaultRowHeight="15" zeroHeight="false" outlineLevelRow="0" outlineLevelCol="0"/>
  <cols>
    <col collapsed="false" customWidth="true" hidden="false" outlineLevel="0" max="1" min="1" style="1" width="8"/>
    <col collapsed="false" customWidth="true" hidden="false" outlineLevel="0" max="2" min="2" style="1" width="85"/>
  </cols>
  <sheetData>
    <row r="1" customFormat="false" ht="21.75" hidden="false" customHeight="true" outlineLevel="0" collapsed="false">
      <c r="A1" s="112" t="s">
        <v>465</v>
      </c>
      <c r="B1" s="112"/>
    </row>
    <row r="3" customFormat="false" ht="15.75" hidden="false" customHeight="true" outlineLevel="0" collapsed="false">
      <c r="A3" s="130" t="s">
        <v>466</v>
      </c>
    </row>
    <row r="4" customFormat="false" ht="25.5" hidden="false" customHeight="true" outlineLevel="0" collapsed="false">
      <c r="A4" s="96" t="s">
        <v>264</v>
      </c>
      <c r="B4" s="116" t="s">
        <v>265</v>
      </c>
    </row>
    <row r="5" customFormat="false" ht="25.5" hidden="false" customHeight="true" outlineLevel="0" collapsed="false">
      <c r="A5" s="100" t="s">
        <v>268</v>
      </c>
      <c r="B5" s="118" t="s">
        <v>269</v>
      </c>
    </row>
    <row r="6" customFormat="false" ht="25.5" hidden="false" customHeight="true" outlineLevel="0" collapsed="false">
      <c r="A6" s="96" t="s">
        <v>272</v>
      </c>
      <c r="B6" s="116" t="s">
        <v>273</v>
      </c>
    </row>
    <row r="7" customFormat="false" ht="25.5" hidden="false" customHeight="true" outlineLevel="0" collapsed="false">
      <c r="A7" s="100" t="s">
        <v>274</v>
      </c>
      <c r="B7" s="118" t="s">
        <v>275</v>
      </c>
    </row>
    <row r="8" customFormat="false" ht="25.5" hidden="false" customHeight="true" outlineLevel="0" collapsed="false">
      <c r="A8" s="96" t="s">
        <v>276</v>
      </c>
      <c r="B8" s="116" t="s">
        <v>277</v>
      </c>
    </row>
    <row r="9" customFormat="false" ht="25.5" hidden="false" customHeight="true" outlineLevel="0" collapsed="false">
      <c r="A9" s="100" t="s">
        <v>279</v>
      </c>
      <c r="B9" s="118" t="s">
        <v>280</v>
      </c>
    </row>
    <row r="10" customFormat="false" ht="25.5" hidden="false" customHeight="true" outlineLevel="0" collapsed="false">
      <c r="A10" s="96" t="s">
        <v>281</v>
      </c>
      <c r="B10" s="116" t="s">
        <v>282</v>
      </c>
    </row>
    <row r="11" customFormat="false" ht="25.5" hidden="false" customHeight="true" outlineLevel="0" collapsed="false">
      <c r="A11" s="100" t="s">
        <v>283</v>
      </c>
      <c r="B11" s="118" t="s">
        <v>284</v>
      </c>
    </row>
    <row r="12" customFormat="false" ht="25.5" hidden="false" customHeight="true" outlineLevel="0" collapsed="false">
      <c r="A12" s="96" t="s">
        <v>285</v>
      </c>
      <c r="B12" s="116" t="s">
        <v>286</v>
      </c>
    </row>
    <row r="13" customFormat="false" ht="25.5" hidden="false" customHeight="true" outlineLevel="0" collapsed="false">
      <c r="A13" s="100" t="s">
        <v>287</v>
      </c>
      <c r="B13" s="118" t="s">
        <v>288</v>
      </c>
    </row>
    <row r="14" customFormat="false" ht="25.5" hidden="false" customHeight="true" outlineLevel="0" collapsed="false">
      <c r="A14" s="96" t="s">
        <v>291</v>
      </c>
      <c r="B14" s="116" t="s">
        <v>292</v>
      </c>
    </row>
    <row r="15" customFormat="false" ht="25.5" hidden="false" customHeight="true" outlineLevel="0" collapsed="false">
      <c r="A15" s="100" t="s">
        <v>293</v>
      </c>
      <c r="B15" s="118" t="s">
        <v>294</v>
      </c>
    </row>
    <row r="16" customFormat="false" ht="25.5" hidden="false" customHeight="true" outlineLevel="0" collapsed="false">
      <c r="A16" s="96" t="s">
        <v>295</v>
      </c>
      <c r="B16" s="116" t="s">
        <v>296</v>
      </c>
    </row>
    <row r="17" customFormat="false" ht="25.5" hidden="false" customHeight="true" outlineLevel="0" collapsed="false">
      <c r="A17" s="100" t="s">
        <v>297</v>
      </c>
      <c r="B17" s="118" t="s">
        <v>298</v>
      </c>
    </row>
    <row r="18" customFormat="false" ht="25.5" hidden="false" customHeight="true" outlineLevel="0" collapsed="false">
      <c r="A18" s="96" t="s">
        <v>299</v>
      </c>
      <c r="B18" s="116" t="s">
        <v>300</v>
      </c>
    </row>
    <row r="19" customFormat="false" ht="25.5" hidden="false" customHeight="true" outlineLevel="0" collapsed="false">
      <c r="A19" s="100" t="s">
        <v>302</v>
      </c>
      <c r="B19" s="118" t="s">
        <v>303</v>
      </c>
    </row>
    <row r="20" customFormat="false" ht="25.5" hidden="false" customHeight="true" outlineLevel="0" collapsed="false">
      <c r="A20" s="96" t="s">
        <v>305</v>
      </c>
      <c r="B20" s="116" t="s">
        <v>306</v>
      </c>
    </row>
    <row r="21" customFormat="false" ht="25.5" hidden="false" customHeight="true" outlineLevel="0" collapsed="false">
      <c r="A21" s="100" t="s">
        <v>308</v>
      </c>
      <c r="B21" s="118" t="s">
        <v>309</v>
      </c>
    </row>
    <row r="23" customFormat="false" ht="15.75" hidden="false" customHeight="true" outlineLevel="0" collapsed="false">
      <c r="A23" s="130" t="s">
        <v>467</v>
      </c>
    </row>
    <row r="24" customFormat="false" ht="15.75" hidden="false" customHeight="true" outlineLevel="0" collapsed="false">
      <c r="A24" s="96" t="s">
        <v>325</v>
      </c>
      <c r="B24" s="113" t="s">
        <v>468</v>
      </c>
    </row>
    <row r="25" customFormat="false" ht="15.75" hidden="false" customHeight="true" outlineLevel="0" collapsed="false">
      <c r="A25" s="100" t="s">
        <v>327</v>
      </c>
      <c r="B25" s="114" t="s">
        <v>469</v>
      </c>
    </row>
    <row r="26" customFormat="false" ht="15.75" hidden="false" customHeight="true" outlineLevel="0" collapsed="false">
      <c r="A26" s="96" t="s">
        <v>329</v>
      </c>
      <c r="B26" s="113" t="s">
        <v>470</v>
      </c>
    </row>
    <row r="27" customFormat="false" ht="15.75" hidden="false" customHeight="true" outlineLevel="0" collapsed="false">
      <c r="A27" s="100" t="s">
        <v>331</v>
      </c>
      <c r="B27" s="114" t="s">
        <v>471</v>
      </c>
    </row>
    <row r="28" customFormat="false" ht="15.75" hidden="false" customHeight="true" outlineLevel="0" collapsed="false">
      <c r="A28" s="96" t="s">
        <v>333</v>
      </c>
      <c r="B28" s="113" t="s">
        <v>472</v>
      </c>
    </row>
    <row r="29" customFormat="false" ht="15.75" hidden="false" customHeight="true" outlineLevel="0" collapsed="false">
      <c r="A29" s="100" t="s">
        <v>473</v>
      </c>
      <c r="B29" s="114" t="s">
        <v>474</v>
      </c>
    </row>
    <row r="30" customFormat="false" ht="15.75" hidden="false" customHeight="true" outlineLevel="0" collapsed="false">
      <c r="A30" s="96" t="s">
        <v>335</v>
      </c>
      <c r="B30" s="113" t="s">
        <v>475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sheetData>
    <row r="1" customFormat="false" ht="15" hidden="false" customHeight="true" outlineLevel="0" collapsed="false">
      <c r="A1" s="1" t="s">
        <v>23</v>
      </c>
      <c r="B1" s="1" t="s">
        <v>21</v>
      </c>
      <c r="C1" s="1" t="s">
        <v>25</v>
      </c>
      <c r="D1" s="1" t="s">
        <v>19</v>
      </c>
    </row>
    <row r="2" customFormat="false" ht="15" hidden="false" customHeight="true" outlineLevel="0" collapsed="false">
      <c r="A2" s="1" t="s">
        <v>108</v>
      </c>
      <c r="B2" s="1" t="s">
        <v>42</v>
      </c>
      <c r="C2" s="1" t="s">
        <v>72</v>
      </c>
      <c r="D2" s="1" t="s">
        <v>65</v>
      </c>
    </row>
    <row r="3" customFormat="false" ht="15" hidden="false" customHeight="true" outlineLevel="0" collapsed="false">
      <c r="A3" s="1" t="s">
        <v>43</v>
      </c>
      <c r="B3" s="1" t="s">
        <v>67</v>
      </c>
      <c r="C3" s="1" t="s">
        <v>71</v>
      </c>
      <c r="D3" s="1" t="s">
        <v>64</v>
      </c>
    </row>
    <row r="4" customFormat="false" ht="15" hidden="false" customHeight="true" outlineLevel="0" collapsed="false">
      <c r="A4" s="1" t="s">
        <v>91</v>
      </c>
      <c r="B4" s="1" t="s">
        <v>68</v>
      </c>
      <c r="C4" s="1" t="s">
        <v>48</v>
      </c>
      <c r="D4" s="1" t="s">
        <v>63</v>
      </c>
    </row>
    <row r="5" customFormat="false" ht="15" hidden="false" customHeight="true" outlineLevel="0" collapsed="false">
      <c r="A5" s="1" t="s">
        <v>70</v>
      </c>
      <c r="B5" s="1" t="s">
        <v>122</v>
      </c>
      <c r="C5" s="1" t="s">
        <v>51</v>
      </c>
      <c r="D5" s="1" t="s">
        <v>40</v>
      </c>
    </row>
    <row r="6" customFormat="false" ht="15" hidden="false" customHeight="true" outlineLevel="0" collapsed="false">
      <c r="A6" s="1" t="s">
        <v>69</v>
      </c>
      <c r="B6" s="1" t="s">
        <v>41</v>
      </c>
      <c r="C6" s="1" t="s">
        <v>46</v>
      </c>
      <c r="D6" s="1" t="s">
        <v>39</v>
      </c>
    </row>
    <row r="7" customFormat="false" ht="15" hidden="false" customHeight="true" outlineLevel="0" collapsed="false">
      <c r="A7" s="1" t="s">
        <v>45</v>
      </c>
      <c r="B7" s="1" t="s">
        <v>107</v>
      </c>
      <c r="C7" s="1" t="s">
        <v>47</v>
      </c>
    </row>
    <row r="8" customFormat="false" ht="15" hidden="false" customHeight="true" outlineLevel="0" collapsed="false">
      <c r="A8" s="1" t="s">
        <v>44</v>
      </c>
      <c r="B8" s="1" t="s">
        <v>106</v>
      </c>
      <c r="C8" s="1" t="s">
        <v>74</v>
      </c>
    </row>
    <row r="9" customFormat="false" ht="15" hidden="false" customHeight="true" outlineLevel="0" collapsed="false">
      <c r="B9" s="1" t="s">
        <v>476</v>
      </c>
      <c r="C9" s="1" t="s">
        <v>49</v>
      </c>
    </row>
    <row r="10" customFormat="false" ht="15" hidden="false" customHeight="true" outlineLevel="0" collapsed="false">
      <c r="B10" s="1" t="s">
        <v>66</v>
      </c>
      <c r="C10" s="1" t="s">
        <v>477</v>
      </c>
    </row>
    <row r="11" customFormat="false" ht="15" hidden="false" customHeight="true" outlineLevel="0" collapsed="false">
      <c r="B11" s="1" t="s">
        <v>90</v>
      </c>
      <c r="C11" s="1" t="s">
        <v>73</v>
      </c>
    </row>
    <row r="12" customFormat="false" ht="15" hidden="false" customHeight="true" outlineLevel="0" collapsed="false">
      <c r="C12" s="1" t="s">
        <v>478</v>
      </c>
    </row>
    <row r="13" customFormat="false" ht="15" hidden="false" customHeight="true" outlineLevel="0" collapsed="false">
      <c r="C13" s="1" t="s">
        <v>76</v>
      </c>
    </row>
    <row r="14" customFormat="false" ht="15" hidden="false" customHeight="true" outlineLevel="0" collapsed="false">
      <c r="C14" s="1" t="s">
        <v>92</v>
      </c>
    </row>
    <row r="15" customFormat="false" ht="15" hidden="false" customHeight="true" outlineLevel="0" collapsed="false">
      <c r="C15" s="1" t="s">
        <v>75</v>
      </c>
    </row>
    <row r="16" customFormat="false" ht="15" hidden="false" customHeight="true" outlineLevel="0" collapsed="false">
      <c r="C16" s="1" t="s">
        <v>93</v>
      </c>
    </row>
    <row r="17" customFormat="false" ht="15" hidden="false" customHeight="true" outlineLevel="0" collapsed="false">
      <c r="C17" s="1"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0"/>
    <col collapsed="false" customWidth="true" hidden="false" outlineLevel="0" max="2" min="2" style="1" width="16"/>
    <col collapsed="false" customWidth="true" hidden="false" outlineLevel="0" max="3" min="3" style="1" width="6"/>
    <col collapsed="false" customWidth="true" hidden="false" outlineLevel="0" max="4" min="4" style="1" width="20"/>
    <col collapsed="false" customWidth="true" hidden="false" outlineLevel="0" max="6" min="5" style="1" width="14"/>
    <col collapsed="false" customWidth="true" hidden="false" outlineLevel="0" max="8" min="7" style="1" width="12"/>
    <col collapsed="false" customWidth="true" hidden="false" outlineLevel="0" max="9" min="9" style="1" width="14"/>
    <col collapsed="false" customWidth="true" hidden="false" outlineLevel="0" max="10" min="10" style="1" width="12"/>
    <col collapsed="false" customWidth="true" hidden="false" outlineLevel="0" max="11" min="11" style="1" width="14"/>
    <col collapsed="false" customWidth="true" hidden="false" outlineLevel="0" max="12" min="12" style="1" width="16"/>
    <col collapsed="false" customWidth="true" hidden="false" outlineLevel="0" max="13" min="13" style="1" width="14"/>
  </cols>
  <sheetData>
    <row r="1" customFormat="false" ht="15" hidden="false" customHeight="true" outlineLevel="0" collapsed="false">
      <c r="A1" s="131" t="s">
        <v>479</v>
      </c>
      <c r="B1" s="131"/>
      <c r="C1" s="131"/>
      <c r="D1" s="131"/>
      <c r="E1" s="131"/>
      <c r="F1" s="131"/>
      <c r="G1" s="131"/>
      <c r="H1" s="131"/>
      <c r="I1" s="131"/>
      <c r="J1" s="131"/>
      <c r="K1" s="131"/>
      <c r="L1" s="131"/>
      <c r="M1" s="131"/>
    </row>
    <row r="2" customFormat="false" ht="45" hidden="false" customHeight="true" outlineLevel="0" collapsed="false">
      <c r="A2" s="132" t="s">
        <v>480</v>
      </c>
      <c r="B2" s="132"/>
      <c r="C2" s="132"/>
      <c r="D2" s="132"/>
      <c r="E2" s="132"/>
      <c r="F2" s="132"/>
      <c r="G2" s="132"/>
      <c r="H2" s="132"/>
      <c r="I2" s="132"/>
      <c r="J2" s="132"/>
      <c r="K2" s="132"/>
      <c r="L2" s="132"/>
      <c r="M2" s="132"/>
    </row>
    <row r="4" customFormat="false" ht="15" hidden="false" customHeight="true" outlineLevel="0" collapsed="false">
      <c r="A4" s="131" t="s">
        <v>440</v>
      </c>
      <c r="B4" s="131" t="s">
        <v>176</v>
      </c>
      <c r="C4" s="131" t="s">
        <v>441</v>
      </c>
      <c r="D4" s="131" t="s">
        <v>481</v>
      </c>
      <c r="E4" s="131" t="s">
        <v>482</v>
      </c>
      <c r="F4" s="131" t="s">
        <v>483</v>
      </c>
      <c r="G4" s="131" t="s">
        <v>484</v>
      </c>
      <c r="H4" s="131" t="s">
        <v>485</v>
      </c>
      <c r="I4" s="131" t="s">
        <v>486</v>
      </c>
      <c r="J4" s="131" t="s">
        <v>487</v>
      </c>
      <c r="K4" s="131" t="s">
        <v>488</v>
      </c>
      <c r="L4" s="131" t="s">
        <v>489</v>
      </c>
      <c r="M4" s="131" t="s">
        <v>490</v>
      </c>
    </row>
    <row r="5" customFormat="false" ht="15" hidden="false" customHeight="true" outlineLevel="0" collapsed="false">
      <c r="A5" s="133" t="s">
        <v>191</v>
      </c>
      <c r="B5" s="134" t="s">
        <v>192</v>
      </c>
      <c r="C5" s="134" t="s">
        <v>445</v>
      </c>
      <c r="D5" s="135" t="s">
        <v>491</v>
      </c>
      <c r="E5" s="134" t="n">
        <f aca="false">('Histórico de guardias'!$D$506+'Histórico de guardias'!$E$506+'Histórico de guardias'!$F$506)+('Resumen de guardias'!$Q$3+'Resumen de guardias'!$R$3+'Resumen de guardias'!$S$3)</f>
        <v>3</v>
      </c>
      <c r="F5" s="134" t="n">
        <f aca="false">AVERAGEIFS($E$5:$E$32,$C$5:$C$32,$C5,$D$5:$D$32,"Sí")</f>
        <v>3.125</v>
      </c>
      <c r="G5" s="136" t="n">
        <f aca="false">E5-F5</f>
        <v>-0.125</v>
      </c>
      <c r="H5" s="134" t="n">
        <f aca="false">'Histórico de guardias'!$J$506+'Resumen de guardias'!$T$3</f>
        <v>0</v>
      </c>
      <c r="I5" s="134" t="n">
        <f aca="false">AVERAGEIFS($H$5:$H$32,$C$5:$C$32,$C5,$D$5:$D$32,"Sí")</f>
        <v>0.375</v>
      </c>
      <c r="J5" s="136" t="n">
        <f aca="false">H5-I5</f>
        <v>-0.375</v>
      </c>
      <c r="K5" s="134" t="n">
        <f aca="false">'Histórico de guardias'!$G$506+'Resumen de guardias'!$I$3</f>
        <v>0</v>
      </c>
      <c r="L5" s="134" t="n">
        <f aca="false">'Histórico de guardias'!$K$506+'Resumen de guardias'!$L$3</f>
        <v>7</v>
      </c>
      <c r="M5" s="136" t="n">
        <f aca="false">L5-(AVERAGEIFS($L$5:$L$32,$C$5:$C$32,$C5,$D$5:$D$32,"Sí"))</f>
        <v>-0.625</v>
      </c>
    </row>
    <row r="6" customFormat="false" ht="15" hidden="false" customHeight="true" outlineLevel="0" collapsed="false">
      <c r="A6" s="133" t="s">
        <v>194</v>
      </c>
      <c r="B6" s="134" t="s">
        <v>195</v>
      </c>
      <c r="C6" s="134" t="s">
        <v>445</v>
      </c>
      <c r="D6" s="135" t="s">
        <v>491</v>
      </c>
      <c r="E6" s="134" t="n">
        <f aca="false">('Histórico de guardias'!$D$507+'Histórico de guardias'!$E$507+'Histórico de guardias'!$F$507)+('Resumen de guardias'!$Q$4+'Resumen de guardias'!$R$4+'Resumen de guardias'!$S$4)</f>
        <v>3</v>
      </c>
      <c r="F6" s="134" t="n">
        <f aca="false">AVERAGEIFS($E$5:$E$32,$C$5:$C$32,$C6,$D$5:$D$32,"Sí")</f>
        <v>3.125</v>
      </c>
      <c r="G6" s="136" t="n">
        <f aca="false">E6-F6</f>
        <v>-0.125</v>
      </c>
      <c r="H6" s="134" t="n">
        <f aca="false">'Histórico de guardias'!$J$507+'Resumen de guardias'!$T$4</f>
        <v>1</v>
      </c>
      <c r="I6" s="134" t="n">
        <f aca="false">AVERAGEIFS($H$5:$H$32,$C$5:$C$32,$C6,$D$5:$D$32,"Sí")</f>
        <v>0.375</v>
      </c>
      <c r="J6" s="136" t="n">
        <f aca="false">H6-I6</f>
        <v>0.625</v>
      </c>
      <c r="K6" s="134" t="n">
        <f aca="false">'Histórico de guardias'!$G$507+'Resumen de guardias'!$I$4</f>
        <v>0</v>
      </c>
      <c r="L6" s="134" t="n">
        <f aca="false">'Histórico de guardias'!$K$507+'Resumen de guardias'!$L$4</f>
        <v>8</v>
      </c>
      <c r="M6" s="136" t="n">
        <f aca="false">L6-(AVERAGEIFS($L$5:$L$32,$C$5:$C$32,$C6,$D$5:$D$32,"Sí"))</f>
        <v>0.375</v>
      </c>
    </row>
    <row r="7" customFormat="false" ht="15" hidden="false" customHeight="true" outlineLevel="0" collapsed="false">
      <c r="A7" s="133" t="s">
        <v>196</v>
      </c>
      <c r="B7" s="134" t="s">
        <v>197</v>
      </c>
      <c r="C7" s="134" t="s">
        <v>445</v>
      </c>
      <c r="D7" s="135" t="s">
        <v>491</v>
      </c>
      <c r="E7" s="134" t="n">
        <f aca="false">('Histórico de guardias'!$D$508+'Histórico de guardias'!$E$508+'Histórico de guardias'!$F$508)+('Resumen de guardias'!$Q$5+'Resumen de guardias'!$R$5+'Resumen de guardias'!$S$5)</f>
        <v>3</v>
      </c>
      <c r="F7" s="134" t="n">
        <f aca="false">AVERAGEIFS($E$5:$E$32,$C$5:$C$32,$C7,$D$5:$D$32,"Sí")</f>
        <v>3.125</v>
      </c>
      <c r="G7" s="136" t="n">
        <f aca="false">E7-F7</f>
        <v>-0.125</v>
      </c>
      <c r="H7" s="134" t="n">
        <f aca="false">'Histórico de guardias'!$J$508+'Resumen de guardias'!$T$5</f>
        <v>0</v>
      </c>
      <c r="I7" s="134" t="n">
        <f aca="false">AVERAGEIFS($H$5:$H$32,$C$5:$C$32,$C7,$D$5:$D$32,"Sí")</f>
        <v>0.375</v>
      </c>
      <c r="J7" s="136" t="n">
        <f aca="false">H7-I7</f>
        <v>-0.375</v>
      </c>
      <c r="K7" s="134" t="n">
        <f aca="false">'Histórico de guardias'!$G$508+'Resumen de guardias'!$I$5</f>
        <v>0</v>
      </c>
      <c r="L7" s="134" t="n">
        <f aca="false">'Histórico de guardias'!$K$508+'Resumen de guardias'!$L$5</f>
        <v>9</v>
      </c>
      <c r="M7" s="136" t="n">
        <f aca="false">L7-(AVERAGEIFS($L$5:$L$32,$C$5:$C$32,$C7,$D$5:$D$32,"Sí"))</f>
        <v>1.375</v>
      </c>
    </row>
    <row r="8" customFormat="false" ht="15" hidden="false" customHeight="true" outlineLevel="0" collapsed="false">
      <c r="A8" s="133" t="s">
        <v>199</v>
      </c>
      <c r="B8" s="134" t="s">
        <v>200</v>
      </c>
      <c r="C8" s="134" t="s">
        <v>445</v>
      </c>
      <c r="D8" s="135" t="s">
        <v>491</v>
      </c>
      <c r="E8" s="134" t="n">
        <f aca="false">('Histórico de guardias'!$D$509+'Histórico de guardias'!$E$509+'Histórico de guardias'!$F$509)+('Resumen de guardias'!$Q$6+'Resumen de guardias'!$R$6+'Resumen de guardias'!$S$6)</f>
        <v>2</v>
      </c>
      <c r="F8" s="134" t="n">
        <f aca="false">AVERAGEIFS($E$5:$E$32,$C$5:$C$32,$C8,$D$5:$D$32,"Sí")</f>
        <v>3.125</v>
      </c>
      <c r="G8" s="136" t="n">
        <f aca="false">E8-F8</f>
        <v>-1.125</v>
      </c>
      <c r="H8" s="134" t="n">
        <f aca="false">'Histórico de guardias'!$J$509+'Resumen de guardias'!$T$6</f>
        <v>0</v>
      </c>
      <c r="I8" s="134" t="n">
        <f aca="false">AVERAGEIFS($H$5:$H$32,$C$5:$C$32,$C8,$D$5:$D$32,"Sí")</f>
        <v>0.375</v>
      </c>
      <c r="J8" s="136" t="n">
        <f aca="false">H8-I8</f>
        <v>-0.375</v>
      </c>
      <c r="K8" s="134" t="n">
        <f aca="false">'Histórico de guardias'!$G$509+'Resumen de guardias'!$I$6</f>
        <v>0</v>
      </c>
      <c r="L8" s="134" t="n">
        <f aca="false">'Histórico de guardias'!$K$509+'Resumen de guardias'!$L$6</f>
        <v>5</v>
      </c>
      <c r="M8" s="136" t="n">
        <f aca="false">L8-(AVERAGEIFS($L$5:$L$32,$C$5:$C$32,$C8,$D$5:$D$32,"Sí"))</f>
        <v>-2.625</v>
      </c>
    </row>
    <row r="9" customFormat="false" ht="15" hidden="false" customHeight="true" outlineLevel="0" collapsed="false">
      <c r="A9" s="133" t="s">
        <v>201</v>
      </c>
      <c r="B9" s="134" t="s">
        <v>202</v>
      </c>
      <c r="C9" s="134" t="s">
        <v>445</v>
      </c>
      <c r="D9" s="135" t="s">
        <v>491</v>
      </c>
      <c r="E9" s="134" t="n">
        <f aca="false">('Histórico de guardias'!$D$510+'Histórico de guardias'!$E$510+'Histórico de guardias'!$F$510)+('Resumen de guardias'!$Q$7+'Resumen de guardias'!$R$7+'Resumen de guardias'!$S$7)</f>
        <v>3</v>
      </c>
      <c r="F9" s="134" t="n">
        <f aca="false">AVERAGEIFS($E$5:$E$32,$C$5:$C$32,$C9,$D$5:$D$32,"Sí")</f>
        <v>3.125</v>
      </c>
      <c r="G9" s="136" t="n">
        <f aca="false">E9-F9</f>
        <v>-0.125</v>
      </c>
      <c r="H9" s="134" t="n">
        <f aca="false">'Histórico de guardias'!$J$510+'Resumen de guardias'!$T$7</f>
        <v>1</v>
      </c>
      <c r="I9" s="134" t="n">
        <f aca="false">AVERAGEIFS($H$5:$H$32,$C$5:$C$32,$C9,$D$5:$D$32,"Sí")</f>
        <v>0.375</v>
      </c>
      <c r="J9" s="136" t="n">
        <f aca="false">H9-I9</f>
        <v>0.625</v>
      </c>
      <c r="K9" s="134" t="n">
        <f aca="false">'Histórico de guardias'!$G$510+'Resumen de guardias'!$I$7</f>
        <v>0</v>
      </c>
      <c r="L9" s="134" t="n">
        <f aca="false">'Histórico de guardias'!$K$510+'Resumen de guardias'!$L$7</f>
        <v>8</v>
      </c>
      <c r="M9" s="136" t="n">
        <f aca="false">L9-(AVERAGEIFS($L$5:$L$32,$C$5:$C$32,$C9,$D$5:$D$32,"Sí"))</f>
        <v>0.375</v>
      </c>
    </row>
    <row r="10" customFormat="false" ht="15" hidden="false" customHeight="true" outlineLevel="0" collapsed="false">
      <c r="A10" s="133" t="s">
        <v>203</v>
      </c>
      <c r="B10" s="134" t="s">
        <v>204</v>
      </c>
      <c r="C10" s="134" t="s">
        <v>445</v>
      </c>
      <c r="D10" s="135" t="s">
        <v>491</v>
      </c>
      <c r="E10" s="134" t="n">
        <f aca="false">('Histórico de guardias'!$D$511+'Histórico de guardias'!$E$511+'Histórico de guardias'!$F$511)+('Resumen de guardias'!$Q$8+'Resumen de guardias'!$R$8+'Resumen de guardias'!$S$8)</f>
        <v>3</v>
      </c>
      <c r="F10" s="134" t="n">
        <f aca="false">AVERAGEIFS($E$5:$E$32,$C$5:$C$32,$C10,$D$5:$D$32,"Sí")</f>
        <v>3.125</v>
      </c>
      <c r="G10" s="136" t="n">
        <f aca="false">E10-F10</f>
        <v>-0.125</v>
      </c>
      <c r="H10" s="134" t="n">
        <f aca="false">'Histórico de guardias'!$J$511+'Resumen de guardias'!$T$8</f>
        <v>0</v>
      </c>
      <c r="I10" s="134" t="n">
        <f aca="false">AVERAGEIFS($H$5:$H$32,$C$5:$C$32,$C10,$D$5:$D$32,"Sí")</f>
        <v>0.375</v>
      </c>
      <c r="J10" s="136" t="n">
        <f aca="false">H10-I10</f>
        <v>-0.375</v>
      </c>
      <c r="K10" s="134" t="n">
        <f aca="false">'Histórico de guardias'!$G$511+'Resumen de guardias'!$I$8</f>
        <v>0</v>
      </c>
      <c r="L10" s="134" t="n">
        <f aca="false">'Histórico de guardias'!$K$511+'Resumen de guardias'!$L$8</f>
        <v>8</v>
      </c>
      <c r="M10" s="136" t="n">
        <f aca="false">L10-(AVERAGEIFS($L$5:$L$32,$C$5:$C$32,$C10,$D$5:$D$32,"Sí"))</f>
        <v>0.375</v>
      </c>
    </row>
    <row r="11" customFormat="false" ht="15" hidden="false" customHeight="true" outlineLevel="0" collapsed="false">
      <c r="A11" s="133" t="s">
        <v>205</v>
      </c>
      <c r="B11" s="134" t="s">
        <v>206</v>
      </c>
      <c r="C11" s="134" t="s">
        <v>445</v>
      </c>
      <c r="D11" s="135" t="s">
        <v>491</v>
      </c>
      <c r="E11" s="134" t="n">
        <f aca="false">('Histórico de guardias'!$D$512+'Histórico de guardias'!$E$512+'Histórico de guardias'!$F$512)+('Resumen de guardias'!$Q$9+'Resumen de guardias'!$R$9+'Resumen de guardias'!$S$9)</f>
        <v>4</v>
      </c>
      <c r="F11" s="134" t="n">
        <f aca="false">AVERAGEIFS($E$5:$E$32,$C$5:$C$32,$C11,$D$5:$D$32,"Sí")</f>
        <v>3.125</v>
      </c>
      <c r="G11" s="136" t="n">
        <f aca="false">E11-F11</f>
        <v>0.875</v>
      </c>
      <c r="H11" s="134" t="n">
        <f aca="false">'Histórico de guardias'!$J$512+'Resumen de guardias'!$T$9</f>
        <v>0</v>
      </c>
      <c r="I11" s="134" t="n">
        <f aca="false">AVERAGEIFS($H$5:$H$32,$C$5:$C$32,$C11,$D$5:$D$32,"Sí")</f>
        <v>0.375</v>
      </c>
      <c r="J11" s="136" t="n">
        <f aca="false">H11-I11</f>
        <v>-0.375</v>
      </c>
      <c r="K11" s="134" t="n">
        <f aca="false">'Histórico de guardias'!$G$512+'Resumen de guardias'!$I$9</f>
        <v>0</v>
      </c>
      <c r="L11" s="134" t="n">
        <f aca="false">'Histórico de guardias'!$K$512+'Resumen de guardias'!$L$9</f>
        <v>8</v>
      </c>
      <c r="M11" s="136" t="n">
        <f aca="false">L11-(AVERAGEIFS($L$5:$L$32,$C$5:$C$32,$C11,$D$5:$D$32,"Sí"))</f>
        <v>0.375</v>
      </c>
    </row>
    <row r="12" customFormat="false" ht="15" hidden="false" customHeight="true" outlineLevel="0" collapsed="false">
      <c r="A12" s="133" t="s">
        <v>492</v>
      </c>
      <c r="B12" s="134" t="s">
        <v>208</v>
      </c>
      <c r="C12" s="134" t="s">
        <v>445</v>
      </c>
      <c r="D12" s="135" t="s">
        <v>491</v>
      </c>
      <c r="E12" s="134" t="n">
        <f aca="false">('Histórico de guardias'!$D$513+'Histórico de guardias'!$E$513+'Histórico de guardias'!$F$513)+('Resumen de guardias'!$Q$10+'Resumen de guardias'!$R$10+'Resumen de guardias'!$S$10)</f>
        <v>4</v>
      </c>
      <c r="F12" s="134" t="n">
        <f aca="false">AVERAGEIFS($E$5:$E$32,$C$5:$C$32,$C12,$D$5:$D$32,"Sí")</f>
        <v>3.125</v>
      </c>
      <c r="G12" s="136" t="n">
        <f aca="false">E12-F12</f>
        <v>0.875</v>
      </c>
      <c r="H12" s="134" t="n">
        <f aca="false">'Histórico de guardias'!$J$513+'Resumen de guardias'!$T$10</f>
        <v>1</v>
      </c>
      <c r="I12" s="134" t="n">
        <f aca="false">AVERAGEIFS($H$5:$H$32,$C$5:$C$32,$C12,$D$5:$D$32,"Sí")</f>
        <v>0.375</v>
      </c>
      <c r="J12" s="136" t="n">
        <f aca="false">H12-I12</f>
        <v>0.625</v>
      </c>
      <c r="K12" s="134" t="n">
        <f aca="false">'Histórico de guardias'!$G$513+'Resumen de guardias'!$I$10</f>
        <v>0</v>
      </c>
      <c r="L12" s="134" t="n">
        <f aca="false">'Histórico de guardias'!$K$513+'Resumen de guardias'!$L$10</f>
        <v>8</v>
      </c>
      <c r="M12" s="136" t="n">
        <f aca="false">L12-(AVERAGEIFS($L$5:$L$32,$C$5:$C$32,$C12,$D$5:$D$32,"Sí"))</f>
        <v>0.375</v>
      </c>
    </row>
    <row r="13" customFormat="false" ht="15" hidden="false" customHeight="true" outlineLevel="0" collapsed="false">
      <c r="A13" s="133" t="s">
        <v>209</v>
      </c>
      <c r="B13" s="134" t="s">
        <v>210</v>
      </c>
      <c r="C13" s="134" t="s">
        <v>447</v>
      </c>
      <c r="D13" s="135" t="s">
        <v>491</v>
      </c>
      <c r="E13" s="134" t="n">
        <f aca="false">('Histórico de guardias'!$D$514+'Histórico de guardias'!$E$514+'Histórico de guardias'!$F$514)+('Resumen de guardias'!$Q$11+'Resumen de guardias'!$R$11+'Resumen de guardias'!$S$11)</f>
        <v>12</v>
      </c>
      <c r="F13" s="134" t="n">
        <f aca="false">AVERAGEIFS($E$5:$E$32,$C$5:$C$32,$C13,$D$5:$D$32,"Sí")</f>
        <v>14.25</v>
      </c>
      <c r="G13" s="136" t="n">
        <f aca="false">E13-F13</f>
        <v>-2.25</v>
      </c>
      <c r="H13" s="134" t="n">
        <f aca="false">'Histórico de guardias'!$J$514+'Resumen de guardias'!$T$11</f>
        <v>0</v>
      </c>
      <c r="I13" s="134" t="n">
        <f aca="false">AVERAGEIFS($H$5:$H$32,$C$5:$C$32,$C13,$D$5:$D$32,"Sí")</f>
        <v>0.75</v>
      </c>
      <c r="J13" s="136" t="n">
        <f aca="false">H13-I13</f>
        <v>-0.75</v>
      </c>
      <c r="K13" s="134" t="n">
        <f aca="false">'Histórico de guardias'!$G$514+'Resumen de guardias'!$I$11</f>
        <v>0</v>
      </c>
      <c r="L13" s="134" t="n">
        <f aca="false">'Histórico de guardias'!$K$514+'Resumen de guardias'!$L$11</f>
        <v>31</v>
      </c>
      <c r="M13" s="136" t="n">
        <f aca="false">L13-(AVERAGEIFS($L$5:$L$32,$C$5:$C$32,$C13,$D$5:$D$32,"Sí"))</f>
        <v>-1.375</v>
      </c>
    </row>
    <row r="14" customFormat="false" ht="15" hidden="false" customHeight="true" outlineLevel="0" collapsed="false">
      <c r="A14" s="133" t="s">
        <v>493</v>
      </c>
      <c r="B14" s="134" t="s">
        <v>213</v>
      </c>
      <c r="C14" s="134" t="s">
        <v>447</v>
      </c>
      <c r="D14" s="135" t="s">
        <v>491</v>
      </c>
      <c r="E14" s="134" t="n">
        <f aca="false">('Histórico de guardias'!$D$515+'Histórico de guardias'!$E$515+'Histórico de guardias'!$F$515)+('Resumen de guardias'!$Q$12+'Resumen de guardias'!$R$12+'Resumen de guardias'!$S$12)</f>
        <v>18</v>
      </c>
      <c r="F14" s="134" t="n">
        <f aca="false">AVERAGEIFS($E$5:$E$32,$C$5:$C$32,$C14,$D$5:$D$32,"Sí")</f>
        <v>14.25</v>
      </c>
      <c r="G14" s="136" t="n">
        <f aca="false">E14-F14</f>
        <v>3.75</v>
      </c>
      <c r="H14" s="134" t="n">
        <f aca="false">'Histórico de guardias'!$J$515+'Resumen de guardias'!$T$12</f>
        <v>1</v>
      </c>
      <c r="I14" s="134" t="n">
        <f aca="false">AVERAGEIFS($H$5:$H$32,$C$5:$C$32,$C14,$D$5:$D$32,"Sí")</f>
        <v>0.75</v>
      </c>
      <c r="J14" s="136" t="n">
        <f aca="false">H14-I14</f>
        <v>0.25</v>
      </c>
      <c r="K14" s="134" t="n">
        <f aca="false">'Histórico de guardias'!$G$515+'Resumen de guardias'!$I$12</f>
        <v>0</v>
      </c>
      <c r="L14" s="134" t="n">
        <f aca="false">'Histórico de guardias'!$K$515+'Resumen de guardias'!$L$12</f>
        <v>33</v>
      </c>
      <c r="M14" s="136" t="n">
        <f aca="false">L14-(AVERAGEIFS($L$5:$L$32,$C$5:$C$32,$C14,$D$5:$D$32,"Sí"))</f>
        <v>0.625</v>
      </c>
    </row>
    <row r="15" customFormat="false" ht="15" hidden="false" customHeight="true" outlineLevel="0" collapsed="false">
      <c r="A15" s="133" t="s">
        <v>494</v>
      </c>
      <c r="B15" s="134" t="s">
        <v>216</v>
      </c>
      <c r="C15" s="134" t="s">
        <v>447</v>
      </c>
      <c r="D15" s="135" t="s">
        <v>491</v>
      </c>
      <c r="E15" s="134" t="n">
        <f aca="false">('Histórico de guardias'!$D$516+'Histórico de guardias'!$E$516+'Histórico de guardias'!$F$516)+('Resumen de guardias'!$Q$13+'Resumen de guardias'!$R$13+'Resumen de guardias'!$S$13)</f>
        <v>13</v>
      </c>
      <c r="F15" s="134" t="n">
        <f aca="false">AVERAGEIFS($E$5:$E$32,$C$5:$C$32,$C15,$D$5:$D$32,"Sí")</f>
        <v>14.25</v>
      </c>
      <c r="G15" s="136" t="n">
        <f aca="false">E15-F15</f>
        <v>-1.25</v>
      </c>
      <c r="H15" s="134" t="n">
        <f aca="false">'Histórico de guardias'!$J$516+'Resumen de guardias'!$T$13</f>
        <v>1</v>
      </c>
      <c r="I15" s="134" t="n">
        <f aca="false">AVERAGEIFS($H$5:$H$32,$C$5:$C$32,$C15,$D$5:$D$32,"Sí")</f>
        <v>0.75</v>
      </c>
      <c r="J15" s="136" t="n">
        <f aca="false">H15-I15</f>
        <v>0.25</v>
      </c>
      <c r="K15" s="134" t="n">
        <f aca="false">'Histórico de guardias'!$G$516+'Resumen de guardias'!$I$13</f>
        <v>0</v>
      </c>
      <c r="L15" s="134" t="n">
        <f aca="false">'Histórico de guardias'!$K$516+'Resumen de guardias'!$L$13</f>
        <v>32</v>
      </c>
      <c r="M15" s="136" t="n">
        <f aca="false">L15-(AVERAGEIFS($L$5:$L$32,$C$5:$C$32,$C15,$D$5:$D$32,"Sí"))</f>
        <v>-0.375</v>
      </c>
    </row>
    <row r="16" customFormat="false" ht="15" hidden="false" customHeight="true" outlineLevel="0" collapsed="false">
      <c r="A16" s="133" t="s">
        <v>217</v>
      </c>
      <c r="B16" s="134" t="s">
        <v>218</v>
      </c>
      <c r="C16" s="134" t="s">
        <v>447</v>
      </c>
      <c r="D16" s="135" t="s">
        <v>491</v>
      </c>
      <c r="E16" s="134" t="n">
        <f aca="false">('Histórico de guardias'!$D$517+'Histórico de guardias'!$E$517+'Histórico de guardias'!$F$517)+('Resumen de guardias'!$Q$14+'Resumen de guardias'!$R$14+'Resumen de guardias'!$S$14)</f>
        <v>13</v>
      </c>
      <c r="F16" s="134" t="n">
        <f aca="false">AVERAGEIFS($E$5:$E$32,$C$5:$C$32,$C16,$D$5:$D$32,"Sí")</f>
        <v>14.25</v>
      </c>
      <c r="G16" s="136" t="n">
        <f aca="false">E16-F16</f>
        <v>-1.25</v>
      </c>
      <c r="H16" s="134" t="n">
        <f aca="false">'Histórico de guardias'!$J$517+'Resumen de guardias'!$T$14</f>
        <v>1</v>
      </c>
      <c r="I16" s="134" t="n">
        <f aca="false">AVERAGEIFS($H$5:$H$32,$C$5:$C$32,$C16,$D$5:$D$32,"Sí")</f>
        <v>0.75</v>
      </c>
      <c r="J16" s="136" t="n">
        <f aca="false">H16-I16</f>
        <v>0.25</v>
      </c>
      <c r="K16" s="134" t="n">
        <f aca="false">'Histórico de guardias'!$G$517+'Resumen de guardias'!$I$14</f>
        <v>0</v>
      </c>
      <c r="L16" s="134" t="n">
        <f aca="false">'Histórico de guardias'!$K$517+'Resumen de guardias'!$L$14</f>
        <v>33</v>
      </c>
      <c r="M16" s="136" t="n">
        <f aca="false">L16-(AVERAGEIFS($L$5:$L$32,$C$5:$C$32,$C16,$D$5:$D$32,"Sí"))</f>
        <v>0.625</v>
      </c>
    </row>
    <row r="17" customFormat="false" ht="15" hidden="false" customHeight="true" outlineLevel="0" collapsed="false">
      <c r="A17" s="133" t="s">
        <v>219</v>
      </c>
      <c r="B17" s="134" t="s">
        <v>220</v>
      </c>
      <c r="C17" s="134" t="s">
        <v>447</v>
      </c>
      <c r="D17" s="135" t="s">
        <v>491</v>
      </c>
      <c r="E17" s="134" t="n">
        <f aca="false">('Histórico de guardias'!$D$518+'Histórico de guardias'!$E$518+'Histórico de guardias'!$F$518)+('Resumen de guardias'!$Q$15+'Resumen de guardias'!$R$15+'Resumen de guardias'!$S$15)</f>
        <v>13</v>
      </c>
      <c r="F17" s="134" t="n">
        <f aca="false">AVERAGEIFS($E$5:$E$32,$C$5:$C$32,$C17,$D$5:$D$32,"Sí")</f>
        <v>14.25</v>
      </c>
      <c r="G17" s="136" t="n">
        <f aca="false">E17-F17</f>
        <v>-1.25</v>
      </c>
      <c r="H17" s="134" t="n">
        <f aca="false">'Histórico de guardias'!$J$518+'Resumen de guardias'!$T$15</f>
        <v>2</v>
      </c>
      <c r="I17" s="134" t="n">
        <f aca="false">AVERAGEIFS($H$5:$H$32,$C$5:$C$32,$C17,$D$5:$D$32,"Sí")</f>
        <v>0.75</v>
      </c>
      <c r="J17" s="136" t="n">
        <f aca="false">H17-I17</f>
        <v>1.25</v>
      </c>
      <c r="K17" s="134" t="n">
        <f aca="false">'Histórico de guardias'!$G$518+'Resumen de guardias'!$I$15</f>
        <v>0</v>
      </c>
      <c r="L17" s="134" t="n">
        <f aca="false">'Histórico de guardias'!$K$518+'Resumen de guardias'!$L$15</f>
        <v>31</v>
      </c>
      <c r="M17" s="136" t="n">
        <f aca="false">L17-(AVERAGEIFS($L$5:$L$32,$C$5:$C$32,$C17,$D$5:$D$32,"Sí"))</f>
        <v>-1.375</v>
      </c>
    </row>
    <row r="18" customFormat="false" ht="15" hidden="false" customHeight="true" outlineLevel="0" collapsed="false">
      <c r="A18" s="133" t="s">
        <v>221</v>
      </c>
      <c r="B18" s="134" t="s">
        <v>222</v>
      </c>
      <c r="C18" s="134" t="s">
        <v>447</v>
      </c>
      <c r="D18" s="135" t="s">
        <v>491</v>
      </c>
      <c r="E18" s="134" t="n">
        <f aca="false">('Histórico de guardias'!$D$519+'Histórico de guardias'!$E$519+'Histórico de guardias'!$F$519)+('Resumen de guardias'!$Q$16+'Resumen de guardias'!$R$16+'Resumen de guardias'!$S$16)</f>
        <v>15</v>
      </c>
      <c r="F18" s="134" t="n">
        <f aca="false">AVERAGEIFS($E$5:$E$32,$C$5:$C$32,$C18,$D$5:$D$32,"Sí")</f>
        <v>14.25</v>
      </c>
      <c r="G18" s="136" t="n">
        <f aca="false">E18-F18</f>
        <v>0.75</v>
      </c>
      <c r="H18" s="134" t="n">
        <f aca="false">'Histórico de guardias'!$J$519+'Resumen de guardias'!$T$16</f>
        <v>0</v>
      </c>
      <c r="I18" s="134" t="n">
        <f aca="false">AVERAGEIFS($H$5:$H$32,$C$5:$C$32,$C18,$D$5:$D$32,"Sí")</f>
        <v>0.75</v>
      </c>
      <c r="J18" s="136" t="n">
        <f aca="false">H18-I18</f>
        <v>-0.75</v>
      </c>
      <c r="K18" s="134" t="n">
        <f aca="false">'Histórico de guardias'!$G$519+'Resumen de guardias'!$I$16</f>
        <v>0</v>
      </c>
      <c r="L18" s="134" t="n">
        <f aca="false">'Histórico de guardias'!$K$519+'Resumen de guardias'!$L$16</f>
        <v>32</v>
      </c>
      <c r="M18" s="136" t="n">
        <f aca="false">L18-(AVERAGEIFS($L$5:$L$32,$C$5:$C$32,$C18,$D$5:$D$32,"Sí"))</f>
        <v>-0.375</v>
      </c>
    </row>
    <row r="19" customFormat="false" ht="15" hidden="false" customHeight="true" outlineLevel="0" collapsed="false">
      <c r="A19" s="133" t="s">
        <v>495</v>
      </c>
      <c r="B19" s="134" t="s">
        <v>224</v>
      </c>
      <c r="C19" s="134" t="s">
        <v>447</v>
      </c>
      <c r="D19" s="135" t="s">
        <v>491</v>
      </c>
      <c r="E19" s="134" t="n">
        <f aca="false">('Histórico de guardias'!$D$520+'Histórico de guardias'!$E$520+'Histórico de guardias'!$F$520)+('Resumen de guardias'!$Q$17+'Resumen de guardias'!$R$17+'Resumen de guardias'!$S$17)</f>
        <v>15</v>
      </c>
      <c r="F19" s="134" t="n">
        <f aca="false">AVERAGEIFS($E$5:$E$32,$C$5:$C$32,$C19,$D$5:$D$32,"Sí")</f>
        <v>14.25</v>
      </c>
      <c r="G19" s="136" t="n">
        <f aca="false">E19-F19</f>
        <v>0.75</v>
      </c>
      <c r="H19" s="134" t="n">
        <f aca="false">'Histórico de guardias'!$J$520+'Resumen de guardias'!$T$17</f>
        <v>1</v>
      </c>
      <c r="I19" s="134" t="n">
        <f aca="false">AVERAGEIFS($H$5:$H$32,$C$5:$C$32,$C19,$D$5:$D$32,"Sí")</f>
        <v>0.75</v>
      </c>
      <c r="J19" s="136" t="n">
        <f aca="false">H19-I19</f>
        <v>0.25</v>
      </c>
      <c r="K19" s="134" t="n">
        <f aca="false">'Histórico de guardias'!$G$520+'Resumen de guardias'!$I$17</f>
        <v>0</v>
      </c>
      <c r="L19" s="134" t="n">
        <f aca="false">'Histórico de guardias'!$K$520+'Resumen de guardias'!$L$17</f>
        <v>34</v>
      </c>
      <c r="M19" s="136" t="n">
        <f aca="false">L19-(AVERAGEIFS($L$5:$L$32,$C$5:$C$32,$C19,$D$5:$D$32,"Sí"))</f>
        <v>1.625</v>
      </c>
    </row>
    <row r="20" customFormat="false" ht="15" hidden="false" customHeight="true" outlineLevel="0" collapsed="false">
      <c r="A20" s="133" t="s">
        <v>225</v>
      </c>
      <c r="B20" s="134" t="s">
        <v>226</v>
      </c>
      <c r="C20" s="134" t="s">
        <v>447</v>
      </c>
      <c r="D20" s="135" t="s">
        <v>491</v>
      </c>
      <c r="E20" s="134" t="n">
        <f aca="false">('Histórico de guardias'!$D$521+'Histórico de guardias'!$E$521+'Histórico de guardias'!$F$521)+('Resumen de guardias'!$Q$18+'Resumen de guardias'!$R$18+'Resumen de guardias'!$S$18)</f>
        <v>15</v>
      </c>
      <c r="F20" s="134" t="n">
        <f aca="false">AVERAGEIFS($E$5:$E$32,$C$5:$C$32,$C20,$D$5:$D$32,"Sí")</f>
        <v>14.25</v>
      </c>
      <c r="G20" s="136" t="n">
        <f aca="false">E20-F20</f>
        <v>0.75</v>
      </c>
      <c r="H20" s="134" t="n">
        <f aca="false">'Histórico de guardias'!$J$521+'Resumen de guardias'!$T$18</f>
        <v>0</v>
      </c>
      <c r="I20" s="134" t="n">
        <f aca="false">AVERAGEIFS($H$5:$H$32,$C$5:$C$32,$C20,$D$5:$D$32,"Sí")</f>
        <v>0.75</v>
      </c>
      <c r="J20" s="136" t="n">
        <f aca="false">H20-I20</f>
        <v>-0.75</v>
      </c>
      <c r="K20" s="134" t="n">
        <f aca="false">'Histórico de guardias'!$G$521+'Resumen de guardias'!$I$18</f>
        <v>0</v>
      </c>
      <c r="L20" s="134" t="n">
        <f aca="false">'Histórico de guardias'!$K$521+'Resumen de guardias'!$L$18</f>
        <v>33</v>
      </c>
      <c r="M20" s="136" t="n">
        <f aca="false">L20-(AVERAGEIFS($L$5:$L$32,$C$5:$C$32,$C20,$D$5:$D$32,"Sí"))</f>
        <v>0.625</v>
      </c>
    </row>
    <row r="21" customFormat="false" ht="15" hidden="false" customHeight="true" outlineLevel="0" collapsed="false">
      <c r="A21" s="133" t="s">
        <v>496</v>
      </c>
      <c r="B21" s="134" t="s">
        <v>228</v>
      </c>
      <c r="C21" s="134" t="s">
        <v>448</v>
      </c>
      <c r="D21" s="135" t="s">
        <v>491</v>
      </c>
      <c r="E21" s="134" t="n">
        <f aca="false">('Histórico de guardias'!$D$522+'Histórico de guardias'!$E$522+'Histórico de guardias'!$F$522)+('Resumen de guardias'!$Q$19+'Resumen de guardias'!$R$19+'Resumen de guardias'!$S$19)</f>
        <v>14</v>
      </c>
      <c r="F21" s="134" t="n">
        <f aca="false">AVERAGEIFS($E$5:$E$32,$C$5:$C$32,$C21,$D$5:$D$32,"Sí")</f>
        <v>14.25</v>
      </c>
      <c r="G21" s="136" t="n">
        <f aca="false">E21-F21</f>
        <v>-0.25</v>
      </c>
      <c r="H21" s="134" t="n">
        <f aca="false">'Histórico de guardias'!$J$522+'Resumen de guardias'!$T$19</f>
        <v>0</v>
      </c>
      <c r="I21" s="134" t="n">
        <f aca="false">AVERAGEIFS($H$5:$H$32,$C$5:$C$32,$C21,$D$5:$D$32,"Sí")</f>
        <v>0.25</v>
      </c>
      <c r="J21" s="136" t="n">
        <f aca="false">H21-I21</f>
        <v>-0.25</v>
      </c>
      <c r="K21" s="134" t="n">
        <f aca="false">'Histórico de guardias'!$G$522+'Resumen de guardias'!$I$19</f>
        <v>1</v>
      </c>
      <c r="L21" s="134" t="n">
        <f aca="false">'Histórico de guardias'!$K$522+'Resumen de guardias'!$L$19</f>
        <v>33</v>
      </c>
      <c r="M21" s="136" t="n">
        <f aca="false">L21-(AVERAGEIFS($L$5:$L$32,$C$5:$C$32,$C21,$D$5:$D$32,"Sí"))</f>
        <v>-0.5</v>
      </c>
    </row>
    <row r="22" customFormat="false" ht="15" hidden="false" customHeight="true" outlineLevel="0" collapsed="false">
      <c r="A22" s="133" t="s">
        <v>229</v>
      </c>
      <c r="B22" s="134" t="s">
        <v>230</v>
      </c>
      <c r="C22" s="134" t="s">
        <v>448</v>
      </c>
      <c r="D22" s="135" t="s">
        <v>491</v>
      </c>
      <c r="E22" s="134" t="n">
        <f aca="false">('Histórico de guardias'!$D$523+'Histórico de guardias'!$E$523+'Histórico de guardias'!$F$523)+('Resumen de guardias'!$Q$20+'Resumen de guardias'!$R$20+'Resumen de guardias'!$S$20)</f>
        <v>15</v>
      </c>
      <c r="F22" s="134" t="n">
        <f aca="false">AVERAGEIFS($E$5:$E$32,$C$5:$C$32,$C22,$D$5:$D$32,"Sí")</f>
        <v>14.25</v>
      </c>
      <c r="G22" s="136" t="n">
        <f aca="false">E22-F22</f>
        <v>0.75</v>
      </c>
      <c r="H22" s="134" t="n">
        <f aca="false">'Histórico de guardias'!$J$523+'Resumen de guardias'!$T$20</f>
        <v>0</v>
      </c>
      <c r="I22" s="134" t="n">
        <f aca="false">AVERAGEIFS($H$5:$H$32,$C$5:$C$32,$C22,$D$5:$D$32,"Sí")</f>
        <v>0.25</v>
      </c>
      <c r="J22" s="136" t="n">
        <f aca="false">H22-I22</f>
        <v>-0.25</v>
      </c>
      <c r="K22" s="134" t="n">
        <f aca="false">'Histórico de guardias'!$G$523+'Resumen de guardias'!$I$20</f>
        <v>0</v>
      </c>
      <c r="L22" s="134" t="n">
        <f aca="false">'Histórico de guardias'!$K$523+'Resumen de guardias'!$L$20</f>
        <v>33</v>
      </c>
      <c r="M22" s="136" t="n">
        <f aca="false">L22-(AVERAGEIFS($L$5:$L$32,$C$5:$C$32,$C22,$D$5:$D$32,"Sí"))</f>
        <v>-0.5</v>
      </c>
    </row>
    <row r="23" customFormat="false" ht="15" hidden="false" customHeight="true" outlineLevel="0" collapsed="false">
      <c r="A23" s="133" t="s">
        <v>497</v>
      </c>
      <c r="B23" s="134" t="s">
        <v>232</v>
      </c>
      <c r="C23" s="134" t="s">
        <v>448</v>
      </c>
      <c r="D23" s="135" t="s">
        <v>491</v>
      </c>
      <c r="E23" s="134" t="n">
        <f aca="false">('Histórico de guardias'!$D$524+'Histórico de guardias'!$E$524+'Histórico de guardias'!$F$524)+('Resumen de guardias'!$Q$21+'Resumen de guardias'!$R$21+'Resumen de guardias'!$S$21)</f>
        <v>12</v>
      </c>
      <c r="F23" s="134" t="n">
        <f aca="false">AVERAGEIFS($E$5:$E$32,$C$5:$C$32,$C23,$D$5:$D$32,"Sí")</f>
        <v>14.25</v>
      </c>
      <c r="G23" s="136" t="n">
        <f aca="false">E23-F23</f>
        <v>-2.25</v>
      </c>
      <c r="H23" s="134" t="n">
        <f aca="false">'Histórico de guardias'!$J$524+'Resumen de guardias'!$T$21</f>
        <v>0</v>
      </c>
      <c r="I23" s="134" t="n">
        <f aca="false">AVERAGEIFS($H$5:$H$32,$C$5:$C$32,$C23,$D$5:$D$32,"Sí")</f>
        <v>0.25</v>
      </c>
      <c r="J23" s="136" t="n">
        <f aca="false">H23-I23</f>
        <v>-0.25</v>
      </c>
      <c r="K23" s="134" t="n">
        <f aca="false">'Histórico de guardias'!$G$524+'Resumen de guardias'!$I$21</f>
        <v>0</v>
      </c>
      <c r="L23" s="134" t="n">
        <f aca="false">'Histórico de guardias'!$K$524+'Resumen de guardias'!$L$21</f>
        <v>33</v>
      </c>
      <c r="M23" s="136" t="n">
        <f aca="false">L23-(AVERAGEIFS($L$5:$L$32,$C$5:$C$32,$C23,$D$5:$D$32,"Sí"))</f>
        <v>-0.5</v>
      </c>
    </row>
    <row r="24" customFormat="false" ht="15" hidden="false" customHeight="true" outlineLevel="0" collapsed="false">
      <c r="A24" s="133" t="s">
        <v>233</v>
      </c>
      <c r="B24" s="134" t="s">
        <v>234</v>
      </c>
      <c r="C24" s="134" t="s">
        <v>448</v>
      </c>
      <c r="D24" s="135" t="s">
        <v>491</v>
      </c>
      <c r="E24" s="134" t="n">
        <f aca="false">('Histórico de guardias'!$D$525+'Histórico de guardias'!$E$525+'Histórico de guardias'!$F$525)+('Resumen de guardias'!$Q$22+'Resumen de guardias'!$R$22+'Resumen de guardias'!$S$22)</f>
        <v>16</v>
      </c>
      <c r="F24" s="134" t="n">
        <f aca="false">AVERAGEIFS($E$5:$E$32,$C$5:$C$32,$C24,$D$5:$D$32,"Sí")</f>
        <v>14.25</v>
      </c>
      <c r="G24" s="136" t="n">
        <f aca="false">E24-F24</f>
        <v>1.75</v>
      </c>
      <c r="H24" s="134" t="n">
        <f aca="false">'Histórico de guardias'!$J$525+'Resumen de guardias'!$T$22</f>
        <v>1</v>
      </c>
      <c r="I24" s="134" t="n">
        <f aca="false">AVERAGEIFS($H$5:$H$32,$C$5:$C$32,$C24,$D$5:$D$32,"Sí")</f>
        <v>0.25</v>
      </c>
      <c r="J24" s="136" t="n">
        <f aca="false">H24-I24</f>
        <v>0.75</v>
      </c>
      <c r="K24" s="134" t="n">
        <f aca="false">'Histórico de guardias'!$G$525+'Resumen de guardias'!$I$22</f>
        <v>0</v>
      </c>
      <c r="L24" s="134" t="n">
        <f aca="false">'Histórico de guardias'!$K$525+'Resumen de guardias'!$L$22</f>
        <v>35</v>
      </c>
      <c r="M24" s="136" t="n">
        <f aca="false">L24-(AVERAGEIFS($L$5:$L$32,$C$5:$C$32,$C24,$D$5:$D$32,"Sí"))</f>
        <v>1.5</v>
      </c>
    </row>
    <row r="25" customFormat="false" ht="15" hidden="false" customHeight="true" outlineLevel="0" collapsed="false">
      <c r="A25" s="133" t="s">
        <v>235</v>
      </c>
      <c r="B25" s="134" t="s">
        <v>236</v>
      </c>
      <c r="C25" s="134" t="s">
        <v>449</v>
      </c>
      <c r="D25" s="135" t="s">
        <v>491</v>
      </c>
      <c r="E25" s="134" t="n">
        <f aca="false">('Histórico de guardias'!$D$526+'Histórico de guardias'!$E$526+'Histórico de guardias'!$F$526)+('Resumen de guardias'!$Q$23+'Resumen de guardias'!$R$23+'Resumen de guardias'!$S$23)</f>
        <v>18</v>
      </c>
      <c r="F25" s="134" t="n">
        <f aca="false">AVERAGEIFS($E$5:$E$32,$C$5:$C$32,$C25,$D$5:$D$32,"Sí")</f>
        <v>18.8</v>
      </c>
      <c r="G25" s="136" t="n">
        <f aca="false">E25-F25</f>
        <v>-0.800000000000001</v>
      </c>
      <c r="H25" s="134" t="n">
        <f aca="false">'Histórico de guardias'!$J$526+'Resumen de guardias'!$T$23</f>
        <v>1</v>
      </c>
      <c r="I25" s="134" t="n">
        <f aca="false">AVERAGEIFS($H$5:$H$32,$C$5:$C$32,$C25,$D$5:$D$32,"Sí")</f>
        <v>1.8</v>
      </c>
      <c r="J25" s="136" t="n">
        <f aca="false">H25-I25</f>
        <v>-0.8</v>
      </c>
      <c r="K25" s="134" t="n">
        <f aca="false">'Histórico de guardias'!$G$526+'Resumen de guardias'!$I$23</f>
        <v>22</v>
      </c>
      <c r="L25" s="134" t="n">
        <f aca="false">'Histórico de guardias'!$K$526+'Resumen de guardias'!$L$23</f>
        <v>46</v>
      </c>
      <c r="M25" s="136" t="n">
        <f aca="false">L25-(AVERAGEIFS($L$5:$L$32,$C$5:$C$32,$C25,$D$5:$D$32,"Sí"))</f>
        <v>-1.8</v>
      </c>
    </row>
    <row r="26" customFormat="false" ht="15" hidden="false" customHeight="true" outlineLevel="0" collapsed="false">
      <c r="A26" s="133" t="s">
        <v>237</v>
      </c>
      <c r="B26" s="134" t="s">
        <v>238</v>
      </c>
      <c r="C26" s="134" t="s">
        <v>449</v>
      </c>
      <c r="D26" s="135" t="s">
        <v>491</v>
      </c>
      <c r="E26" s="134" t="n">
        <f aca="false">('Histórico de guardias'!$D$527+'Histórico de guardias'!$E$527+'Histórico de guardias'!$F$527)+('Resumen de guardias'!$Q$24+'Resumen de guardias'!$R$24+'Resumen de guardias'!$S$24)</f>
        <v>20</v>
      </c>
      <c r="F26" s="134" t="n">
        <f aca="false">AVERAGEIFS($E$5:$E$32,$C$5:$C$32,$C26,$D$5:$D$32,"Sí")</f>
        <v>18.8</v>
      </c>
      <c r="G26" s="136" t="n">
        <f aca="false">E26-F26</f>
        <v>1.2</v>
      </c>
      <c r="H26" s="134" t="n">
        <f aca="false">'Histórico de guardias'!$J$527+'Resumen de guardias'!$T$24</f>
        <v>1</v>
      </c>
      <c r="I26" s="134" t="n">
        <f aca="false">AVERAGEIFS($H$5:$H$32,$C$5:$C$32,$C26,$D$5:$D$32,"Sí")</f>
        <v>1.8</v>
      </c>
      <c r="J26" s="136" t="n">
        <f aca="false">H26-I26</f>
        <v>-0.8</v>
      </c>
      <c r="K26" s="134" t="n">
        <f aca="false">'Histórico de guardias'!$G$527+'Resumen de guardias'!$I$24</f>
        <v>26</v>
      </c>
      <c r="L26" s="134" t="n">
        <f aca="false">'Histórico de guardias'!$K$527+'Resumen de guardias'!$L$24</f>
        <v>55</v>
      </c>
      <c r="M26" s="136" t="n">
        <f aca="false">L26-(AVERAGEIFS($L$5:$L$32,$C$5:$C$32,$C26,$D$5:$D$32,"Sí"))</f>
        <v>7.2</v>
      </c>
    </row>
    <row r="27" customFormat="false" ht="15" hidden="false" customHeight="true" outlineLevel="0" collapsed="false">
      <c r="A27" s="133" t="s">
        <v>498</v>
      </c>
      <c r="B27" s="134" t="s">
        <v>240</v>
      </c>
      <c r="C27" s="134" t="s">
        <v>449</v>
      </c>
      <c r="D27" s="135" t="s">
        <v>491</v>
      </c>
      <c r="E27" s="134" t="n">
        <f aca="false">('Histórico de guardias'!$D$528+'Histórico de guardias'!$E$528+'Histórico de guardias'!$F$528)+('Resumen de guardias'!$Q$25+'Resumen de guardias'!$R$25+'Resumen de guardias'!$S$25)</f>
        <v>13</v>
      </c>
      <c r="F27" s="134" t="n">
        <f aca="false">AVERAGEIFS($E$5:$E$32,$C$5:$C$32,$C27,$D$5:$D$32,"Sí")</f>
        <v>18.8</v>
      </c>
      <c r="G27" s="136" t="n">
        <f aca="false">E27-F27</f>
        <v>-5.8</v>
      </c>
      <c r="H27" s="134" t="n">
        <f aca="false">'Histórico de guardias'!$J$528+'Resumen de guardias'!$T$25</f>
        <v>3</v>
      </c>
      <c r="I27" s="134" t="n">
        <f aca="false">AVERAGEIFS($H$5:$H$32,$C$5:$C$32,$C27,$D$5:$D$32,"Sí")</f>
        <v>1.8</v>
      </c>
      <c r="J27" s="136" t="n">
        <f aca="false">H27-I27</f>
        <v>1.2</v>
      </c>
      <c r="K27" s="134" t="n">
        <f aca="false">'Histórico de guardias'!$G$528+'Resumen de guardias'!$I$25</f>
        <v>23</v>
      </c>
      <c r="L27" s="134" t="n">
        <f aca="false">'Histórico de guardias'!$K$528+'Resumen de guardias'!$L$25</f>
        <v>38</v>
      </c>
      <c r="M27" s="136" t="n">
        <f aca="false">L27-(AVERAGEIFS($L$5:$L$32,$C$5:$C$32,$C27,$D$5:$D$32,"Sí"))</f>
        <v>-9.8</v>
      </c>
    </row>
    <row r="28" customFormat="false" ht="15" hidden="false" customHeight="true" outlineLevel="0" collapsed="false">
      <c r="A28" s="133" t="s">
        <v>241</v>
      </c>
      <c r="B28" s="134" t="s">
        <v>242</v>
      </c>
      <c r="C28" s="134" t="s">
        <v>449</v>
      </c>
      <c r="D28" s="135" t="s">
        <v>491</v>
      </c>
      <c r="E28" s="134" t="n">
        <f aca="false">('Histórico de guardias'!$D$529+'Histórico de guardias'!$E$529+'Histórico de guardias'!$F$529)+('Resumen de guardias'!$Q$26+'Resumen de guardias'!$R$26+'Resumen de guardias'!$S$26)</f>
        <v>21</v>
      </c>
      <c r="F28" s="134" t="n">
        <f aca="false">AVERAGEIFS($E$5:$E$32,$C$5:$C$32,$C28,$D$5:$D$32,"Sí")</f>
        <v>18.8</v>
      </c>
      <c r="G28" s="136" t="n">
        <f aca="false">E28-F28</f>
        <v>2.2</v>
      </c>
      <c r="H28" s="134" t="n">
        <f aca="false">'Histórico de guardias'!$J$529+'Resumen de guardias'!$T$26</f>
        <v>2</v>
      </c>
      <c r="I28" s="134" t="n">
        <f aca="false">AVERAGEIFS($H$5:$H$32,$C$5:$C$32,$C28,$D$5:$D$32,"Sí")</f>
        <v>1.8</v>
      </c>
      <c r="J28" s="136" t="n">
        <f aca="false">H28-I28</f>
        <v>0.2</v>
      </c>
      <c r="K28" s="134" t="n">
        <f aca="false">'Histórico de guardias'!$G$529+'Resumen de guardias'!$I$26</f>
        <v>22</v>
      </c>
      <c r="L28" s="134" t="n">
        <f aca="false">'Histórico de guardias'!$K$529+'Resumen de guardias'!$L$26</f>
        <v>44</v>
      </c>
      <c r="M28" s="136" t="n">
        <f aca="false">L28-(AVERAGEIFS($L$5:$L$32,$C$5:$C$32,$C28,$D$5:$D$32,"Sí"))</f>
        <v>-3.8</v>
      </c>
    </row>
    <row r="29" customFormat="false" ht="15" hidden="false" customHeight="true" outlineLevel="0" collapsed="false">
      <c r="A29" s="133" t="s">
        <v>243</v>
      </c>
      <c r="B29" s="134" t="s">
        <v>244</v>
      </c>
      <c r="C29" s="134" t="s">
        <v>449</v>
      </c>
      <c r="D29" s="135" t="s">
        <v>491</v>
      </c>
      <c r="E29" s="134" t="n">
        <f aca="false">('Histórico de guardias'!$D$530+'Histórico de guardias'!$E$530+'Histórico de guardias'!$F$530)+('Resumen de guardias'!$Q$27+'Resumen de guardias'!$R$27+'Resumen de guardias'!$S$27)</f>
        <v>22</v>
      </c>
      <c r="F29" s="134" t="n">
        <f aca="false">AVERAGEIFS($E$5:$E$32,$C$5:$C$32,$C29,$D$5:$D$32,"Sí")</f>
        <v>18.8</v>
      </c>
      <c r="G29" s="136" t="n">
        <f aca="false">E29-F29</f>
        <v>3.2</v>
      </c>
      <c r="H29" s="134" t="n">
        <f aca="false">'Histórico de guardias'!$J$530+'Resumen de guardias'!$T$27</f>
        <v>2</v>
      </c>
      <c r="I29" s="134" t="n">
        <f aca="false">AVERAGEIFS($H$5:$H$32,$C$5:$C$32,$C29,$D$5:$D$32,"Sí")</f>
        <v>1.8</v>
      </c>
      <c r="J29" s="136" t="n">
        <f aca="false">H29-I29</f>
        <v>0.2</v>
      </c>
      <c r="K29" s="134" t="n">
        <f aca="false">'Histórico de guardias'!$G$530+'Resumen de guardias'!$I$27</f>
        <v>28</v>
      </c>
      <c r="L29" s="134" t="n">
        <f aca="false">'Histórico de guardias'!$K$530+'Resumen de guardias'!$L$27</f>
        <v>56</v>
      </c>
      <c r="M29" s="136" t="n">
        <f aca="false">L29-(AVERAGEIFS($L$5:$L$32,$C$5:$C$32,$C29,$D$5:$D$32,"Sí"))</f>
        <v>8.2</v>
      </c>
    </row>
    <row r="30" customFormat="false" ht="15" hidden="false" customHeight="true" outlineLevel="0" collapsed="false">
      <c r="A30" s="137" t="s">
        <v>452</v>
      </c>
      <c r="B30" s="138" t="s">
        <v>499</v>
      </c>
      <c r="C30" s="138" t="s">
        <v>449</v>
      </c>
      <c r="D30" s="139" t="s">
        <v>500</v>
      </c>
      <c r="E30" s="138" t="n">
        <f aca="false">('Histórico de guardias'!$D$531+'Histórico de guardias'!$E$531+'Histórico de guardias'!$F$531)+0</f>
        <v>17</v>
      </c>
      <c r="F30" s="134" t="n">
        <f aca="false">AVERAGEIFS($E$5:$E$32,$C$5:$C$32,$C30,$D$5:$D$32,"Sí")</f>
        <v>18.8</v>
      </c>
      <c r="G30" s="136" t="n">
        <f aca="false">E30-F30</f>
        <v>-1.8</v>
      </c>
      <c r="H30" s="138" t="n">
        <f aca="false">'Histórico de guardias'!$J$531+0</f>
        <v>0</v>
      </c>
      <c r="I30" s="134" t="n">
        <f aca="false">AVERAGEIFS($H$5:$H$32,$C$5:$C$32,$C30,$D$5:$D$32,"Sí")</f>
        <v>1.8</v>
      </c>
      <c r="J30" s="136" t="n">
        <f aca="false">H30-I30</f>
        <v>-1.8</v>
      </c>
      <c r="K30" s="138" t="n">
        <f aca="false">'Histórico de guardias'!$G$531+0</f>
        <v>20</v>
      </c>
      <c r="L30" s="138" t="n">
        <f aca="false">'Histórico de guardias'!$K$531+0</f>
        <v>41</v>
      </c>
      <c r="M30" s="136" t="n">
        <f aca="false">L30-(AVERAGEIFS($L$5:$L$32,$C$5:$C$32,$C30,$D$5:$D$32,"Sí"))</f>
        <v>-6.8</v>
      </c>
    </row>
    <row r="31" customFormat="false" ht="15" hidden="false" customHeight="true" outlineLevel="0" collapsed="false">
      <c r="A31" s="137" t="s">
        <v>454</v>
      </c>
      <c r="B31" s="138" t="s">
        <v>499</v>
      </c>
      <c r="C31" s="138" t="s">
        <v>449</v>
      </c>
      <c r="D31" s="139" t="s">
        <v>500</v>
      </c>
      <c r="E31" s="138" t="n">
        <f aca="false">('Histórico de guardias'!$D$532+'Histórico de guardias'!$E$532+'Histórico de guardias'!$F$532)+0</f>
        <v>9</v>
      </c>
      <c r="F31" s="134" t="n">
        <f aca="false">AVERAGEIFS($E$5:$E$32,$C$5:$C$32,$C31,$D$5:$D$32,"Sí")</f>
        <v>18.8</v>
      </c>
      <c r="G31" s="136" t="n">
        <f aca="false">E31-F31</f>
        <v>-9.8</v>
      </c>
      <c r="H31" s="138" t="n">
        <f aca="false">'Histórico de guardias'!$J$532+0</f>
        <v>0</v>
      </c>
      <c r="I31" s="134" t="n">
        <f aca="false">AVERAGEIFS($H$5:$H$32,$C$5:$C$32,$C31,$D$5:$D$32,"Sí")</f>
        <v>1.8</v>
      </c>
      <c r="J31" s="136" t="n">
        <f aca="false">H31-I31</f>
        <v>-1.8</v>
      </c>
      <c r="K31" s="138" t="n">
        <f aca="false">'Histórico de guardias'!$G$532+0</f>
        <v>12</v>
      </c>
      <c r="L31" s="138" t="n">
        <f aca="false">'Histórico de guardias'!$K$532+0</f>
        <v>24</v>
      </c>
      <c r="M31" s="136" t="n">
        <f aca="false">L31-(AVERAGEIFS($L$5:$L$32,$C$5:$C$32,$C31,$D$5:$D$32,"Sí"))</f>
        <v>-23.8</v>
      </c>
    </row>
    <row r="32" customFormat="false" ht="15" hidden="false" customHeight="true" outlineLevel="0" collapsed="false">
      <c r="A32" s="137" t="s">
        <v>501</v>
      </c>
      <c r="B32" s="138" t="s">
        <v>499</v>
      </c>
      <c r="C32" s="138" t="s">
        <v>448</v>
      </c>
      <c r="D32" s="139" t="s">
        <v>500</v>
      </c>
      <c r="E32" s="138" t="n">
        <f aca="false">('Histórico de guardias'!$D$533+'Histórico de guardias'!$E$533+'Histórico de guardias'!$F$533)+0</f>
        <v>2</v>
      </c>
      <c r="F32" s="134" t="n">
        <f aca="false">AVERAGEIFS($E$5:$E$32,$C$5:$C$32,$C32,$D$5:$D$32,"Sí")</f>
        <v>14.25</v>
      </c>
      <c r="G32" s="136" t="n">
        <f aca="false">E32-F32</f>
        <v>-12.25</v>
      </c>
      <c r="H32" s="138" t="n">
        <f aca="false">'Histórico de guardias'!$J$533+0</f>
        <v>0</v>
      </c>
      <c r="I32" s="134" t="n">
        <f aca="false">AVERAGEIFS($H$5:$H$32,$C$5:$C$32,$C32,$D$5:$D$32,"Sí")</f>
        <v>0.25</v>
      </c>
      <c r="J32" s="136" t="n">
        <f aca="false">H32-I32</f>
        <v>-0.25</v>
      </c>
      <c r="K32" s="138" t="n">
        <f aca="false">'Histórico de guardias'!$G$533+0</f>
        <v>0</v>
      </c>
      <c r="L32" s="138" t="n">
        <f aca="false">'Histórico de guardias'!$K$533+0</f>
        <v>4</v>
      </c>
      <c r="M32" s="136" t="n">
        <f aca="false">L32-(AVERAGEIFS($L$5:$L$32,$C$5:$C$32,$C32,$D$5:$D$32,"Sí"))</f>
        <v>-29.5</v>
      </c>
    </row>
  </sheetData>
  <mergeCells count="2">
    <mergeCell ref="A1:M1"/>
    <mergeCell ref="A2:M2"/>
  </mergeCells>
  <conditionalFormatting sqref="M5:M32">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G5:G32">
    <cfRule type="cellIs" priority="4" operator="lessThan" aboveAverage="0" equalAverage="0" bottom="0" percent="0" rank="0" text="" dxfId="0">
      <formula>0</formula>
    </cfRule>
    <cfRule type="cellIs" priority="5" operator="greaterThan" aboveAverage="0" equalAverage="0" bottom="0" percent="0" rank="0" text="" dxfId="1">
      <formula>0</formula>
    </cfRule>
  </conditionalFormatting>
  <conditionalFormatting sqref="J5:J32">
    <cfRule type="cellIs" priority="6" operator="lessThan" aboveAverage="0" equalAverage="0" bottom="0" percent="0" rank="0" text="" dxfId="0">
      <formula>0</formula>
    </cfRule>
    <cfRule type="cellIs" priority="7"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0"/>
    <col collapsed="false" customWidth="true" hidden="false" outlineLevel="0" max="2" min="2" style="1" width="16"/>
    <col collapsed="false" customWidth="true" hidden="false" outlineLevel="0" max="3" min="3" style="1" width="6"/>
    <col collapsed="false" customWidth="true" hidden="false" outlineLevel="0" max="6" min="4" style="1" width="12"/>
    <col collapsed="false" customWidth="true" hidden="false" outlineLevel="0" max="7" min="7" style="1" width="10"/>
    <col collapsed="false" customWidth="true" hidden="false" outlineLevel="0" max="8" min="8" style="1" width="15"/>
    <col collapsed="false" customWidth="true" hidden="false" outlineLevel="0" max="9" min="9" style="1" width="20"/>
    <col collapsed="false" customWidth="true" hidden="false" outlineLevel="0" max="10" min="10" style="1" width="14"/>
    <col collapsed="false" customWidth="true" hidden="false" outlineLevel="0" max="11" min="11" style="1" width="20"/>
  </cols>
  <sheetData>
    <row r="1" customFormat="false" ht="15" hidden="false" customHeight="true" outlineLevel="0" collapsed="false">
      <c r="A1" s="131" t="s">
        <v>502</v>
      </c>
      <c r="B1" s="131"/>
      <c r="C1" s="131"/>
      <c r="D1" s="131"/>
      <c r="E1" s="131"/>
      <c r="F1" s="131"/>
      <c r="G1" s="131"/>
      <c r="H1" s="131"/>
      <c r="I1" s="131"/>
      <c r="J1" s="131"/>
      <c r="K1" s="131"/>
    </row>
    <row r="2" customFormat="false" ht="45" hidden="false" customHeight="true" outlineLevel="0" collapsed="false">
      <c r="A2" s="132" t="s">
        <v>503</v>
      </c>
      <c r="B2" s="132"/>
      <c r="C2" s="132"/>
      <c r="D2" s="132"/>
      <c r="E2" s="132"/>
      <c r="F2" s="132"/>
      <c r="G2" s="132"/>
      <c r="H2" s="132"/>
      <c r="I2" s="132"/>
      <c r="J2" s="132"/>
      <c r="K2" s="132"/>
    </row>
    <row r="4" customFormat="false" ht="15" hidden="false" customHeight="true" outlineLevel="0" collapsed="false">
      <c r="A4" s="131" t="s">
        <v>504</v>
      </c>
      <c r="B4" s="131" t="s">
        <v>505</v>
      </c>
      <c r="C4" s="131" t="s">
        <v>338</v>
      </c>
      <c r="D4" s="131" t="s">
        <v>506</v>
      </c>
      <c r="E4" s="131" t="s">
        <v>507</v>
      </c>
      <c r="F4" s="131" t="s">
        <v>19</v>
      </c>
      <c r="G4" s="131" t="s">
        <v>508</v>
      </c>
      <c r="H4" s="131" t="s">
        <v>509</v>
      </c>
      <c r="I4" s="131" t="s">
        <v>510</v>
      </c>
      <c r="J4" s="131" t="s">
        <v>511</v>
      </c>
      <c r="K4" s="131" t="s">
        <v>512</v>
      </c>
    </row>
    <row r="5" customFormat="false" ht="15" hidden="false" customHeight="true" outlineLevel="0" collapsed="false">
      <c r="A5" s="140" t="s">
        <v>513</v>
      </c>
      <c r="B5" s="141" t="n">
        <v>1</v>
      </c>
      <c r="C5" s="141" t="s">
        <v>514</v>
      </c>
      <c r="D5" s="141" t="s">
        <v>515</v>
      </c>
      <c r="E5" s="140"/>
      <c r="F5" s="141" t="s">
        <v>235</v>
      </c>
      <c r="G5" s="141" t="s">
        <v>516</v>
      </c>
      <c r="H5" s="141" t="s">
        <v>243</v>
      </c>
      <c r="I5" s="141" t="s">
        <v>241</v>
      </c>
      <c r="J5" s="141" t="s">
        <v>233</v>
      </c>
      <c r="K5" s="141"/>
    </row>
    <row r="6" customFormat="false" ht="15" hidden="false" customHeight="true" outlineLevel="0" collapsed="false">
      <c r="A6" s="140" t="s">
        <v>513</v>
      </c>
      <c r="B6" s="141" t="n">
        <v>2</v>
      </c>
      <c r="C6" s="141" t="s">
        <v>517</v>
      </c>
      <c r="D6" s="141" t="s">
        <v>518</v>
      </c>
      <c r="E6" s="140"/>
      <c r="F6" s="141" t="s">
        <v>235</v>
      </c>
      <c r="G6" s="141" t="s">
        <v>225</v>
      </c>
      <c r="H6" s="141" t="s">
        <v>519</v>
      </c>
      <c r="I6" s="141" t="s">
        <v>231</v>
      </c>
      <c r="J6" s="141" t="s">
        <v>217</v>
      </c>
      <c r="K6" s="141"/>
    </row>
    <row r="7" customFormat="false" ht="15" hidden="false" customHeight="true" outlineLevel="0" collapsed="false">
      <c r="A7" s="140" t="s">
        <v>513</v>
      </c>
      <c r="B7" s="141" t="n">
        <v>3</v>
      </c>
      <c r="C7" s="141" t="s">
        <v>520</v>
      </c>
      <c r="D7" s="141" t="s">
        <v>521</v>
      </c>
      <c r="E7" s="140"/>
      <c r="F7" s="141" t="s">
        <v>235</v>
      </c>
      <c r="G7" s="141" t="s">
        <v>209</v>
      </c>
      <c r="H7" s="141" t="s">
        <v>237</v>
      </c>
      <c r="I7" s="141" t="s">
        <v>229</v>
      </c>
      <c r="J7" s="141" t="s">
        <v>219</v>
      </c>
      <c r="K7" s="141"/>
    </row>
    <row r="8" customFormat="false" ht="15" hidden="false" customHeight="true" outlineLevel="0" collapsed="false">
      <c r="A8" s="140" t="s">
        <v>513</v>
      </c>
      <c r="B8" s="141" t="n">
        <v>4</v>
      </c>
      <c r="C8" s="141" t="s">
        <v>522</v>
      </c>
      <c r="D8" s="141" t="s">
        <v>523</v>
      </c>
      <c r="E8" s="140"/>
      <c r="F8" s="141" t="s">
        <v>235</v>
      </c>
      <c r="G8" s="141" t="s">
        <v>524</v>
      </c>
      <c r="H8" s="141" t="s">
        <v>241</v>
      </c>
      <c r="I8" s="141" t="s">
        <v>233</v>
      </c>
      <c r="J8" s="141" t="s">
        <v>225</v>
      </c>
      <c r="K8" s="141"/>
    </row>
    <row r="9" customFormat="false" ht="15" hidden="false" customHeight="true" outlineLevel="0" collapsed="false">
      <c r="A9" s="140" t="s">
        <v>513</v>
      </c>
      <c r="B9" s="141" t="n">
        <v>5</v>
      </c>
      <c r="C9" s="141" t="s">
        <v>525</v>
      </c>
      <c r="D9" s="141" t="s">
        <v>526</v>
      </c>
      <c r="E9" s="140"/>
      <c r="F9" s="141" t="s">
        <v>235</v>
      </c>
      <c r="G9" s="141" t="s">
        <v>527</v>
      </c>
      <c r="H9" s="141" t="s">
        <v>243</v>
      </c>
      <c r="I9" s="141" t="s">
        <v>519</v>
      </c>
      <c r="J9" s="141" t="s">
        <v>212</v>
      </c>
      <c r="K9" s="141"/>
    </row>
    <row r="10" customFormat="false" ht="15" hidden="false" customHeight="true" outlineLevel="0" collapsed="false">
      <c r="A10" s="142" t="s">
        <v>513</v>
      </c>
      <c r="B10" s="143" t="n">
        <v>6</v>
      </c>
      <c r="C10" s="143" t="s">
        <v>528</v>
      </c>
      <c r="D10" s="143" t="s">
        <v>529</v>
      </c>
      <c r="E10" s="142"/>
      <c r="F10" s="143" t="s">
        <v>519</v>
      </c>
      <c r="G10" s="143" t="s">
        <v>527</v>
      </c>
      <c r="H10" s="143" t="s">
        <v>237</v>
      </c>
      <c r="I10" s="143" t="s">
        <v>231</v>
      </c>
      <c r="J10" s="143" t="s">
        <v>217</v>
      </c>
      <c r="K10" s="143"/>
    </row>
    <row r="11" customFormat="false" ht="15" hidden="false" customHeight="true" outlineLevel="0" collapsed="false">
      <c r="A11" s="142" t="s">
        <v>513</v>
      </c>
      <c r="B11" s="143" t="n">
        <v>7</v>
      </c>
      <c r="C11" s="143" t="s">
        <v>530</v>
      </c>
      <c r="D11" s="143" t="s">
        <v>531</v>
      </c>
      <c r="E11" s="142"/>
      <c r="F11" s="143" t="s">
        <v>519</v>
      </c>
      <c r="G11" s="143" t="s">
        <v>221</v>
      </c>
      <c r="H11" s="143" t="s">
        <v>243</v>
      </c>
      <c r="I11" s="143" t="s">
        <v>225</v>
      </c>
      <c r="J11" s="143" t="s">
        <v>212</v>
      </c>
      <c r="K11" s="143"/>
    </row>
    <row r="12" customFormat="false" ht="15" hidden="false" customHeight="true" outlineLevel="0" collapsed="false">
      <c r="A12" s="140" t="s">
        <v>513</v>
      </c>
      <c r="B12" s="141" t="n">
        <v>8</v>
      </c>
      <c r="C12" s="141" t="s">
        <v>532</v>
      </c>
      <c r="D12" s="141" t="s">
        <v>515</v>
      </c>
      <c r="E12" s="140"/>
      <c r="F12" s="141" t="s">
        <v>243</v>
      </c>
      <c r="G12" s="141" t="s">
        <v>524</v>
      </c>
      <c r="H12" s="141" t="s">
        <v>235</v>
      </c>
      <c r="I12" s="141" t="s">
        <v>229</v>
      </c>
      <c r="J12" s="141" t="s">
        <v>219</v>
      </c>
      <c r="K12" s="141"/>
    </row>
    <row r="13" customFormat="false" ht="15" hidden="false" customHeight="true" outlineLevel="0" collapsed="false">
      <c r="A13" s="140" t="s">
        <v>513</v>
      </c>
      <c r="B13" s="141" t="n">
        <v>9</v>
      </c>
      <c r="C13" s="141" t="s">
        <v>533</v>
      </c>
      <c r="D13" s="141" t="s">
        <v>518</v>
      </c>
      <c r="E13" s="140"/>
      <c r="F13" s="141" t="s">
        <v>243</v>
      </c>
      <c r="G13" s="141" t="s">
        <v>212</v>
      </c>
      <c r="H13" s="141" t="s">
        <v>241</v>
      </c>
      <c r="I13" s="141" t="s">
        <v>527</v>
      </c>
      <c r="J13" s="141" t="s">
        <v>209</v>
      </c>
      <c r="K13" s="141"/>
    </row>
    <row r="14" customFormat="false" ht="15" hidden="false" customHeight="true" outlineLevel="0" collapsed="false">
      <c r="A14" s="140" t="s">
        <v>513</v>
      </c>
      <c r="B14" s="141" t="n">
        <v>10</v>
      </c>
      <c r="C14" s="141" t="s">
        <v>534</v>
      </c>
      <c r="D14" s="141" t="s">
        <v>521</v>
      </c>
      <c r="E14" s="140"/>
      <c r="F14" s="141" t="s">
        <v>243</v>
      </c>
      <c r="G14" s="141" t="s">
        <v>524</v>
      </c>
      <c r="H14" s="141" t="s">
        <v>535</v>
      </c>
      <c r="I14" s="141" t="s">
        <v>233</v>
      </c>
      <c r="J14" s="141" t="s">
        <v>217</v>
      </c>
      <c r="K14" s="141"/>
    </row>
    <row r="15" customFormat="false" ht="15" hidden="false" customHeight="true" outlineLevel="0" collapsed="false">
      <c r="A15" s="140" t="s">
        <v>513</v>
      </c>
      <c r="B15" s="141" t="n">
        <v>11</v>
      </c>
      <c r="C15" s="141" t="s">
        <v>536</v>
      </c>
      <c r="D15" s="141" t="s">
        <v>523</v>
      </c>
      <c r="E15" s="140"/>
      <c r="F15" s="141" t="s">
        <v>243</v>
      </c>
      <c r="G15" s="141" t="s">
        <v>221</v>
      </c>
      <c r="H15" s="141" t="s">
        <v>237</v>
      </c>
      <c r="I15" s="141" t="s">
        <v>527</v>
      </c>
      <c r="J15" s="141" t="s">
        <v>212</v>
      </c>
      <c r="K15" s="141"/>
    </row>
    <row r="16" customFormat="false" ht="15" hidden="false" customHeight="true" outlineLevel="0" collapsed="false">
      <c r="A16" s="140" t="s">
        <v>513</v>
      </c>
      <c r="B16" s="141" t="n">
        <v>12</v>
      </c>
      <c r="C16" s="141" t="s">
        <v>537</v>
      </c>
      <c r="D16" s="141" t="s">
        <v>526</v>
      </c>
      <c r="E16" s="140"/>
      <c r="F16" s="141" t="s">
        <v>243</v>
      </c>
      <c r="G16" s="141" t="s">
        <v>516</v>
      </c>
      <c r="H16" s="141" t="s">
        <v>235</v>
      </c>
      <c r="I16" s="141" t="s">
        <v>231</v>
      </c>
      <c r="J16" s="141" t="s">
        <v>225</v>
      </c>
      <c r="K16" s="141"/>
    </row>
    <row r="17" customFormat="false" ht="15" hidden="false" customHeight="true" outlineLevel="0" collapsed="false">
      <c r="A17" s="142" t="s">
        <v>513</v>
      </c>
      <c r="B17" s="143" t="n">
        <v>13</v>
      </c>
      <c r="C17" s="143" t="s">
        <v>538</v>
      </c>
      <c r="D17" s="143" t="s">
        <v>529</v>
      </c>
      <c r="E17" s="142"/>
      <c r="F17" s="143" t="s">
        <v>243</v>
      </c>
      <c r="G17" s="143" t="s">
        <v>209</v>
      </c>
      <c r="H17" s="143" t="s">
        <v>241</v>
      </c>
      <c r="I17" s="143" t="s">
        <v>229</v>
      </c>
      <c r="J17" s="143" t="s">
        <v>219</v>
      </c>
      <c r="K17" s="143"/>
    </row>
    <row r="18" customFormat="false" ht="15" hidden="false" customHeight="true" outlineLevel="0" collapsed="false">
      <c r="A18" s="142" t="s">
        <v>513</v>
      </c>
      <c r="B18" s="143" t="n">
        <v>14</v>
      </c>
      <c r="C18" s="143" t="s">
        <v>539</v>
      </c>
      <c r="D18" s="143" t="s">
        <v>531</v>
      </c>
      <c r="E18" s="142"/>
      <c r="F18" s="143" t="s">
        <v>243</v>
      </c>
      <c r="G18" s="143" t="s">
        <v>516</v>
      </c>
      <c r="H18" s="143" t="s">
        <v>235</v>
      </c>
      <c r="I18" s="143" t="s">
        <v>231</v>
      </c>
      <c r="J18" s="143" t="s">
        <v>225</v>
      </c>
      <c r="K18" s="143"/>
    </row>
    <row r="19" customFormat="false" ht="15" hidden="false" customHeight="true" outlineLevel="0" collapsed="false">
      <c r="A19" s="140" t="s">
        <v>513</v>
      </c>
      <c r="B19" s="141" t="n">
        <v>15</v>
      </c>
      <c r="C19" s="141" t="s">
        <v>540</v>
      </c>
      <c r="D19" s="141" t="s">
        <v>515</v>
      </c>
      <c r="E19" s="140"/>
      <c r="F19" s="141" t="s">
        <v>241</v>
      </c>
      <c r="G19" s="141" t="s">
        <v>527</v>
      </c>
      <c r="H19" s="141" t="s">
        <v>237</v>
      </c>
      <c r="I19" s="141" t="s">
        <v>535</v>
      </c>
      <c r="J19" s="141" t="s">
        <v>217</v>
      </c>
      <c r="K19" s="141"/>
    </row>
    <row r="20" customFormat="false" ht="15" hidden="false" customHeight="true" outlineLevel="0" collapsed="false">
      <c r="A20" s="140" t="s">
        <v>513</v>
      </c>
      <c r="B20" s="141" t="n">
        <v>16</v>
      </c>
      <c r="C20" s="141" t="s">
        <v>541</v>
      </c>
      <c r="D20" s="141" t="s">
        <v>518</v>
      </c>
      <c r="E20" s="140"/>
      <c r="F20" s="141" t="s">
        <v>241</v>
      </c>
      <c r="G20" s="141" t="s">
        <v>212</v>
      </c>
      <c r="H20" s="141" t="s">
        <v>243</v>
      </c>
      <c r="I20" s="141" t="s">
        <v>235</v>
      </c>
      <c r="J20" s="141" t="s">
        <v>527</v>
      </c>
      <c r="K20" s="141"/>
    </row>
    <row r="21" customFormat="false" ht="15" hidden="false" customHeight="true" outlineLevel="0" collapsed="false">
      <c r="A21" s="140" t="s">
        <v>513</v>
      </c>
      <c r="B21" s="141" t="n">
        <v>17</v>
      </c>
      <c r="C21" s="141" t="s">
        <v>542</v>
      </c>
      <c r="D21" s="141" t="s">
        <v>521</v>
      </c>
      <c r="E21" s="140"/>
      <c r="F21" s="141" t="s">
        <v>241</v>
      </c>
      <c r="G21" s="141" t="s">
        <v>225</v>
      </c>
      <c r="H21" s="141" t="s">
        <v>235</v>
      </c>
      <c r="I21" s="141" t="s">
        <v>219</v>
      </c>
      <c r="J21" s="141" t="s">
        <v>209</v>
      </c>
      <c r="K21" s="141"/>
    </row>
    <row r="22" customFormat="false" ht="15" hidden="false" customHeight="true" outlineLevel="0" collapsed="false">
      <c r="A22" s="140" t="s">
        <v>513</v>
      </c>
      <c r="B22" s="141" t="n">
        <v>18</v>
      </c>
      <c r="C22" s="141" t="s">
        <v>543</v>
      </c>
      <c r="D22" s="141" t="s">
        <v>523</v>
      </c>
      <c r="E22" s="140"/>
      <c r="F22" s="141" t="s">
        <v>241</v>
      </c>
      <c r="G22" s="141" t="s">
        <v>516</v>
      </c>
      <c r="H22" s="141" t="s">
        <v>231</v>
      </c>
      <c r="I22" s="141" t="s">
        <v>233</v>
      </c>
      <c r="J22" s="141" t="s">
        <v>219</v>
      </c>
      <c r="K22" s="141"/>
    </row>
    <row r="23" customFormat="false" ht="15" hidden="false" customHeight="true" outlineLevel="0" collapsed="false">
      <c r="A23" s="140" t="s">
        <v>513</v>
      </c>
      <c r="B23" s="141" t="n">
        <v>19</v>
      </c>
      <c r="C23" s="141" t="s">
        <v>544</v>
      </c>
      <c r="D23" s="141" t="s">
        <v>526</v>
      </c>
      <c r="E23" s="140"/>
      <c r="F23" s="141" t="s">
        <v>241</v>
      </c>
      <c r="G23" s="141" t="s">
        <v>217</v>
      </c>
      <c r="H23" s="141" t="s">
        <v>237</v>
      </c>
      <c r="I23" s="141" t="s">
        <v>229</v>
      </c>
      <c r="J23" s="141" t="s">
        <v>524</v>
      </c>
      <c r="K23" s="141"/>
    </row>
    <row r="24" customFormat="false" ht="15" hidden="false" customHeight="true" outlineLevel="0" collapsed="false">
      <c r="A24" s="142" t="s">
        <v>513</v>
      </c>
      <c r="B24" s="143" t="n">
        <v>20</v>
      </c>
      <c r="C24" s="143" t="s">
        <v>545</v>
      </c>
      <c r="D24" s="143" t="s">
        <v>529</v>
      </c>
      <c r="E24" s="142"/>
      <c r="F24" s="143" t="s">
        <v>241</v>
      </c>
      <c r="G24" s="143" t="s">
        <v>221</v>
      </c>
      <c r="H24" s="143" t="s">
        <v>243</v>
      </c>
      <c r="I24" s="143" t="s">
        <v>233</v>
      </c>
      <c r="J24" s="143" t="s">
        <v>212</v>
      </c>
      <c r="K24" s="143"/>
    </row>
    <row r="25" customFormat="false" ht="15" hidden="false" customHeight="true" outlineLevel="0" collapsed="false">
      <c r="A25" s="142" t="s">
        <v>513</v>
      </c>
      <c r="B25" s="143" t="n">
        <v>21</v>
      </c>
      <c r="C25" s="143" t="s">
        <v>546</v>
      </c>
      <c r="D25" s="143" t="s">
        <v>531</v>
      </c>
      <c r="E25" s="142"/>
      <c r="F25" s="143" t="s">
        <v>241</v>
      </c>
      <c r="G25" s="143" t="s">
        <v>217</v>
      </c>
      <c r="H25" s="143" t="s">
        <v>237</v>
      </c>
      <c r="I25" s="143" t="s">
        <v>229</v>
      </c>
      <c r="J25" s="143" t="s">
        <v>524</v>
      </c>
      <c r="K25" s="143"/>
    </row>
    <row r="26" customFormat="false" ht="15" hidden="false" customHeight="true" outlineLevel="0" collapsed="false">
      <c r="A26" s="140" t="s">
        <v>513</v>
      </c>
      <c r="B26" s="141" t="n">
        <v>22</v>
      </c>
      <c r="C26" s="141" t="s">
        <v>547</v>
      </c>
      <c r="D26" s="141" t="s">
        <v>515</v>
      </c>
      <c r="E26" s="140"/>
      <c r="F26" s="141" t="s">
        <v>535</v>
      </c>
      <c r="G26" s="141" t="s">
        <v>209</v>
      </c>
      <c r="H26" s="141" t="s">
        <v>235</v>
      </c>
      <c r="I26" s="141" t="s">
        <v>519</v>
      </c>
      <c r="J26" s="141" t="s">
        <v>225</v>
      </c>
      <c r="K26" s="141"/>
    </row>
    <row r="27" customFormat="false" ht="15" hidden="false" customHeight="true" outlineLevel="0" collapsed="false">
      <c r="A27" s="140" t="s">
        <v>513</v>
      </c>
      <c r="B27" s="141" t="n">
        <v>23</v>
      </c>
      <c r="C27" s="141" t="s">
        <v>548</v>
      </c>
      <c r="D27" s="141" t="s">
        <v>518</v>
      </c>
      <c r="E27" s="140"/>
      <c r="F27" s="141" t="s">
        <v>237</v>
      </c>
      <c r="G27" s="141" t="s">
        <v>221</v>
      </c>
      <c r="H27" s="141" t="s">
        <v>241</v>
      </c>
      <c r="I27" s="141" t="s">
        <v>231</v>
      </c>
      <c r="J27" s="141" t="s">
        <v>524</v>
      </c>
      <c r="K27" s="141"/>
    </row>
    <row r="28" customFormat="false" ht="15" hidden="false" customHeight="true" outlineLevel="0" collapsed="false">
      <c r="A28" s="140" t="s">
        <v>513</v>
      </c>
      <c r="B28" s="141" t="n">
        <v>24</v>
      </c>
      <c r="C28" s="141" t="s">
        <v>549</v>
      </c>
      <c r="D28" s="141" t="s">
        <v>521</v>
      </c>
      <c r="E28" s="140"/>
      <c r="F28" s="141" t="s">
        <v>237</v>
      </c>
      <c r="G28" s="141" t="s">
        <v>212</v>
      </c>
      <c r="H28" s="141" t="s">
        <v>235</v>
      </c>
      <c r="I28" s="141" t="s">
        <v>229</v>
      </c>
      <c r="J28" s="141" t="s">
        <v>217</v>
      </c>
      <c r="K28" s="141"/>
    </row>
    <row r="29" customFormat="false" ht="15" hidden="false" customHeight="true" outlineLevel="0" collapsed="false">
      <c r="A29" s="140" t="s">
        <v>513</v>
      </c>
      <c r="B29" s="141" t="n">
        <v>25</v>
      </c>
      <c r="C29" s="141" t="s">
        <v>550</v>
      </c>
      <c r="D29" s="141" t="s">
        <v>523</v>
      </c>
      <c r="E29" s="140"/>
      <c r="F29" s="141" t="s">
        <v>237</v>
      </c>
      <c r="G29" s="141" t="s">
        <v>219</v>
      </c>
      <c r="H29" s="141" t="s">
        <v>243</v>
      </c>
      <c r="I29" s="141" t="s">
        <v>231</v>
      </c>
      <c r="J29" s="141" t="s">
        <v>209</v>
      </c>
      <c r="K29" s="141"/>
    </row>
    <row r="30" customFormat="false" ht="15" hidden="false" customHeight="true" outlineLevel="0" collapsed="false">
      <c r="A30" s="140" t="s">
        <v>513</v>
      </c>
      <c r="B30" s="141" t="n">
        <v>26</v>
      </c>
      <c r="C30" s="141" t="s">
        <v>551</v>
      </c>
      <c r="D30" s="141" t="s">
        <v>526</v>
      </c>
      <c r="E30" s="140"/>
      <c r="F30" s="141" t="s">
        <v>237</v>
      </c>
      <c r="G30" s="141" t="s">
        <v>516</v>
      </c>
      <c r="H30" s="141" t="s">
        <v>241</v>
      </c>
      <c r="I30" s="141" t="s">
        <v>233</v>
      </c>
      <c r="J30" s="141" t="s">
        <v>527</v>
      </c>
      <c r="K30" s="141"/>
    </row>
    <row r="31" customFormat="false" ht="15" hidden="false" customHeight="true" outlineLevel="0" collapsed="false">
      <c r="A31" s="142" t="s">
        <v>513</v>
      </c>
      <c r="B31" s="143" t="n">
        <v>27</v>
      </c>
      <c r="C31" s="143" t="s">
        <v>552</v>
      </c>
      <c r="D31" s="143" t="s">
        <v>529</v>
      </c>
      <c r="E31" s="142"/>
      <c r="F31" s="143" t="s">
        <v>237</v>
      </c>
      <c r="G31" s="143" t="s">
        <v>233</v>
      </c>
      <c r="H31" s="143" t="s">
        <v>235</v>
      </c>
      <c r="I31" s="143" t="s">
        <v>535</v>
      </c>
      <c r="J31" s="143" t="s">
        <v>524</v>
      </c>
      <c r="K31" s="143"/>
    </row>
    <row r="32" customFormat="false" ht="15" hidden="false" customHeight="true" outlineLevel="0" collapsed="false">
      <c r="A32" s="142" t="s">
        <v>513</v>
      </c>
      <c r="B32" s="143" t="n">
        <v>28</v>
      </c>
      <c r="C32" s="143" t="s">
        <v>553</v>
      </c>
      <c r="D32" s="143" t="s">
        <v>531</v>
      </c>
      <c r="E32" s="142"/>
      <c r="F32" s="143" t="s">
        <v>237</v>
      </c>
      <c r="G32" s="143" t="s">
        <v>219</v>
      </c>
      <c r="H32" s="143" t="s">
        <v>241</v>
      </c>
      <c r="I32" s="143" t="s">
        <v>233</v>
      </c>
      <c r="J32" s="143" t="s">
        <v>527</v>
      </c>
      <c r="K32" s="143"/>
    </row>
    <row r="33" customFormat="false" ht="15" hidden="false" customHeight="true" outlineLevel="0" collapsed="false">
      <c r="A33" s="140" t="s">
        <v>513</v>
      </c>
      <c r="B33" s="141" t="n">
        <v>29</v>
      </c>
      <c r="C33" s="141" t="s">
        <v>554</v>
      </c>
      <c r="D33" s="141" t="s">
        <v>515</v>
      </c>
      <c r="E33" s="140"/>
      <c r="F33" s="141" t="s">
        <v>535</v>
      </c>
      <c r="G33" s="141" t="s">
        <v>516</v>
      </c>
      <c r="H33" s="141" t="s">
        <v>243</v>
      </c>
      <c r="I33" s="141" t="s">
        <v>519</v>
      </c>
      <c r="J33" s="141" t="s">
        <v>209</v>
      </c>
      <c r="K33" s="141" t="s">
        <v>221</v>
      </c>
    </row>
    <row r="34" customFormat="false" ht="15" hidden="false" customHeight="true" outlineLevel="0" collapsed="false">
      <c r="A34" s="140" t="s">
        <v>513</v>
      </c>
      <c r="B34" s="141" t="n">
        <v>30</v>
      </c>
      <c r="C34" s="141" t="s">
        <v>555</v>
      </c>
      <c r="D34" s="141" t="s">
        <v>518</v>
      </c>
      <c r="E34" s="140"/>
      <c r="F34" s="141" t="s">
        <v>519</v>
      </c>
      <c r="G34" s="141" t="s">
        <v>516</v>
      </c>
      <c r="H34" s="141" t="s">
        <v>237</v>
      </c>
      <c r="I34" s="141" t="s">
        <v>454</v>
      </c>
      <c r="J34" s="141" t="s">
        <v>229</v>
      </c>
      <c r="K34" s="141"/>
    </row>
    <row r="35" customFormat="false" ht="15" hidden="false" customHeight="true" outlineLevel="0" collapsed="false">
      <c r="A35" s="140" t="s">
        <v>556</v>
      </c>
      <c r="B35" s="141" t="n">
        <v>1</v>
      </c>
      <c r="C35" s="141" t="s">
        <v>557</v>
      </c>
      <c r="D35" s="141" t="s">
        <v>521</v>
      </c>
      <c r="E35" s="140"/>
      <c r="F35" s="141" t="s">
        <v>519</v>
      </c>
      <c r="G35" s="141" t="s">
        <v>221</v>
      </c>
      <c r="H35" s="141" t="s">
        <v>535</v>
      </c>
      <c r="I35" s="141" t="s">
        <v>231</v>
      </c>
      <c r="J35" s="141" t="s">
        <v>219</v>
      </c>
      <c r="K35" s="141"/>
    </row>
    <row r="36" customFormat="false" ht="15" hidden="false" customHeight="true" outlineLevel="0" collapsed="false">
      <c r="A36" s="140" t="s">
        <v>556</v>
      </c>
      <c r="B36" s="141" t="n">
        <v>2</v>
      </c>
      <c r="C36" s="141" t="s">
        <v>558</v>
      </c>
      <c r="D36" s="141" t="s">
        <v>523</v>
      </c>
      <c r="E36" s="140"/>
      <c r="F36" s="141" t="s">
        <v>519</v>
      </c>
      <c r="G36" s="141" t="s">
        <v>229</v>
      </c>
      <c r="H36" s="141" t="s">
        <v>454</v>
      </c>
      <c r="I36" s="141" t="s">
        <v>243</v>
      </c>
      <c r="J36" s="141" t="s">
        <v>527</v>
      </c>
      <c r="K36" s="141"/>
    </row>
    <row r="37" customFormat="false" ht="15" hidden="false" customHeight="true" outlineLevel="0" collapsed="false">
      <c r="A37" s="140" t="s">
        <v>556</v>
      </c>
      <c r="B37" s="141" t="n">
        <v>3</v>
      </c>
      <c r="C37" s="141" t="s">
        <v>559</v>
      </c>
      <c r="D37" s="141" t="s">
        <v>526</v>
      </c>
      <c r="E37" s="140"/>
      <c r="F37" s="141" t="s">
        <v>519</v>
      </c>
      <c r="G37" s="141" t="s">
        <v>516</v>
      </c>
      <c r="H37" s="141" t="s">
        <v>241</v>
      </c>
      <c r="I37" s="141" t="s">
        <v>219</v>
      </c>
      <c r="J37" s="141" t="s">
        <v>209</v>
      </c>
      <c r="K37" s="141"/>
    </row>
    <row r="38" customFormat="false" ht="15" hidden="false" customHeight="true" outlineLevel="0" collapsed="false">
      <c r="A38" s="142" t="s">
        <v>556</v>
      </c>
      <c r="B38" s="143" t="n">
        <v>4</v>
      </c>
      <c r="C38" s="143" t="s">
        <v>560</v>
      </c>
      <c r="D38" s="143" t="s">
        <v>529</v>
      </c>
      <c r="E38" s="142"/>
      <c r="F38" s="143" t="s">
        <v>519</v>
      </c>
      <c r="G38" s="143" t="s">
        <v>225</v>
      </c>
      <c r="H38" s="143" t="s">
        <v>237</v>
      </c>
      <c r="I38" s="143" t="s">
        <v>243</v>
      </c>
      <c r="J38" s="143" t="s">
        <v>217</v>
      </c>
      <c r="K38" s="143"/>
    </row>
    <row r="39" customFormat="false" ht="15" hidden="false" customHeight="true" outlineLevel="0" collapsed="false">
      <c r="A39" s="142" t="s">
        <v>556</v>
      </c>
      <c r="B39" s="143" t="n">
        <v>5</v>
      </c>
      <c r="C39" s="143" t="s">
        <v>561</v>
      </c>
      <c r="D39" s="143" t="s">
        <v>531</v>
      </c>
      <c r="E39" s="142"/>
      <c r="F39" s="143" t="s">
        <v>519</v>
      </c>
      <c r="G39" s="143" t="s">
        <v>229</v>
      </c>
      <c r="H39" s="143" t="s">
        <v>454</v>
      </c>
      <c r="I39" s="143" t="s">
        <v>527</v>
      </c>
      <c r="J39" s="143" t="s">
        <v>212</v>
      </c>
      <c r="K39" s="143"/>
    </row>
    <row r="40" customFormat="false" ht="15" hidden="false" customHeight="true" outlineLevel="0" collapsed="false">
      <c r="A40" s="140" t="s">
        <v>556</v>
      </c>
      <c r="B40" s="141" t="n">
        <v>6</v>
      </c>
      <c r="C40" s="141" t="s">
        <v>562</v>
      </c>
      <c r="D40" s="141" t="s">
        <v>515</v>
      </c>
      <c r="E40" s="140"/>
      <c r="F40" s="141" t="s">
        <v>241</v>
      </c>
      <c r="G40" s="141" t="s">
        <v>225</v>
      </c>
      <c r="H40" s="141" t="s">
        <v>243</v>
      </c>
      <c r="I40" s="141" t="s">
        <v>231</v>
      </c>
      <c r="J40" s="141" t="s">
        <v>209</v>
      </c>
      <c r="K40" s="141"/>
    </row>
    <row r="41" customFormat="false" ht="15" hidden="false" customHeight="true" outlineLevel="0" collapsed="false">
      <c r="A41" s="140" t="s">
        <v>556</v>
      </c>
      <c r="B41" s="141" t="n">
        <v>7</v>
      </c>
      <c r="C41" s="141" t="s">
        <v>563</v>
      </c>
      <c r="D41" s="141" t="s">
        <v>518</v>
      </c>
      <c r="E41" s="140"/>
      <c r="F41" s="141" t="s">
        <v>243</v>
      </c>
      <c r="G41" s="141" t="s">
        <v>516</v>
      </c>
      <c r="H41" s="141" t="s">
        <v>519</v>
      </c>
      <c r="I41" s="141" t="s">
        <v>219</v>
      </c>
      <c r="J41" s="141" t="s">
        <v>237</v>
      </c>
      <c r="K41" s="141"/>
    </row>
    <row r="42" customFormat="false" ht="15" hidden="false" customHeight="true" outlineLevel="0" collapsed="false">
      <c r="A42" s="140" t="s">
        <v>556</v>
      </c>
      <c r="B42" s="141" t="n">
        <v>8</v>
      </c>
      <c r="C42" s="141" t="s">
        <v>564</v>
      </c>
      <c r="D42" s="141" t="s">
        <v>521</v>
      </c>
      <c r="E42" s="140"/>
      <c r="F42" s="141" t="s">
        <v>237</v>
      </c>
      <c r="G42" s="141" t="s">
        <v>225</v>
      </c>
      <c r="H42" s="141" t="s">
        <v>241</v>
      </c>
      <c r="I42" s="141" t="s">
        <v>209</v>
      </c>
      <c r="J42" s="141" t="s">
        <v>524</v>
      </c>
      <c r="K42" s="141"/>
    </row>
    <row r="43" customFormat="false" ht="15" hidden="false" customHeight="true" outlineLevel="0" collapsed="false">
      <c r="A43" s="140" t="s">
        <v>556</v>
      </c>
      <c r="B43" s="141" t="n">
        <v>9</v>
      </c>
      <c r="C43" s="141" t="s">
        <v>565</v>
      </c>
      <c r="D43" s="141" t="s">
        <v>523</v>
      </c>
      <c r="E43" s="140"/>
      <c r="F43" s="141" t="s">
        <v>237</v>
      </c>
      <c r="G43" s="141" t="s">
        <v>221</v>
      </c>
      <c r="H43" s="141" t="s">
        <v>454</v>
      </c>
      <c r="I43" s="141" t="s">
        <v>217</v>
      </c>
      <c r="J43" s="141" t="s">
        <v>212</v>
      </c>
      <c r="K43" s="141"/>
    </row>
    <row r="44" customFormat="false" ht="15" hidden="false" customHeight="true" outlineLevel="0" collapsed="false">
      <c r="A44" s="140" t="s">
        <v>556</v>
      </c>
      <c r="B44" s="141" t="n">
        <v>10</v>
      </c>
      <c r="C44" s="141" t="s">
        <v>566</v>
      </c>
      <c r="D44" s="141" t="s">
        <v>526</v>
      </c>
      <c r="E44" s="140"/>
      <c r="F44" s="141" t="s">
        <v>454</v>
      </c>
      <c r="G44" s="141" t="s">
        <v>229</v>
      </c>
      <c r="H44" s="141" t="s">
        <v>233</v>
      </c>
      <c r="I44" s="141" t="s">
        <v>527</v>
      </c>
      <c r="J44" s="141" t="s">
        <v>212</v>
      </c>
      <c r="K44" s="141"/>
    </row>
    <row r="45" customFormat="false" ht="15" hidden="false" customHeight="true" outlineLevel="0" collapsed="false">
      <c r="A45" s="142" t="s">
        <v>556</v>
      </c>
      <c r="B45" s="143" t="n">
        <v>11</v>
      </c>
      <c r="C45" s="143" t="s">
        <v>567</v>
      </c>
      <c r="D45" s="143" t="s">
        <v>529</v>
      </c>
      <c r="E45" s="142"/>
      <c r="F45" s="143" t="s">
        <v>237</v>
      </c>
      <c r="G45" s="143" t="s">
        <v>221</v>
      </c>
      <c r="H45" s="143" t="s">
        <v>454</v>
      </c>
      <c r="I45" s="143" t="s">
        <v>217</v>
      </c>
      <c r="J45" s="143" t="s">
        <v>212</v>
      </c>
      <c r="K45" s="143"/>
    </row>
    <row r="46" customFormat="false" ht="15" hidden="false" customHeight="true" outlineLevel="0" collapsed="false">
      <c r="A46" s="142" t="s">
        <v>556</v>
      </c>
      <c r="B46" s="143" t="n">
        <v>12</v>
      </c>
      <c r="C46" s="143" t="s">
        <v>568</v>
      </c>
      <c r="D46" s="143" t="s">
        <v>531</v>
      </c>
      <c r="E46" s="142"/>
      <c r="F46" s="143" t="s">
        <v>241</v>
      </c>
      <c r="G46" s="143" t="s">
        <v>516</v>
      </c>
      <c r="H46" s="143" t="s">
        <v>519</v>
      </c>
      <c r="I46" s="143" t="s">
        <v>237</v>
      </c>
      <c r="J46" s="143" t="s">
        <v>219</v>
      </c>
      <c r="K46" s="143"/>
    </row>
    <row r="47" customFormat="false" ht="15" hidden="false" customHeight="true" outlineLevel="0" collapsed="false">
      <c r="A47" s="140" t="s">
        <v>556</v>
      </c>
      <c r="B47" s="141" t="n">
        <v>13</v>
      </c>
      <c r="C47" s="141" t="s">
        <v>569</v>
      </c>
      <c r="D47" s="141" t="s">
        <v>515</v>
      </c>
      <c r="E47" s="140"/>
      <c r="F47" s="141" t="s">
        <v>454</v>
      </c>
      <c r="G47" s="141" t="s">
        <v>221</v>
      </c>
      <c r="H47" s="141" t="s">
        <v>235</v>
      </c>
      <c r="I47" s="141" t="s">
        <v>217</v>
      </c>
      <c r="J47" s="141" t="s">
        <v>524</v>
      </c>
      <c r="K47" s="141"/>
    </row>
    <row r="48" customFormat="false" ht="15" hidden="false" customHeight="true" outlineLevel="0" collapsed="false">
      <c r="A48" s="140" t="s">
        <v>556</v>
      </c>
      <c r="B48" s="141" t="n">
        <v>14</v>
      </c>
      <c r="C48" s="141" t="s">
        <v>570</v>
      </c>
      <c r="D48" s="141" t="s">
        <v>518</v>
      </c>
      <c r="E48" s="140"/>
      <c r="F48" s="141" t="s">
        <v>241</v>
      </c>
      <c r="G48" s="141" t="s">
        <v>212</v>
      </c>
      <c r="H48" s="141" t="s">
        <v>519</v>
      </c>
      <c r="I48" s="141" t="s">
        <v>454</v>
      </c>
      <c r="J48" s="141" t="s">
        <v>219</v>
      </c>
      <c r="K48" s="141"/>
    </row>
    <row r="49" customFormat="false" ht="15" hidden="false" customHeight="true" outlineLevel="0" collapsed="false">
      <c r="A49" s="140" t="s">
        <v>556</v>
      </c>
      <c r="B49" s="141" t="n">
        <v>15</v>
      </c>
      <c r="C49" s="141" t="s">
        <v>571</v>
      </c>
      <c r="D49" s="141" t="s">
        <v>521</v>
      </c>
      <c r="E49" s="140"/>
      <c r="F49" s="141" t="s">
        <v>454</v>
      </c>
      <c r="G49" s="141" t="s">
        <v>221</v>
      </c>
      <c r="H49" s="141" t="s">
        <v>233</v>
      </c>
      <c r="I49" s="141" t="s">
        <v>231</v>
      </c>
      <c r="J49" s="141" t="s">
        <v>209</v>
      </c>
      <c r="K49" s="141"/>
    </row>
    <row r="50" customFormat="false" ht="15" hidden="false" customHeight="true" outlineLevel="0" collapsed="false">
      <c r="A50" s="140" t="s">
        <v>556</v>
      </c>
      <c r="B50" s="141" t="n">
        <v>16</v>
      </c>
      <c r="C50" s="141" t="s">
        <v>572</v>
      </c>
      <c r="D50" s="141" t="s">
        <v>523</v>
      </c>
      <c r="E50" s="140"/>
      <c r="F50" s="141" t="s">
        <v>454</v>
      </c>
      <c r="G50" s="141" t="s">
        <v>225</v>
      </c>
      <c r="H50" s="141" t="s">
        <v>235</v>
      </c>
      <c r="I50" s="141" t="s">
        <v>527</v>
      </c>
      <c r="J50" s="141" t="s">
        <v>524</v>
      </c>
      <c r="K50" s="141"/>
    </row>
    <row r="51" customFormat="false" ht="15" hidden="false" customHeight="true" outlineLevel="0" collapsed="false">
      <c r="A51" s="140" t="s">
        <v>556</v>
      </c>
      <c r="B51" s="141" t="n">
        <v>17</v>
      </c>
      <c r="C51" s="141" t="s">
        <v>573</v>
      </c>
      <c r="D51" s="141" t="s">
        <v>526</v>
      </c>
      <c r="E51" s="140"/>
      <c r="F51" s="141" t="s">
        <v>454</v>
      </c>
      <c r="G51" s="141" t="s">
        <v>516</v>
      </c>
      <c r="H51" s="141" t="s">
        <v>519</v>
      </c>
      <c r="I51" s="141" t="s">
        <v>241</v>
      </c>
      <c r="J51" s="141" t="s">
        <v>219</v>
      </c>
      <c r="K51" s="141"/>
    </row>
    <row r="52" customFormat="false" ht="15" hidden="false" customHeight="true" outlineLevel="0" collapsed="false">
      <c r="A52" s="142" t="s">
        <v>556</v>
      </c>
      <c r="B52" s="143" t="n">
        <v>18</v>
      </c>
      <c r="C52" s="143" t="s">
        <v>574</v>
      </c>
      <c r="D52" s="143" t="s">
        <v>529</v>
      </c>
      <c r="E52" s="142"/>
      <c r="F52" s="143" t="s">
        <v>454</v>
      </c>
      <c r="G52" s="143" t="s">
        <v>225</v>
      </c>
      <c r="H52" s="143" t="s">
        <v>235</v>
      </c>
      <c r="I52" s="143" t="s">
        <v>527</v>
      </c>
      <c r="J52" s="143" t="s">
        <v>524</v>
      </c>
      <c r="K52" s="143"/>
    </row>
    <row r="53" customFormat="false" ht="15" hidden="false" customHeight="true" outlineLevel="0" collapsed="false">
      <c r="A53" s="142" t="s">
        <v>556</v>
      </c>
      <c r="B53" s="143" t="n">
        <v>19</v>
      </c>
      <c r="C53" s="143" t="s">
        <v>575</v>
      </c>
      <c r="D53" s="143" t="s">
        <v>531</v>
      </c>
      <c r="E53" s="142"/>
      <c r="F53" s="143" t="s">
        <v>241</v>
      </c>
      <c r="G53" s="143" t="s">
        <v>221</v>
      </c>
      <c r="H53" s="143" t="s">
        <v>233</v>
      </c>
      <c r="I53" s="143" t="s">
        <v>217</v>
      </c>
      <c r="J53" s="143" t="s">
        <v>212</v>
      </c>
      <c r="K53" s="143"/>
    </row>
    <row r="54" customFormat="false" ht="15" hidden="false" customHeight="true" outlineLevel="0" collapsed="false">
      <c r="A54" s="140" t="s">
        <v>556</v>
      </c>
      <c r="B54" s="141" t="n">
        <v>20</v>
      </c>
      <c r="C54" s="141" t="s">
        <v>576</v>
      </c>
      <c r="D54" s="141" t="s">
        <v>515</v>
      </c>
      <c r="E54" s="140"/>
      <c r="F54" s="141" t="s">
        <v>454</v>
      </c>
      <c r="G54" s="141" t="s">
        <v>516</v>
      </c>
      <c r="H54" s="141" t="s">
        <v>519</v>
      </c>
      <c r="I54" s="141" t="s">
        <v>237</v>
      </c>
      <c r="J54" s="141" t="s">
        <v>243</v>
      </c>
      <c r="K54" s="141"/>
    </row>
    <row r="55" customFormat="false" ht="15" hidden="false" customHeight="true" outlineLevel="0" collapsed="false">
      <c r="A55" s="140" t="s">
        <v>556</v>
      </c>
      <c r="B55" s="141" t="n">
        <v>21</v>
      </c>
      <c r="C55" s="141" t="s">
        <v>577</v>
      </c>
      <c r="D55" s="141" t="s">
        <v>518</v>
      </c>
      <c r="E55" s="140"/>
      <c r="F55" s="141" t="s">
        <v>454</v>
      </c>
      <c r="G55" s="141" t="s">
        <v>225</v>
      </c>
      <c r="H55" s="141" t="s">
        <v>235</v>
      </c>
      <c r="I55" s="141" t="s">
        <v>241</v>
      </c>
      <c r="J55" s="141" t="s">
        <v>217</v>
      </c>
      <c r="K55" s="141"/>
    </row>
    <row r="56" customFormat="false" ht="15" hidden="false" customHeight="true" outlineLevel="0" collapsed="false">
      <c r="A56" s="140" t="s">
        <v>556</v>
      </c>
      <c r="B56" s="141" t="n">
        <v>22</v>
      </c>
      <c r="C56" s="141" t="s">
        <v>578</v>
      </c>
      <c r="D56" s="141" t="s">
        <v>521</v>
      </c>
      <c r="E56" s="140"/>
      <c r="F56" s="141" t="s">
        <v>243</v>
      </c>
      <c r="G56" s="141" t="s">
        <v>516</v>
      </c>
      <c r="H56" s="141" t="s">
        <v>237</v>
      </c>
      <c r="I56" s="141" t="s">
        <v>519</v>
      </c>
      <c r="J56" s="141" t="s">
        <v>579</v>
      </c>
      <c r="K56" s="141"/>
    </row>
    <row r="57" customFormat="false" ht="15" hidden="false" customHeight="true" outlineLevel="0" collapsed="false">
      <c r="A57" s="140" t="s">
        <v>556</v>
      </c>
      <c r="B57" s="141" t="n">
        <v>23</v>
      </c>
      <c r="C57" s="141" t="s">
        <v>580</v>
      </c>
      <c r="D57" s="141" t="s">
        <v>523</v>
      </c>
      <c r="E57" s="140"/>
      <c r="F57" s="141" t="s">
        <v>243</v>
      </c>
      <c r="G57" s="141" t="s">
        <v>229</v>
      </c>
      <c r="H57" s="141" t="s">
        <v>454</v>
      </c>
      <c r="I57" s="141" t="s">
        <v>233</v>
      </c>
      <c r="J57" s="141" t="s">
        <v>231</v>
      </c>
      <c r="K57" s="141"/>
    </row>
    <row r="58" customFormat="false" ht="15" hidden="false" customHeight="true" outlineLevel="0" collapsed="false">
      <c r="A58" s="140" t="s">
        <v>556</v>
      </c>
      <c r="B58" s="141" t="n">
        <v>24</v>
      </c>
      <c r="C58" s="141" t="s">
        <v>581</v>
      </c>
      <c r="D58" s="141" t="s">
        <v>526</v>
      </c>
      <c r="E58" s="140"/>
      <c r="F58" s="141" t="s">
        <v>243</v>
      </c>
      <c r="G58" s="141" t="s">
        <v>221</v>
      </c>
      <c r="H58" s="141" t="s">
        <v>235</v>
      </c>
      <c r="I58" s="141" t="s">
        <v>524</v>
      </c>
      <c r="J58" s="141" t="s">
        <v>212</v>
      </c>
      <c r="K58" s="141"/>
    </row>
    <row r="59" customFormat="false" ht="15" hidden="false" customHeight="true" outlineLevel="0" collapsed="false">
      <c r="A59" s="142" t="s">
        <v>556</v>
      </c>
      <c r="B59" s="143" t="n">
        <v>25</v>
      </c>
      <c r="C59" s="143" t="s">
        <v>582</v>
      </c>
      <c r="D59" s="143" t="s">
        <v>529</v>
      </c>
      <c r="E59" s="142"/>
      <c r="F59" s="143" t="s">
        <v>243</v>
      </c>
      <c r="G59" s="143" t="s">
        <v>229</v>
      </c>
      <c r="H59" s="143" t="s">
        <v>233</v>
      </c>
      <c r="I59" s="143" t="s">
        <v>231</v>
      </c>
      <c r="J59" s="143" t="s">
        <v>209</v>
      </c>
      <c r="K59" s="143"/>
    </row>
    <row r="60" customFormat="false" ht="15" hidden="false" customHeight="true" outlineLevel="0" collapsed="false">
      <c r="A60" s="142" t="s">
        <v>556</v>
      </c>
      <c r="B60" s="143" t="n">
        <v>26</v>
      </c>
      <c r="C60" s="143" t="s">
        <v>583</v>
      </c>
      <c r="D60" s="143" t="s">
        <v>531</v>
      </c>
      <c r="E60" s="142"/>
      <c r="F60" s="143" t="s">
        <v>235</v>
      </c>
      <c r="G60" s="143" t="s">
        <v>225</v>
      </c>
      <c r="H60" s="143" t="s">
        <v>237</v>
      </c>
      <c r="I60" s="143" t="s">
        <v>243</v>
      </c>
      <c r="J60" s="143" t="s">
        <v>527</v>
      </c>
      <c r="K60" s="143"/>
    </row>
    <row r="61" customFormat="false" ht="15" hidden="false" customHeight="true" outlineLevel="0" collapsed="false">
      <c r="A61" s="140" t="s">
        <v>556</v>
      </c>
      <c r="B61" s="141" t="n">
        <v>27</v>
      </c>
      <c r="C61" s="141" t="s">
        <v>584</v>
      </c>
      <c r="D61" s="141" t="s">
        <v>515</v>
      </c>
      <c r="E61" s="140"/>
      <c r="F61" s="141" t="s">
        <v>235</v>
      </c>
      <c r="G61" s="141" t="s">
        <v>229</v>
      </c>
      <c r="H61" s="141" t="s">
        <v>519</v>
      </c>
      <c r="I61" s="141" t="s">
        <v>233</v>
      </c>
      <c r="J61" s="141" t="s">
        <v>524</v>
      </c>
      <c r="K61" s="141"/>
    </row>
    <row r="62" customFormat="false" ht="15" hidden="false" customHeight="true" outlineLevel="0" collapsed="false">
      <c r="A62" s="140" t="s">
        <v>556</v>
      </c>
      <c r="B62" s="141" t="n">
        <v>28</v>
      </c>
      <c r="C62" s="141" t="s">
        <v>585</v>
      </c>
      <c r="D62" s="141" t="s">
        <v>518</v>
      </c>
      <c r="E62" s="140"/>
      <c r="F62" s="141" t="s">
        <v>235</v>
      </c>
      <c r="G62" s="141" t="s">
        <v>217</v>
      </c>
      <c r="H62" s="141" t="s">
        <v>237</v>
      </c>
      <c r="I62" s="141" t="s">
        <v>212</v>
      </c>
      <c r="J62" s="141" t="s">
        <v>527</v>
      </c>
      <c r="K62" s="141"/>
    </row>
    <row r="63" customFormat="false" ht="15" hidden="false" customHeight="true" outlineLevel="0" collapsed="false">
      <c r="A63" s="140" t="s">
        <v>556</v>
      </c>
      <c r="B63" s="141" t="n">
        <v>29</v>
      </c>
      <c r="C63" s="141" t="s">
        <v>586</v>
      </c>
      <c r="D63" s="141" t="s">
        <v>521</v>
      </c>
      <c r="E63" s="140"/>
      <c r="F63" s="141" t="s">
        <v>237</v>
      </c>
      <c r="G63" s="141" t="s">
        <v>524</v>
      </c>
      <c r="H63" s="141" t="s">
        <v>243</v>
      </c>
      <c r="I63" s="141" t="s">
        <v>235</v>
      </c>
      <c r="J63" s="141" t="s">
        <v>233</v>
      </c>
      <c r="K63" s="141"/>
    </row>
    <row r="64" customFormat="false" ht="15" hidden="false" customHeight="true" outlineLevel="0" collapsed="false">
      <c r="A64" s="140" t="s">
        <v>556</v>
      </c>
      <c r="B64" s="141" t="n">
        <v>30</v>
      </c>
      <c r="C64" s="141" t="s">
        <v>587</v>
      </c>
      <c r="D64" s="141" t="s">
        <v>523</v>
      </c>
      <c r="E64" s="140"/>
      <c r="F64" s="141" t="s">
        <v>235</v>
      </c>
      <c r="G64" s="141" t="s">
        <v>229</v>
      </c>
      <c r="H64" s="141" t="s">
        <v>241</v>
      </c>
      <c r="I64" s="141" t="s">
        <v>209</v>
      </c>
      <c r="J64" s="141" t="s">
        <v>231</v>
      </c>
      <c r="K64" s="141"/>
    </row>
    <row r="65" customFormat="false" ht="15" hidden="false" customHeight="true" outlineLevel="0" collapsed="false">
      <c r="A65" s="142" t="s">
        <v>588</v>
      </c>
      <c r="B65" s="143" t="n">
        <v>1</v>
      </c>
      <c r="C65" s="143" t="s">
        <v>589</v>
      </c>
      <c r="D65" s="143" t="s">
        <v>529</v>
      </c>
      <c r="E65" s="142"/>
      <c r="F65" s="143" t="s">
        <v>235</v>
      </c>
      <c r="G65" s="143" t="s">
        <v>217</v>
      </c>
      <c r="H65" s="143" t="s">
        <v>237</v>
      </c>
      <c r="I65" s="143" t="s">
        <v>527</v>
      </c>
      <c r="J65" s="143"/>
      <c r="K65" s="143"/>
    </row>
    <row r="66" customFormat="false" ht="15" hidden="false" customHeight="true" outlineLevel="0" collapsed="false">
      <c r="A66" s="142" t="s">
        <v>588</v>
      </c>
      <c r="B66" s="143" t="n">
        <v>2</v>
      </c>
      <c r="C66" s="143" t="s">
        <v>590</v>
      </c>
      <c r="D66" s="143" t="s">
        <v>531</v>
      </c>
      <c r="E66" s="142"/>
      <c r="F66" s="143" t="s">
        <v>235</v>
      </c>
      <c r="G66" s="143" t="s">
        <v>229</v>
      </c>
      <c r="H66" s="143" t="s">
        <v>241</v>
      </c>
      <c r="I66" s="143" t="s">
        <v>209</v>
      </c>
      <c r="J66" s="143" t="s">
        <v>231</v>
      </c>
      <c r="K66" s="143"/>
    </row>
    <row r="67" customFormat="false" ht="15" hidden="false" customHeight="true" outlineLevel="0" collapsed="false">
      <c r="A67" s="140" t="s">
        <v>588</v>
      </c>
      <c r="B67" s="141" t="n">
        <v>3</v>
      </c>
      <c r="C67" s="141" t="s">
        <v>591</v>
      </c>
      <c r="D67" s="141" t="s">
        <v>515</v>
      </c>
      <c r="E67" s="140"/>
      <c r="F67" s="141" t="s">
        <v>237</v>
      </c>
      <c r="G67" s="141" t="s">
        <v>225</v>
      </c>
      <c r="H67" s="141" t="s">
        <v>233</v>
      </c>
      <c r="I67" s="141" t="s">
        <v>219</v>
      </c>
      <c r="J67" s="141"/>
      <c r="K67" s="141"/>
    </row>
    <row r="68" customFormat="false" ht="15" hidden="false" customHeight="true" outlineLevel="0" collapsed="false">
      <c r="A68" s="140" t="s">
        <v>588</v>
      </c>
      <c r="B68" s="141" t="n">
        <v>4</v>
      </c>
      <c r="C68" s="141" t="s">
        <v>592</v>
      </c>
      <c r="D68" s="141" t="s">
        <v>518</v>
      </c>
      <c r="E68" s="140"/>
      <c r="F68" s="141" t="s">
        <v>519</v>
      </c>
      <c r="G68" s="141" t="s">
        <v>229</v>
      </c>
      <c r="H68" s="141" t="s">
        <v>231</v>
      </c>
      <c r="I68" s="141" t="s">
        <v>527</v>
      </c>
      <c r="J68" s="141" t="s">
        <v>524</v>
      </c>
      <c r="K68" s="141"/>
    </row>
    <row r="69" customFormat="false" ht="15" hidden="false" customHeight="true" outlineLevel="0" collapsed="false">
      <c r="A69" s="140" t="s">
        <v>588</v>
      </c>
      <c r="B69" s="141" t="n">
        <v>5</v>
      </c>
      <c r="C69" s="141" t="s">
        <v>593</v>
      </c>
      <c r="D69" s="141" t="s">
        <v>521</v>
      </c>
      <c r="E69" s="140"/>
      <c r="F69" s="141" t="s">
        <v>237</v>
      </c>
      <c r="G69" s="141" t="s">
        <v>229</v>
      </c>
      <c r="H69" s="141" t="s">
        <v>519</v>
      </c>
      <c r="I69" s="141" t="s">
        <v>235</v>
      </c>
      <c r="J69" s="141"/>
      <c r="K69" s="141"/>
    </row>
    <row r="70" customFormat="false" ht="15" hidden="false" customHeight="true" outlineLevel="0" collapsed="false">
      <c r="A70" s="140" t="s">
        <v>588</v>
      </c>
      <c r="B70" s="141" t="n">
        <v>6</v>
      </c>
      <c r="C70" s="141" t="s">
        <v>594</v>
      </c>
      <c r="D70" s="141" t="s">
        <v>523</v>
      </c>
      <c r="E70" s="140"/>
      <c r="F70" s="141" t="s">
        <v>535</v>
      </c>
      <c r="G70" s="141" t="s">
        <v>524</v>
      </c>
      <c r="H70" s="141" t="s">
        <v>241</v>
      </c>
      <c r="I70" s="141" t="s">
        <v>233</v>
      </c>
      <c r="J70" s="141" t="s">
        <v>217</v>
      </c>
      <c r="K70" s="141"/>
    </row>
    <row r="71" customFormat="false" ht="15" hidden="false" customHeight="true" outlineLevel="0" collapsed="false">
      <c r="A71" s="140" t="s">
        <v>588</v>
      </c>
      <c r="B71" s="141" t="n">
        <v>7</v>
      </c>
      <c r="C71" s="141" t="s">
        <v>595</v>
      </c>
      <c r="D71" s="141" t="s">
        <v>526</v>
      </c>
      <c r="E71" s="140"/>
      <c r="F71" s="141" t="s">
        <v>241</v>
      </c>
      <c r="G71" s="141" t="s">
        <v>219</v>
      </c>
      <c r="H71" s="141" t="s">
        <v>535</v>
      </c>
      <c r="I71" s="141" t="s">
        <v>519</v>
      </c>
      <c r="J71" s="141" t="s">
        <v>212</v>
      </c>
      <c r="K71" s="141"/>
    </row>
    <row r="72" customFormat="false" ht="15" hidden="false" customHeight="true" outlineLevel="0" collapsed="false">
      <c r="A72" s="142" t="s">
        <v>588</v>
      </c>
      <c r="B72" s="143" t="n">
        <v>8</v>
      </c>
      <c r="C72" s="143" t="s">
        <v>596</v>
      </c>
      <c r="D72" s="143" t="s">
        <v>529</v>
      </c>
      <c r="E72" s="142"/>
      <c r="F72" s="143" t="s">
        <v>241</v>
      </c>
      <c r="G72" s="143" t="s">
        <v>225</v>
      </c>
      <c r="H72" s="143" t="s">
        <v>516</v>
      </c>
      <c r="I72" s="143" t="s">
        <v>231</v>
      </c>
      <c r="J72" s="143"/>
      <c r="K72" s="143"/>
    </row>
    <row r="73" customFormat="false" ht="15" hidden="false" customHeight="true" outlineLevel="0" collapsed="false">
      <c r="A73" s="142" t="s">
        <v>588</v>
      </c>
      <c r="B73" s="143" t="n">
        <v>9</v>
      </c>
      <c r="C73" s="143" t="s">
        <v>597</v>
      </c>
      <c r="D73" s="143" t="s">
        <v>531</v>
      </c>
      <c r="E73" s="142"/>
      <c r="F73" s="143" t="s">
        <v>241</v>
      </c>
      <c r="G73" s="143" t="s">
        <v>219</v>
      </c>
      <c r="H73" s="143" t="s">
        <v>535</v>
      </c>
      <c r="I73" s="143" t="s">
        <v>519</v>
      </c>
      <c r="J73" s="143" t="s">
        <v>212</v>
      </c>
      <c r="K73" s="143"/>
    </row>
    <row r="74" customFormat="false" ht="15" hidden="false" customHeight="true" outlineLevel="0" collapsed="false">
      <c r="A74" s="140" t="s">
        <v>588</v>
      </c>
      <c r="B74" s="141" t="n">
        <v>10</v>
      </c>
      <c r="C74" s="141" t="s">
        <v>598</v>
      </c>
      <c r="D74" s="141" t="s">
        <v>515</v>
      </c>
      <c r="E74" s="140"/>
      <c r="F74" s="141" t="s">
        <v>519</v>
      </c>
      <c r="G74" s="141" t="s">
        <v>229</v>
      </c>
      <c r="H74" s="141" t="s">
        <v>241</v>
      </c>
      <c r="I74" s="141" t="s">
        <v>237</v>
      </c>
      <c r="J74" s="141" t="s">
        <v>233</v>
      </c>
      <c r="K74" s="141"/>
    </row>
    <row r="75" customFormat="false" ht="15" hidden="false" customHeight="true" outlineLevel="0" collapsed="false">
      <c r="A75" s="140" t="s">
        <v>588</v>
      </c>
      <c r="B75" s="141" t="n">
        <v>11</v>
      </c>
      <c r="C75" s="141" t="s">
        <v>599</v>
      </c>
      <c r="D75" s="141" t="s">
        <v>518</v>
      </c>
      <c r="E75" s="140"/>
      <c r="F75" s="141" t="s">
        <v>535</v>
      </c>
      <c r="G75" s="141" t="s">
        <v>209</v>
      </c>
      <c r="H75" s="141" t="s">
        <v>235</v>
      </c>
      <c r="I75" s="141" t="s">
        <v>231</v>
      </c>
      <c r="J75" s="141" t="s">
        <v>221</v>
      </c>
      <c r="K75" s="141"/>
    </row>
    <row r="76" customFormat="false" ht="15" hidden="false" customHeight="true" outlineLevel="0" collapsed="false">
      <c r="A76" s="140" t="s">
        <v>588</v>
      </c>
      <c r="B76" s="141" t="n">
        <v>12</v>
      </c>
      <c r="C76" s="141" t="s">
        <v>600</v>
      </c>
      <c r="D76" s="141" t="s">
        <v>521</v>
      </c>
      <c r="E76" s="140"/>
      <c r="F76" s="141" t="s">
        <v>519</v>
      </c>
      <c r="G76" s="141" t="s">
        <v>229</v>
      </c>
      <c r="H76" s="141" t="s">
        <v>241</v>
      </c>
      <c r="I76" s="141" t="s">
        <v>516</v>
      </c>
      <c r="J76" s="141" t="s">
        <v>212</v>
      </c>
      <c r="K76" s="141"/>
    </row>
    <row r="77" customFormat="false" ht="15" hidden="false" customHeight="true" outlineLevel="0" collapsed="false">
      <c r="A77" s="140" t="s">
        <v>588</v>
      </c>
      <c r="B77" s="141" t="n">
        <v>13</v>
      </c>
      <c r="C77" s="141" t="s">
        <v>601</v>
      </c>
      <c r="D77" s="141" t="s">
        <v>523</v>
      </c>
      <c r="E77" s="140"/>
      <c r="F77" s="141" t="s">
        <v>519</v>
      </c>
      <c r="G77" s="141" t="s">
        <v>225</v>
      </c>
      <c r="H77" s="141" t="s">
        <v>535</v>
      </c>
      <c r="I77" s="141" t="s">
        <v>219</v>
      </c>
      <c r="J77" s="141" t="s">
        <v>231</v>
      </c>
      <c r="K77" s="141"/>
    </row>
    <row r="78" customFormat="false" ht="15" hidden="false" customHeight="true" outlineLevel="0" collapsed="false">
      <c r="A78" s="140" t="s">
        <v>588</v>
      </c>
      <c r="B78" s="141" t="n">
        <v>14</v>
      </c>
      <c r="C78" s="141" t="s">
        <v>602</v>
      </c>
      <c r="D78" s="141" t="s">
        <v>526</v>
      </c>
      <c r="E78" s="140"/>
      <c r="F78" s="141" t="s">
        <v>535</v>
      </c>
      <c r="G78" s="141" t="s">
        <v>229</v>
      </c>
      <c r="H78" s="141" t="s">
        <v>233</v>
      </c>
      <c r="I78" s="141" t="s">
        <v>221</v>
      </c>
      <c r="J78" s="141" t="s">
        <v>217</v>
      </c>
      <c r="K78" s="141"/>
    </row>
    <row r="79" customFormat="false" ht="15" hidden="false" customHeight="true" outlineLevel="0" collapsed="false">
      <c r="A79" s="144" t="s">
        <v>588</v>
      </c>
      <c r="B79" s="145" t="n">
        <v>15</v>
      </c>
      <c r="C79" s="145" t="s">
        <v>603</v>
      </c>
      <c r="D79" s="145" t="s">
        <v>529</v>
      </c>
      <c r="E79" s="144" t="s">
        <v>604</v>
      </c>
      <c r="F79" s="145" t="s">
        <v>535</v>
      </c>
      <c r="G79" s="145" t="s">
        <v>243</v>
      </c>
      <c r="H79" s="145" t="s">
        <v>241</v>
      </c>
      <c r="I79" s="145" t="s">
        <v>219</v>
      </c>
      <c r="J79" s="145"/>
      <c r="K79" s="145"/>
    </row>
    <row r="80" customFormat="false" ht="15" hidden="false" customHeight="true" outlineLevel="0" collapsed="false">
      <c r="A80" s="142" t="s">
        <v>588</v>
      </c>
      <c r="B80" s="143" t="n">
        <v>16</v>
      </c>
      <c r="C80" s="143" t="s">
        <v>605</v>
      </c>
      <c r="D80" s="143" t="s">
        <v>531</v>
      </c>
      <c r="E80" s="142"/>
      <c r="F80" s="143" t="s">
        <v>241</v>
      </c>
      <c r="G80" s="143" t="s">
        <v>243</v>
      </c>
      <c r="H80" s="143" t="s">
        <v>233</v>
      </c>
      <c r="I80" s="143" t="s">
        <v>221</v>
      </c>
      <c r="J80" s="143" t="s">
        <v>217</v>
      </c>
      <c r="K80" s="143"/>
    </row>
    <row r="81" customFormat="false" ht="15" hidden="false" customHeight="true" outlineLevel="0" collapsed="false">
      <c r="A81" s="140" t="s">
        <v>588</v>
      </c>
      <c r="B81" s="141" t="n">
        <v>17</v>
      </c>
      <c r="C81" s="141" t="s">
        <v>606</v>
      </c>
      <c r="D81" s="141" t="s">
        <v>515</v>
      </c>
      <c r="E81" s="140"/>
      <c r="F81" s="141" t="s">
        <v>535</v>
      </c>
      <c r="G81" s="141" t="s">
        <v>225</v>
      </c>
      <c r="H81" s="141" t="s">
        <v>454</v>
      </c>
      <c r="I81" s="141" t="s">
        <v>516</v>
      </c>
      <c r="J81" s="141" t="s">
        <v>527</v>
      </c>
      <c r="K81" s="141"/>
    </row>
    <row r="82" customFormat="false" ht="15" hidden="false" customHeight="true" outlineLevel="0" collapsed="false">
      <c r="A82" s="140" t="s">
        <v>588</v>
      </c>
      <c r="B82" s="141" t="n">
        <v>18</v>
      </c>
      <c r="C82" s="141" t="s">
        <v>352</v>
      </c>
      <c r="D82" s="141" t="s">
        <v>518</v>
      </c>
      <c r="E82" s="140"/>
      <c r="F82" s="141" t="s">
        <v>535</v>
      </c>
      <c r="G82" s="141" t="s">
        <v>243</v>
      </c>
      <c r="H82" s="141" t="s">
        <v>519</v>
      </c>
      <c r="I82" s="141" t="s">
        <v>209</v>
      </c>
      <c r="J82" s="141" t="s">
        <v>221</v>
      </c>
      <c r="K82" s="141"/>
    </row>
    <row r="83" customFormat="false" ht="15" hidden="false" customHeight="true" outlineLevel="0" collapsed="false">
      <c r="A83" s="140" t="s">
        <v>588</v>
      </c>
      <c r="B83" s="141" t="n">
        <v>19</v>
      </c>
      <c r="C83" s="141" t="s">
        <v>607</v>
      </c>
      <c r="D83" s="141" t="s">
        <v>521</v>
      </c>
      <c r="E83" s="140"/>
      <c r="F83" s="141" t="s">
        <v>243</v>
      </c>
      <c r="G83" s="141" t="s">
        <v>219</v>
      </c>
      <c r="H83" s="141" t="s">
        <v>231</v>
      </c>
      <c r="I83" s="141" t="s">
        <v>516</v>
      </c>
      <c r="J83" s="141" t="s">
        <v>527</v>
      </c>
      <c r="K83" s="141"/>
    </row>
    <row r="84" customFormat="false" ht="15" hidden="false" customHeight="true" outlineLevel="0" collapsed="false">
      <c r="A84" s="140" t="s">
        <v>588</v>
      </c>
      <c r="B84" s="141" t="n">
        <v>20</v>
      </c>
      <c r="C84" s="141" t="s">
        <v>608</v>
      </c>
      <c r="D84" s="141" t="s">
        <v>523</v>
      </c>
      <c r="E84" s="140"/>
      <c r="F84" s="141" t="s">
        <v>243</v>
      </c>
      <c r="G84" s="141" t="s">
        <v>221</v>
      </c>
      <c r="H84" s="141" t="s">
        <v>454</v>
      </c>
      <c r="I84" s="141" t="s">
        <v>535</v>
      </c>
      <c r="J84" s="141" t="s">
        <v>233</v>
      </c>
      <c r="K84" s="141"/>
    </row>
    <row r="85" customFormat="false" ht="15" hidden="false" customHeight="true" outlineLevel="0" collapsed="false">
      <c r="A85" s="140" t="s">
        <v>588</v>
      </c>
      <c r="B85" s="141" t="n">
        <v>21</v>
      </c>
      <c r="C85" s="141" t="s">
        <v>609</v>
      </c>
      <c r="D85" s="141" t="s">
        <v>526</v>
      </c>
      <c r="E85" s="140"/>
      <c r="F85" s="141" t="s">
        <v>454</v>
      </c>
      <c r="G85" s="141" t="s">
        <v>225</v>
      </c>
      <c r="H85" s="141" t="s">
        <v>235</v>
      </c>
      <c r="I85" s="141" t="s">
        <v>212</v>
      </c>
      <c r="J85" s="141" t="s">
        <v>209</v>
      </c>
      <c r="K85" s="141"/>
    </row>
    <row r="86" customFormat="false" ht="15" hidden="false" customHeight="true" outlineLevel="0" collapsed="false">
      <c r="A86" s="142" t="s">
        <v>588</v>
      </c>
      <c r="B86" s="143" t="n">
        <v>22</v>
      </c>
      <c r="C86" s="143" t="s">
        <v>610</v>
      </c>
      <c r="D86" s="143" t="s">
        <v>529</v>
      </c>
      <c r="E86" s="142"/>
      <c r="F86" s="143" t="s">
        <v>454</v>
      </c>
      <c r="G86" s="143" t="s">
        <v>243</v>
      </c>
      <c r="H86" s="143" t="s">
        <v>233</v>
      </c>
      <c r="I86" s="143" t="s">
        <v>524</v>
      </c>
      <c r="J86" s="143"/>
      <c r="K86" s="143"/>
    </row>
    <row r="87" customFormat="false" ht="15" hidden="false" customHeight="true" outlineLevel="0" collapsed="false">
      <c r="A87" s="142" t="s">
        <v>588</v>
      </c>
      <c r="B87" s="143" t="n">
        <v>23</v>
      </c>
      <c r="C87" s="143" t="s">
        <v>611</v>
      </c>
      <c r="D87" s="143" t="s">
        <v>531</v>
      </c>
      <c r="E87" s="142"/>
      <c r="F87" s="143" t="s">
        <v>454</v>
      </c>
      <c r="G87" s="143" t="s">
        <v>225</v>
      </c>
      <c r="H87" s="143" t="s">
        <v>235</v>
      </c>
      <c r="I87" s="143" t="s">
        <v>212</v>
      </c>
      <c r="J87" s="143" t="s">
        <v>209</v>
      </c>
      <c r="K87" s="143"/>
    </row>
    <row r="88" customFormat="false" ht="15" hidden="false" customHeight="true" outlineLevel="0" collapsed="false">
      <c r="A88" s="140" t="s">
        <v>588</v>
      </c>
      <c r="B88" s="141" t="n">
        <v>24</v>
      </c>
      <c r="C88" s="141" t="s">
        <v>612</v>
      </c>
      <c r="D88" s="141" t="s">
        <v>515</v>
      </c>
      <c r="E88" s="140"/>
      <c r="F88" s="141" t="s">
        <v>454</v>
      </c>
      <c r="G88" s="141" t="s">
        <v>229</v>
      </c>
      <c r="H88" s="141" t="s">
        <v>237</v>
      </c>
      <c r="I88" s="141" t="s">
        <v>535</v>
      </c>
      <c r="J88" s="141" t="s">
        <v>527</v>
      </c>
      <c r="K88" s="141"/>
    </row>
    <row r="89" customFormat="false" ht="15" hidden="false" customHeight="true" outlineLevel="0" collapsed="false">
      <c r="A89" s="140" t="s">
        <v>588</v>
      </c>
      <c r="B89" s="141" t="n">
        <v>25</v>
      </c>
      <c r="C89" s="141" t="s">
        <v>613</v>
      </c>
      <c r="D89" s="141" t="s">
        <v>518</v>
      </c>
      <c r="E89" s="140"/>
      <c r="F89" s="141" t="s">
        <v>235</v>
      </c>
      <c r="G89" s="141" t="s">
        <v>212</v>
      </c>
      <c r="H89" s="141" t="s">
        <v>454</v>
      </c>
      <c r="I89" s="141" t="s">
        <v>233</v>
      </c>
      <c r="J89" s="141" t="s">
        <v>217</v>
      </c>
      <c r="K89" s="141"/>
    </row>
    <row r="90" customFormat="false" ht="15" hidden="false" customHeight="true" outlineLevel="0" collapsed="false">
      <c r="A90" s="140" t="s">
        <v>588</v>
      </c>
      <c r="B90" s="141" t="n">
        <v>26</v>
      </c>
      <c r="C90" s="141" t="s">
        <v>614</v>
      </c>
      <c r="D90" s="141" t="s">
        <v>521</v>
      </c>
      <c r="E90" s="140"/>
      <c r="F90" s="141" t="s">
        <v>237</v>
      </c>
      <c r="G90" s="141" t="s">
        <v>225</v>
      </c>
      <c r="H90" s="141" t="s">
        <v>516</v>
      </c>
      <c r="I90" s="141" t="s">
        <v>221</v>
      </c>
      <c r="J90" s="141" t="s">
        <v>524</v>
      </c>
      <c r="K90" s="141"/>
    </row>
    <row r="91" customFormat="false" ht="15" hidden="false" customHeight="true" outlineLevel="0" collapsed="false">
      <c r="A91" s="140" t="s">
        <v>588</v>
      </c>
      <c r="B91" s="141" t="n">
        <v>27</v>
      </c>
      <c r="C91" s="141" t="s">
        <v>615</v>
      </c>
      <c r="D91" s="141" t="s">
        <v>523</v>
      </c>
      <c r="E91" s="140"/>
      <c r="F91" s="141" t="s">
        <v>235</v>
      </c>
      <c r="G91" s="141" t="s">
        <v>527</v>
      </c>
      <c r="H91" s="141" t="s">
        <v>231</v>
      </c>
      <c r="I91" s="141" t="s">
        <v>454</v>
      </c>
      <c r="J91" s="141" t="s">
        <v>217</v>
      </c>
      <c r="K91" s="141"/>
    </row>
    <row r="92" customFormat="false" ht="15" hidden="false" customHeight="true" outlineLevel="0" collapsed="false">
      <c r="A92" s="140" t="s">
        <v>588</v>
      </c>
      <c r="B92" s="141" t="n">
        <v>28</v>
      </c>
      <c r="C92" s="141" t="s">
        <v>616</v>
      </c>
      <c r="D92" s="141" t="s">
        <v>526</v>
      </c>
      <c r="E92" s="140"/>
      <c r="F92" s="141" t="s">
        <v>235</v>
      </c>
      <c r="G92" s="141" t="s">
        <v>221</v>
      </c>
      <c r="H92" s="141" t="s">
        <v>237</v>
      </c>
      <c r="I92" s="141" t="s">
        <v>516</v>
      </c>
      <c r="J92" s="141" t="s">
        <v>524</v>
      </c>
      <c r="K92" s="141"/>
    </row>
    <row r="93" customFormat="false" ht="15" hidden="false" customHeight="true" outlineLevel="0" collapsed="false">
      <c r="A93" s="142" t="s">
        <v>588</v>
      </c>
      <c r="B93" s="143" t="n">
        <v>29</v>
      </c>
      <c r="C93" s="143" t="s">
        <v>617</v>
      </c>
      <c r="D93" s="143" t="s">
        <v>529</v>
      </c>
      <c r="E93" s="142"/>
      <c r="F93" s="143" t="s">
        <v>235</v>
      </c>
      <c r="G93" s="143" t="s">
        <v>221</v>
      </c>
      <c r="H93" s="143" t="s">
        <v>454</v>
      </c>
      <c r="I93" s="143" t="s">
        <v>519</v>
      </c>
      <c r="J93" s="143"/>
      <c r="K93" s="143"/>
    </row>
    <row r="94" customFormat="false" ht="15" hidden="false" customHeight="true" outlineLevel="0" collapsed="false">
      <c r="A94" s="142" t="s">
        <v>588</v>
      </c>
      <c r="B94" s="143" t="n">
        <v>30</v>
      </c>
      <c r="C94" s="143" t="s">
        <v>618</v>
      </c>
      <c r="D94" s="143" t="s">
        <v>531</v>
      </c>
      <c r="E94" s="142"/>
      <c r="F94" s="143" t="s">
        <v>519</v>
      </c>
      <c r="G94" s="143" t="s">
        <v>527</v>
      </c>
      <c r="H94" s="143" t="s">
        <v>237</v>
      </c>
      <c r="I94" s="143" t="s">
        <v>516</v>
      </c>
      <c r="J94" s="143" t="s">
        <v>524</v>
      </c>
      <c r="K94" s="143"/>
    </row>
    <row r="95" customFormat="false" ht="15" hidden="false" customHeight="true" outlineLevel="0" collapsed="false">
      <c r="A95" s="140" t="s">
        <v>588</v>
      </c>
      <c r="B95" s="141" t="n">
        <v>31</v>
      </c>
      <c r="C95" s="141" t="s">
        <v>619</v>
      </c>
      <c r="D95" s="141" t="s">
        <v>515</v>
      </c>
      <c r="E95" s="140"/>
      <c r="F95" s="141" t="s">
        <v>535</v>
      </c>
      <c r="G95" s="141" t="s">
        <v>243</v>
      </c>
      <c r="H95" s="141" t="s">
        <v>235</v>
      </c>
      <c r="I95" s="141" t="s">
        <v>209</v>
      </c>
      <c r="J95" s="141" t="s">
        <v>217</v>
      </c>
      <c r="K95" s="141"/>
    </row>
    <row r="96" customFormat="false" ht="15" hidden="false" customHeight="true" outlineLevel="0" collapsed="false">
      <c r="A96" s="140" t="s">
        <v>620</v>
      </c>
      <c r="B96" s="141" t="n">
        <v>1</v>
      </c>
      <c r="C96" s="141" t="s">
        <v>621</v>
      </c>
      <c r="D96" s="141" t="s">
        <v>518</v>
      </c>
      <c r="E96" s="140"/>
      <c r="F96" s="141" t="s">
        <v>519</v>
      </c>
      <c r="G96" s="141" t="s">
        <v>524</v>
      </c>
      <c r="H96" s="141" t="s">
        <v>233</v>
      </c>
      <c r="I96" s="141" t="s">
        <v>221</v>
      </c>
      <c r="J96" s="141" t="s">
        <v>219</v>
      </c>
      <c r="K96" s="141"/>
    </row>
    <row r="97" customFormat="false" ht="15" hidden="false" customHeight="true" outlineLevel="0" collapsed="false">
      <c r="A97" s="140" t="s">
        <v>620</v>
      </c>
      <c r="B97" s="141" t="n">
        <v>2</v>
      </c>
      <c r="C97" s="141" t="s">
        <v>622</v>
      </c>
      <c r="D97" s="141" t="s">
        <v>521</v>
      </c>
      <c r="E97" s="140"/>
      <c r="F97" s="141" t="s">
        <v>519</v>
      </c>
      <c r="G97" s="141" t="s">
        <v>535</v>
      </c>
      <c r="H97" s="141" t="s">
        <v>237</v>
      </c>
      <c r="I97" s="141" t="s">
        <v>212</v>
      </c>
      <c r="J97" s="141" t="s">
        <v>225</v>
      </c>
      <c r="K97" s="141"/>
    </row>
    <row r="98" customFormat="false" ht="15" hidden="false" customHeight="true" outlineLevel="0" collapsed="false">
      <c r="A98" s="140" t="s">
        <v>620</v>
      </c>
      <c r="B98" s="141" t="n">
        <v>3</v>
      </c>
      <c r="C98" s="141" t="s">
        <v>623</v>
      </c>
      <c r="D98" s="141" t="s">
        <v>523</v>
      </c>
      <c r="E98" s="140"/>
      <c r="F98" s="141" t="s">
        <v>237</v>
      </c>
      <c r="G98" s="141" t="s">
        <v>217</v>
      </c>
      <c r="H98" s="141" t="s">
        <v>519</v>
      </c>
      <c r="I98" s="141" t="s">
        <v>516</v>
      </c>
      <c r="J98" s="141" t="s">
        <v>191</v>
      </c>
      <c r="K98" s="141"/>
    </row>
    <row r="99" customFormat="false" ht="15" hidden="false" customHeight="true" outlineLevel="0" collapsed="false">
      <c r="A99" s="140" t="s">
        <v>620</v>
      </c>
      <c r="B99" s="141" t="n">
        <v>4</v>
      </c>
      <c r="C99" s="141" t="s">
        <v>624</v>
      </c>
      <c r="D99" s="141" t="s">
        <v>526</v>
      </c>
      <c r="E99" s="140"/>
      <c r="F99" s="141" t="s">
        <v>243</v>
      </c>
      <c r="G99" s="141" t="s">
        <v>209</v>
      </c>
      <c r="H99" s="141" t="s">
        <v>229</v>
      </c>
      <c r="I99" s="141" t="s">
        <v>527</v>
      </c>
      <c r="J99" s="141" t="s">
        <v>194</v>
      </c>
      <c r="K99" s="141"/>
    </row>
    <row r="100" customFormat="false" ht="15" hidden="false" customHeight="true" outlineLevel="0" collapsed="false">
      <c r="A100" s="142" t="s">
        <v>620</v>
      </c>
      <c r="B100" s="143" t="n">
        <v>5</v>
      </c>
      <c r="C100" s="143" t="s">
        <v>625</v>
      </c>
      <c r="D100" s="143" t="s">
        <v>529</v>
      </c>
      <c r="E100" s="142"/>
      <c r="F100" s="143" t="s">
        <v>516</v>
      </c>
      <c r="G100" s="143" t="s">
        <v>221</v>
      </c>
      <c r="H100" s="143" t="s">
        <v>233</v>
      </c>
      <c r="I100" s="143" t="s">
        <v>219</v>
      </c>
      <c r="J100" s="143" t="s">
        <v>217</v>
      </c>
      <c r="K100" s="143"/>
    </row>
    <row r="101" customFormat="false" ht="15" hidden="false" customHeight="true" outlineLevel="0" collapsed="false">
      <c r="A101" s="142" t="s">
        <v>620</v>
      </c>
      <c r="B101" s="143" t="n">
        <v>6</v>
      </c>
      <c r="C101" s="143" t="s">
        <v>626</v>
      </c>
      <c r="D101" s="143" t="s">
        <v>531</v>
      </c>
      <c r="E101" s="142"/>
      <c r="F101" s="143" t="s">
        <v>237</v>
      </c>
      <c r="G101" s="143" t="s">
        <v>209</v>
      </c>
      <c r="H101" s="143" t="s">
        <v>229</v>
      </c>
      <c r="I101" s="143" t="s">
        <v>527</v>
      </c>
      <c r="J101" s="143" t="s">
        <v>194</v>
      </c>
      <c r="K101" s="143"/>
    </row>
    <row r="102" customFormat="false" ht="15" hidden="false" customHeight="true" outlineLevel="0" collapsed="false">
      <c r="A102" s="140" t="s">
        <v>620</v>
      </c>
      <c r="B102" s="141" t="n">
        <v>7</v>
      </c>
      <c r="C102" s="141" t="s">
        <v>627</v>
      </c>
      <c r="D102" s="141" t="s">
        <v>515</v>
      </c>
      <c r="E102" s="140"/>
      <c r="F102" s="141" t="s">
        <v>519</v>
      </c>
      <c r="G102" s="141" t="s">
        <v>212</v>
      </c>
      <c r="H102" s="141" t="s">
        <v>243</v>
      </c>
      <c r="I102" s="141" t="s">
        <v>219</v>
      </c>
      <c r="J102" s="141" t="s">
        <v>196</v>
      </c>
      <c r="K102" s="141"/>
    </row>
    <row r="103" customFormat="false" ht="15" hidden="false" customHeight="true" outlineLevel="0" collapsed="false">
      <c r="A103" s="140" t="s">
        <v>620</v>
      </c>
      <c r="B103" s="141" t="n">
        <v>8</v>
      </c>
      <c r="C103" s="141" t="s">
        <v>628</v>
      </c>
      <c r="D103" s="141" t="s">
        <v>518</v>
      </c>
      <c r="E103" s="140"/>
      <c r="F103" s="141" t="s">
        <v>519</v>
      </c>
      <c r="G103" s="141" t="s">
        <v>535</v>
      </c>
      <c r="H103" s="141" t="s">
        <v>237</v>
      </c>
      <c r="I103" s="141" t="s">
        <v>527</v>
      </c>
      <c r="J103" s="141" t="s">
        <v>217</v>
      </c>
      <c r="K103" s="141"/>
    </row>
    <row r="104" customFormat="false" ht="15" hidden="false" customHeight="true" outlineLevel="0" collapsed="false">
      <c r="A104" s="140" t="s">
        <v>620</v>
      </c>
      <c r="B104" s="141" t="n">
        <v>9</v>
      </c>
      <c r="C104" s="141" t="s">
        <v>629</v>
      </c>
      <c r="D104" s="141" t="s">
        <v>521</v>
      </c>
      <c r="E104" s="140"/>
      <c r="F104" s="141" t="s">
        <v>535</v>
      </c>
      <c r="G104" s="141" t="s">
        <v>209</v>
      </c>
      <c r="H104" s="141" t="s">
        <v>243</v>
      </c>
      <c r="I104" s="141" t="s">
        <v>516</v>
      </c>
      <c r="J104" s="141" t="s">
        <v>219</v>
      </c>
      <c r="K104" s="141"/>
    </row>
    <row r="105" customFormat="false" ht="15" hidden="false" customHeight="true" outlineLevel="0" collapsed="false">
      <c r="A105" s="140" t="s">
        <v>620</v>
      </c>
      <c r="B105" s="141" t="n">
        <v>10</v>
      </c>
      <c r="C105" s="141" t="s">
        <v>630</v>
      </c>
      <c r="D105" s="141" t="s">
        <v>523</v>
      </c>
      <c r="E105" s="140"/>
      <c r="F105" s="141" t="s">
        <v>535</v>
      </c>
      <c r="G105" s="141" t="s">
        <v>225</v>
      </c>
      <c r="H105" s="141" t="s">
        <v>519</v>
      </c>
      <c r="I105" s="141" t="s">
        <v>212</v>
      </c>
      <c r="J105" s="141" t="s">
        <v>196</v>
      </c>
      <c r="K105" s="141"/>
    </row>
    <row r="106" customFormat="false" ht="15" hidden="false" customHeight="true" outlineLevel="0" collapsed="false">
      <c r="A106" s="140" t="s">
        <v>620</v>
      </c>
      <c r="B106" s="141" t="n">
        <v>11</v>
      </c>
      <c r="C106" s="141" t="s">
        <v>631</v>
      </c>
      <c r="D106" s="141" t="s">
        <v>526</v>
      </c>
      <c r="E106" s="140"/>
      <c r="F106" s="141" t="s">
        <v>535</v>
      </c>
      <c r="G106" s="141" t="s">
        <v>231</v>
      </c>
      <c r="H106" s="141" t="s">
        <v>233</v>
      </c>
      <c r="I106" s="141" t="s">
        <v>524</v>
      </c>
      <c r="J106" s="141" t="s">
        <v>207</v>
      </c>
      <c r="K106" s="141"/>
    </row>
    <row r="107" customFormat="false" ht="15" hidden="false" customHeight="true" outlineLevel="0" collapsed="false">
      <c r="A107" s="142" t="s">
        <v>620</v>
      </c>
      <c r="B107" s="143" t="n">
        <v>12</v>
      </c>
      <c r="C107" s="143" t="s">
        <v>632</v>
      </c>
      <c r="D107" s="143" t="s">
        <v>529</v>
      </c>
      <c r="E107" s="142"/>
      <c r="F107" s="143" t="s">
        <v>535</v>
      </c>
      <c r="G107" s="143" t="s">
        <v>212</v>
      </c>
      <c r="H107" s="143" t="s">
        <v>243</v>
      </c>
      <c r="I107" s="143" t="s">
        <v>191</v>
      </c>
      <c r="J107" s="143" t="s">
        <v>203</v>
      </c>
      <c r="K107" s="143"/>
    </row>
    <row r="108" customFormat="false" ht="15" hidden="false" customHeight="true" outlineLevel="0" collapsed="false">
      <c r="A108" s="142" t="s">
        <v>620</v>
      </c>
      <c r="B108" s="143" t="n">
        <v>13</v>
      </c>
      <c r="C108" s="143" t="s">
        <v>633</v>
      </c>
      <c r="D108" s="143" t="s">
        <v>531</v>
      </c>
      <c r="E108" s="142"/>
      <c r="F108" s="143" t="s">
        <v>535</v>
      </c>
      <c r="G108" s="143" t="s">
        <v>231</v>
      </c>
      <c r="H108" s="143" t="s">
        <v>233</v>
      </c>
      <c r="I108" s="143" t="s">
        <v>524</v>
      </c>
      <c r="J108" s="143" t="s">
        <v>207</v>
      </c>
      <c r="K108" s="143"/>
    </row>
    <row r="109" customFormat="false" ht="15" hidden="false" customHeight="true" outlineLevel="0" collapsed="false">
      <c r="A109" s="140" t="s">
        <v>620</v>
      </c>
      <c r="B109" s="141" t="n">
        <v>14</v>
      </c>
      <c r="C109" s="141" t="s">
        <v>634</v>
      </c>
      <c r="D109" s="141" t="s">
        <v>515</v>
      </c>
      <c r="E109" s="140"/>
      <c r="F109" s="141" t="s">
        <v>243</v>
      </c>
      <c r="G109" s="141" t="s">
        <v>535</v>
      </c>
      <c r="H109" s="141" t="s">
        <v>229</v>
      </c>
      <c r="I109" s="141" t="s">
        <v>217</v>
      </c>
      <c r="J109" s="141" t="s">
        <v>205</v>
      </c>
      <c r="K109" s="141"/>
    </row>
    <row r="110" customFormat="false" ht="15" hidden="false" customHeight="true" outlineLevel="0" collapsed="false">
      <c r="A110" s="140" t="s">
        <v>620</v>
      </c>
      <c r="B110" s="141" t="n">
        <v>15</v>
      </c>
      <c r="C110" s="141" t="s">
        <v>635</v>
      </c>
      <c r="D110" s="141" t="s">
        <v>518</v>
      </c>
      <c r="E110" s="140"/>
      <c r="F110" s="141" t="s">
        <v>243</v>
      </c>
      <c r="G110" s="141" t="s">
        <v>221</v>
      </c>
      <c r="H110" s="141" t="s">
        <v>237</v>
      </c>
      <c r="I110" s="141" t="s">
        <v>516</v>
      </c>
      <c r="J110" s="141" t="s">
        <v>225</v>
      </c>
      <c r="K110" s="141"/>
    </row>
    <row r="111" customFormat="false" ht="15" hidden="false" customHeight="true" outlineLevel="0" collapsed="false">
      <c r="A111" s="140" t="s">
        <v>620</v>
      </c>
      <c r="B111" s="141" t="n">
        <v>16</v>
      </c>
      <c r="C111" s="141" t="s">
        <v>636</v>
      </c>
      <c r="D111" s="141" t="s">
        <v>521</v>
      </c>
      <c r="E111" s="140"/>
      <c r="F111" s="141" t="s">
        <v>243</v>
      </c>
      <c r="G111" s="141" t="s">
        <v>524</v>
      </c>
      <c r="H111" s="141" t="s">
        <v>519</v>
      </c>
      <c r="I111" s="141" t="s">
        <v>212</v>
      </c>
      <c r="J111" s="141" t="s">
        <v>201</v>
      </c>
      <c r="K111" s="141"/>
    </row>
    <row r="112" customFormat="false" ht="15" hidden="false" customHeight="true" outlineLevel="0" collapsed="false">
      <c r="A112" s="140" t="s">
        <v>620</v>
      </c>
      <c r="B112" s="141" t="n">
        <v>17</v>
      </c>
      <c r="C112" s="141" t="s">
        <v>637</v>
      </c>
      <c r="D112" s="141" t="s">
        <v>523</v>
      </c>
      <c r="E112" s="140"/>
      <c r="F112" s="141" t="s">
        <v>237</v>
      </c>
      <c r="G112" s="141" t="s">
        <v>231</v>
      </c>
      <c r="H112" s="141" t="s">
        <v>516</v>
      </c>
      <c r="I112" s="141" t="s">
        <v>217</v>
      </c>
      <c r="J112" s="141" t="s">
        <v>194</v>
      </c>
      <c r="K112" s="141"/>
    </row>
    <row r="113" customFormat="false" ht="15" hidden="false" customHeight="true" outlineLevel="0" collapsed="false">
      <c r="A113" s="140" t="s">
        <v>620</v>
      </c>
      <c r="B113" s="141" t="n">
        <v>18</v>
      </c>
      <c r="C113" s="141" t="s">
        <v>638</v>
      </c>
      <c r="D113" s="141" t="s">
        <v>526</v>
      </c>
      <c r="E113" s="140"/>
      <c r="F113" s="141" t="s">
        <v>519</v>
      </c>
      <c r="G113" s="141" t="s">
        <v>535</v>
      </c>
      <c r="H113" s="141" t="s">
        <v>229</v>
      </c>
      <c r="I113" s="141" t="s">
        <v>221</v>
      </c>
      <c r="J113" s="141" t="s">
        <v>579</v>
      </c>
      <c r="K113" s="141"/>
    </row>
    <row r="114" customFormat="false" ht="15" hidden="false" customHeight="true" outlineLevel="0" collapsed="false">
      <c r="A114" s="142" t="s">
        <v>620</v>
      </c>
      <c r="B114" s="143" t="n">
        <v>19</v>
      </c>
      <c r="C114" s="143" t="s">
        <v>639</v>
      </c>
      <c r="D114" s="143" t="s">
        <v>529</v>
      </c>
      <c r="E114" s="142"/>
      <c r="F114" s="143" t="s">
        <v>519</v>
      </c>
      <c r="G114" s="143" t="s">
        <v>209</v>
      </c>
      <c r="H114" s="143" t="s">
        <v>237</v>
      </c>
      <c r="I114" s="143" t="s">
        <v>225</v>
      </c>
      <c r="J114" s="143" t="s">
        <v>196</v>
      </c>
      <c r="K114" s="143"/>
    </row>
    <row r="115" customFormat="false" ht="15" hidden="false" customHeight="true" outlineLevel="0" collapsed="false">
      <c r="A115" s="142" t="s">
        <v>620</v>
      </c>
      <c r="B115" s="143" t="n">
        <v>20</v>
      </c>
      <c r="C115" s="143" t="s">
        <v>640</v>
      </c>
      <c r="D115" s="143" t="s">
        <v>531</v>
      </c>
      <c r="E115" s="142"/>
      <c r="F115" s="143" t="s">
        <v>519</v>
      </c>
      <c r="G115" s="143" t="s">
        <v>535</v>
      </c>
      <c r="H115" s="143" t="s">
        <v>229</v>
      </c>
      <c r="I115" s="143" t="s">
        <v>221</v>
      </c>
      <c r="J115" s="143" t="s">
        <v>579</v>
      </c>
      <c r="K115" s="143"/>
    </row>
    <row r="116" customFormat="false" ht="15" hidden="false" customHeight="true" outlineLevel="0" collapsed="false">
      <c r="A116" s="140" t="s">
        <v>620</v>
      </c>
      <c r="B116" s="141" t="n">
        <v>21</v>
      </c>
      <c r="C116" s="141" t="s">
        <v>641</v>
      </c>
      <c r="D116" s="141" t="s">
        <v>515</v>
      </c>
      <c r="E116" s="140"/>
      <c r="F116" s="141" t="s">
        <v>243</v>
      </c>
      <c r="G116" s="141" t="s">
        <v>231</v>
      </c>
      <c r="H116" s="141" t="s">
        <v>233</v>
      </c>
      <c r="I116" s="141" t="s">
        <v>217</v>
      </c>
      <c r="J116" s="141" t="s">
        <v>203</v>
      </c>
      <c r="K116" s="141"/>
    </row>
    <row r="117" customFormat="false" ht="15" hidden="false" customHeight="true" outlineLevel="0" collapsed="false">
      <c r="A117" s="140" t="s">
        <v>620</v>
      </c>
      <c r="B117" s="141" t="n">
        <v>22</v>
      </c>
      <c r="C117" s="141" t="s">
        <v>642</v>
      </c>
      <c r="D117" s="141" t="s">
        <v>518</v>
      </c>
      <c r="E117" s="140"/>
      <c r="F117" s="141" t="s">
        <v>535</v>
      </c>
      <c r="G117" s="141" t="s">
        <v>209</v>
      </c>
      <c r="H117" s="141" t="s">
        <v>237</v>
      </c>
      <c r="I117" s="141" t="s">
        <v>229</v>
      </c>
      <c r="J117" s="141" t="s">
        <v>191</v>
      </c>
      <c r="K117" s="141"/>
    </row>
    <row r="118" customFormat="false" ht="15" hidden="false" customHeight="true" outlineLevel="0" collapsed="false">
      <c r="A118" s="140" t="s">
        <v>620</v>
      </c>
      <c r="B118" s="141" t="n">
        <v>23</v>
      </c>
      <c r="C118" s="141" t="s">
        <v>643</v>
      </c>
      <c r="D118" s="141" t="s">
        <v>521</v>
      </c>
      <c r="E118" s="140"/>
      <c r="F118" s="141" t="s">
        <v>535</v>
      </c>
      <c r="G118" s="141" t="s">
        <v>527</v>
      </c>
      <c r="H118" s="141" t="s">
        <v>243</v>
      </c>
      <c r="I118" s="141" t="s">
        <v>516</v>
      </c>
      <c r="J118" s="141" t="s">
        <v>196</v>
      </c>
      <c r="K118" s="141"/>
    </row>
    <row r="119" customFormat="false" ht="15" hidden="false" customHeight="true" outlineLevel="0" collapsed="false">
      <c r="A119" s="140" t="s">
        <v>620</v>
      </c>
      <c r="B119" s="141" t="n">
        <v>24</v>
      </c>
      <c r="C119" s="141" t="s">
        <v>644</v>
      </c>
      <c r="D119" s="141" t="s">
        <v>523</v>
      </c>
      <c r="E119" s="140"/>
      <c r="F119" s="141" t="s">
        <v>237</v>
      </c>
      <c r="G119" s="141" t="s">
        <v>231</v>
      </c>
      <c r="H119" s="141" t="s">
        <v>233</v>
      </c>
      <c r="I119" s="141" t="s">
        <v>524</v>
      </c>
      <c r="J119" s="141" t="s">
        <v>203</v>
      </c>
      <c r="K119" s="141"/>
    </row>
    <row r="120" customFormat="false" ht="15" hidden="false" customHeight="true" outlineLevel="0" collapsed="false">
      <c r="A120" s="140" t="s">
        <v>620</v>
      </c>
      <c r="B120" s="141" t="n">
        <v>25</v>
      </c>
      <c r="C120" s="141" t="s">
        <v>645</v>
      </c>
      <c r="D120" s="141" t="s">
        <v>526</v>
      </c>
      <c r="E120" s="140"/>
      <c r="F120" s="141" t="s">
        <v>237</v>
      </c>
      <c r="G120" s="141" t="s">
        <v>219</v>
      </c>
      <c r="H120" s="141" t="s">
        <v>519</v>
      </c>
      <c r="I120" s="141" t="s">
        <v>205</v>
      </c>
      <c r="J120" s="141" t="s">
        <v>201</v>
      </c>
      <c r="K120" s="141"/>
    </row>
    <row r="121" customFormat="false" ht="15" hidden="false" customHeight="true" outlineLevel="0" collapsed="false">
      <c r="A121" s="142" t="s">
        <v>620</v>
      </c>
      <c r="B121" s="143" t="n">
        <v>26</v>
      </c>
      <c r="C121" s="143" t="s">
        <v>646</v>
      </c>
      <c r="D121" s="143" t="s">
        <v>529</v>
      </c>
      <c r="E121" s="142"/>
      <c r="F121" s="143" t="s">
        <v>243</v>
      </c>
      <c r="G121" s="143" t="s">
        <v>231</v>
      </c>
      <c r="H121" s="143" t="s">
        <v>516</v>
      </c>
      <c r="I121" s="143" t="s">
        <v>212</v>
      </c>
      <c r="J121" s="143" t="s">
        <v>225</v>
      </c>
      <c r="K121" s="143"/>
    </row>
    <row r="122" customFormat="false" ht="15" hidden="false" customHeight="true" outlineLevel="0" collapsed="false">
      <c r="A122" s="142" t="s">
        <v>620</v>
      </c>
      <c r="B122" s="143" t="n">
        <v>27</v>
      </c>
      <c r="C122" s="143" t="s">
        <v>647</v>
      </c>
      <c r="D122" s="143" t="s">
        <v>531</v>
      </c>
      <c r="E122" s="142"/>
      <c r="F122" s="143" t="s">
        <v>243</v>
      </c>
      <c r="G122" s="143" t="s">
        <v>219</v>
      </c>
      <c r="H122" s="143" t="s">
        <v>519</v>
      </c>
      <c r="I122" s="143" t="s">
        <v>205</v>
      </c>
      <c r="J122" s="143" t="s">
        <v>201</v>
      </c>
      <c r="K122" s="143"/>
    </row>
    <row r="123" customFormat="false" ht="15" hidden="false" customHeight="true" outlineLevel="0" collapsed="false">
      <c r="A123" s="140" t="s">
        <v>620</v>
      </c>
      <c r="B123" s="141" t="n">
        <v>28</v>
      </c>
      <c r="C123" s="141" t="s">
        <v>648</v>
      </c>
      <c r="D123" s="141" t="s">
        <v>515</v>
      </c>
      <c r="E123" s="140"/>
      <c r="F123" s="141" t="s">
        <v>237</v>
      </c>
      <c r="G123" s="141" t="s">
        <v>527</v>
      </c>
      <c r="H123" s="141" t="s">
        <v>229</v>
      </c>
      <c r="I123" s="141" t="s">
        <v>524</v>
      </c>
      <c r="J123" s="141" t="s">
        <v>221</v>
      </c>
      <c r="K123" s="141"/>
    </row>
    <row r="124" customFormat="false" ht="15" hidden="false" customHeight="true" outlineLevel="0" collapsed="false">
      <c r="A124" s="140" t="s">
        <v>620</v>
      </c>
      <c r="B124" s="141" t="n">
        <v>29</v>
      </c>
      <c r="C124" s="141" t="s">
        <v>649</v>
      </c>
      <c r="D124" s="141" t="s">
        <v>518</v>
      </c>
      <c r="E124" s="140"/>
      <c r="F124" s="141" t="s">
        <v>237</v>
      </c>
      <c r="G124" s="141" t="s">
        <v>209</v>
      </c>
      <c r="H124" s="141" t="s">
        <v>516</v>
      </c>
      <c r="I124" s="141" t="s">
        <v>225</v>
      </c>
      <c r="J124" s="141" t="s">
        <v>207</v>
      </c>
      <c r="K124" s="141"/>
    </row>
    <row r="125" customFormat="false" ht="15" hidden="false" customHeight="true" outlineLevel="0" collapsed="false">
      <c r="A125" s="140" t="s">
        <v>620</v>
      </c>
      <c r="B125" s="141" t="n">
        <v>30</v>
      </c>
      <c r="C125" s="141" t="s">
        <v>650</v>
      </c>
      <c r="D125" s="141" t="s">
        <v>521</v>
      </c>
      <c r="E125" s="140"/>
      <c r="F125" s="141" t="s">
        <v>237</v>
      </c>
      <c r="G125" s="141" t="s">
        <v>231</v>
      </c>
      <c r="H125" s="141" t="s">
        <v>243</v>
      </c>
      <c r="I125" s="141" t="s">
        <v>527</v>
      </c>
      <c r="J125" s="141" t="s">
        <v>579</v>
      </c>
      <c r="K125" s="141"/>
    </row>
    <row r="504" customFormat="false" ht="15" hidden="false" customHeight="true" outlineLevel="0" collapsed="false">
      <c r="A504" s="131" t="s">
        <v>651</v>
      </c>
      <c r="B504" s="131"/>
      <c r="C504" s="131"/>
      <c r="D504" s="131"/>
      <c r="E504" s="131"/>
      <c r="F504" s="131"/>
      <c r="G504" s="131"/>
      <c r="H504" s="131"/>
      <c r="I504" s="131"/>
      <c r="J504" s="131"/>
      <c r="K504" s="131"/>
      <c r="L504" s="131"/>
    </row>
    <row r="505" customFormat="false" ht="15" hidden="false" customHeight="true" outlineLevel="0" collapsed="false">
      <c r="A505" s="131" t="s">
        <v>440</v>
      </c>
      <c r="B505" s="131" t="s">
        <v>176</v>
      </c>
      <c r="C505" s="131" t="s">
        <v>441</v>
      </c>
      <c r="D505" s="131" t="s">
        <v>652</v>
      </c>
      <c r="E505" s="131" t="s">
        <v>653</v>
      </c>
      <c r="F505" s="131" t="s">
        <v>654</v>
      </c>
      <c r="G505" s="131" t="s">
        <v>655</v>
      </c>
      <c r="H505" s="131" t="s">
        <v>656</v>
      </c>
      <c r="I505" s="131" t="s">
        <v>657</v>
      </c>
      <c r="J505" s="131" t="s">
        <v>658</v>
      </c>
      <c r="K505" s="131" t="s">
        <v>659</v>
      </c>
    </row>
    <row r="506" customFormat="false" ht="15" hidden="false" customHeight="true" outlineLevel="0" collapsed="false">
      <c r="A506" s="133" t="s">
        <v>191</v>
      </c>
      <c r="B506" s="134" t="s">
        <v>192</v>
      </c>
      <c r="C506" s="134" t="s">
        <v>445</v>
      </c>
      <c r="D506" s="134" t="n">
        <f aca="false">SUMPRODUCT(($D$5:$D$500="Viernes")*(($F$5:$F$500="Rosario")+($G$5:$G$500="Rosario")+($H$5:$H$500="Rosario")+($I$5:$I$500="Rosario")+($J$5:$J$500="Rosario")+($K$5:$K$500="Rosario")))</f>
        <v>0</v>
      </c>
      <c r="E506" s="134" t="n">
        <f aca="false">SUMPRODUCT(($D$5:$D$500="Sábado")*(($F$5:$F$500="Rosario")+($G$5:$G$500="Rosario")+($H$5:$H$500="Rosario")+($I$5:$I$500="Rosario")+($J$5:$J$500="Rosario")+($K$5:$K$500="Rosario")))</f>
        <v>1</v>
      </c>
      <c r="F506" s="134" t="n">
        <f aca="false">SUMPRODUCT(($D$5:$D$500="Domingo")*(($F$5:$F$500="Rosario")+($G$5:$G$500="Rosario")+($H$5:$H$500="Rosario")+($I$5:$I$500="Rosario")+($J$5:$J$500="Rosario")+($K$5:$K$500="Rosario")))</f>
        <v>0</v>
      </c>
      <c r="G506" s="134" t="n">
        <f aca="false">COUNTIF($F$5:$F$500,"Rosario")</f>
        <v>0</v>
      </c>
      <c r="H506" s="134" t="n">
        <f aca="false">SUMPRODUCT(($F$5:$F$500="Rosario")*(($D$5:$D$500="Viernes")+($D$5:$D$500="Sábado")+($D$5:$D$500="Domingo")))</f>
        <v>0</v>
      </c>
      <c r="I506" s="134" t="n">
        <f aca="false">G506-H506</f>
        <v>0</v>
      </c>
      <c r="J506" s="134" t="n">
        <f aca="false">SUMPRODUCT(($E$5:$E$500&lt;&gt;"")*(($F$5:$F$500="Rosario")+($G$5:$G$500="Rosario")+($H$5:$H$500="Rosario")+($I$5:$I$500="Rosario")+($J$5:$J$500="Rosario")+($K$5:$K$500="Rosario")))</f>
        <v>0</v>
      </c>
      <c r="K506" s="134" t="n">
        <f aca="false">COUNTIF($F$5:$F$500,"Rosario")+COUNTIF($G$5:$G$500,"Rosario")+COUNTIF($H$5:$H$500,"Rosario")+COUNTIF($I$5:$I$500,"Rosario")+COUNTIF($J$5:$J$500,"Rosario")+COUNTIF($K$5:$K$500,"Rosario")</f>
        <v>3</v>
      </c>
    </row>
    <row r="507" customFormat="false" ht="15" hidden="false" customHeight="true" outlineLevel="0" collapsed="false">
      <c r="A507" s="133" t="s">
        <v>194</v>
      </c>
      <c r="B507" s="134" t="s">
        <v>195</v>
      </c>
      <c r="C507" s="134" t="s">
        <v>445</v>
      </c>
      <c r="D507" s="134" t="n">
        <f aca="false">SUMPRODUCT(($D$5:$D$500="Viernes")*(($F$5:$F$500="Cristina")+($G$5:$G$500="Cristina")+($H$5:$H$500="Cristina")+($I$5:$I$500="Cristina")+($J$5:$J$500="Cristina")+($K$5:$K$500="Cristina")))</f>
        <v>1</v>
      </c>
      <c r="E507" s="134" t="n">
        <f aca="false">SUMPRODUCT(($D$5:$D$500="Sábado")*(($F$5:$F$500="Cristina")+($G$5:$G$500="Cristina")+($H$5:$H$500="Cristina")+($I$5:$I$500="Cristina")+($J$5:$J$500="Cristina")+($K$5:$K$500="Cristina")))</f>
        <v>0</v>
      </c>
      <c r="F507" s="134" t="n">
        <f aca="false">SUMPRODUCT(($D$5:$D$500="Domingo")*(($F$5:$F$500="Cristina")+($G$5:$G$500="Cristina")+($H$5:$H$500="Cristina")+($I$5:$I$500="Cristina")+($J$5:$J$500="Cristina")+($K$5:$K$500="Cristina")))</f>
        <v>1</v>
      </c>
      <c r="G507" s="134" t="n">
        <f aca="false">COUNTIF($F$5:$F$500,"Cristina")</f>
        <v>0</v>
      </c>
      <c r="H507" s="134" t="n">
        <f aca="false">SUMPRODUCT(($F$5:$F$500="Cristina")*(($D$5:$D$500="Viernes")+($D$5:$D$500="Sábado")+($D$5:$D$500="Domingo")))</f>
        <v>0</v>
      </c>
      <c r="I507" s="134" t="n">
        <f aca="false">G507-H507</f>
        <v>0</v>
      </c>
      <c r="J507" s="134" t="n">
        <f aca="false">SUMPRODUCT(($E$5:$E$500&lt;&gt;"")*(($F$5:$F$500="Cristina")+($G$5:$G$500="Cristina")+($H$5:$H$500="Cristina")+($I$5:$I$500="Cristina")+($J$5:$J$500="Cristina")+($K$5:$K$500="Cristina")))</f>
        <v>0</v>
      </c>
      <c r="K507" s="134" t="n">
        <f aca="false">COUNTIF($F$5:$F$500,"Cristina")+COUNTIF($G$5:$G$500,"Cristina")+COUNTIF($H$5:$H$500,"Cristina")+COUNTIF($I$5:$I$500,"Cristina")+COUNTIF($J$5:$J$500,"Cristina")+COUNTIF($K$5:$K$500,"Cristina")</f>
        <v>3</v>
      </c>
    </row>
    <row r="508" customFormat="false" ht="15" hidden="false" customHeight="true" outlineLevel="0" collapsed="false">
      <c r="A508" s="133" t="s">
        <v>196</v>
      </c>
      <c r="B508" s="134" t="s">
        <v>197</v>
      </c>
      <c r="C508" s="134" t="s">
        <v>445</v>
      </c>
      <c r="D508" s="134" t="n">
        <f aca="false">SUMPRODUCT(($D$5:$D$500="Viernes")*(($F$5:$F$500="Miriam")+($G$5:$G$500="Miriam")+($H$5:$H$500="Miriam")+($I$5:$I$500="Miriam")+($J$5:$J$500="Miriam")+($K$5:$K$500="Miriam")))</f>
        <v>0</v>
      </c>
      <c r="E508" s="134" t="n">
        <f aca="false">SUMPRODUCT(($D$5:$D$500="Sábado")*(($F$5:$F$500="Miriam")+($G$5:$G$500="Miriam")+($H$5:$H$500="Miriam")+($I$5:$I$500="Miriam")+($J$5:$J$500="Miriam")+($K$5:$K$500="Miriam")))</f>
        <v>1</v>
      </c>
      <c r="F508" s="134" t="n">
        <f aca="false">SUMPRODUCT(($D$5:$D$500="Domingo")*(($F$5:$F$500="Miriam")+($G$5:$G$500="Miriam")+($H$5:$H$500="Miriam")+($I$5:$I$500="Miriam")+($J$5:$J$500="Miriam")+($K$5:$K$500="Miriam")))</f>
        <v>0</v>
      </c>
      <c r="G508" s="134" t="n">
        <f aca="false">COUNTIF($F$5:$F$500,"Miriam")</f>
        <v>0</v>
      </c>
      <c r="H508" s="134" t="n">
        <f aca="false">SUMPRODUCT(($F$5:$F$500="Miriam")*(($D$5:$D$500="Viernes")+($D$5:$D$500="Sábado")+($D$5:$D$500="Domingo")))</f>
        <v>0</v>
      </c>
      <c r="I508" s="134" t="n">
        <f aca="false">G508-H508</f>
        <v>0</v>
      </c>
      <c r="J508" s="134" t="n">
        <f aca="false">SUMPRODUCT(($E$5:$E$500&lt;&gt;"")*(($F$5:$F$500="Miriam")+($G$5:$G$500="Miriam")+($H$5:$H$500="Miriam")+($I$5:$I$500="Miriam")+($J$5:$J$500="Miriam")+($K$5:$K$500="Miriam")))</f>
        <v>0</v>
      </c>
      <c r="K508" s="134" t="n">
        <f aca="false">COUNTIF($F$5:$F$500,"Miriam")+COUNTIF($G$5:$G$500,"Miriam")+COUNTIF($H$5:$H$500,"Miriam")+COUNTIF($I$5:$I$500,"Miriam")+COUNTIF($J$5:$J$500,"Miriam")+COUNTIF($K$5:$K$500,"Miriam")</f>
        <v>4</v>
      </c>
    </row>
    <row r="509" customFormat="false" ht="15" hidden="false" customHeight="true" outlineLevel="0" collapsed="false">
      <c r="A509" s="133" t="s">
        <v>199</v>
      </c>
      <c r="B509" s="134" t="s">
        <v>200</v>
      </c>
      <c r="C509" s="134" t="s">
        <v>445</v>
      </c>
      <c r="D509" s="134" t="n">
        <f aca="false">SUMPRODUCT(($D$5:$D$500="Viernes")*(($F$5:$F$500="David")+($G$5:$G$500="David")+($H$5:$H$500="David")+($I$5:$I$500="David")+($J$5:$J$500="David")+($K$5:$K$500="David")))</f>
        <v>0</v>
      </c>
      <c r="E509" s="134" t="n">
        <f aca="false">SUMPRODUCT(($D$5:$D$500="Sábado")*(($F$5:$F$500="David")+($G$5:$G$500="David")+($H$5:$H$500="David")+($I$5:$I$500="David")+($J$5:$J$500="David")+($K$5:$K$500="David")))</f>
        <v>0</v>
      </c>
      <c r="F509" s="134" t="n">
        <f aca="false">SUMPRODUCT(($D$5:$D$500="Domingo")*(($F$5:$F$500="David")+($G$5:$G$500="David")+($H$5:$H$500="David")+($I$5:$I$500="David")+($J$5:$J$500="David")+($K$5:$K$500="David")))</f>
        <v>0</v>
      </c>
      <c r="G509" s="134" t="n">
        <f aca="false">COUNTIF($F$5:$F$500,"David")</f>
        <v>0</v>
      </c>
      <c r="H509" s="134" t="n">
        <f aca="false">SUMPRODUCT(($F$5:$F$500="David")*(($D$5:$D$500="Viernes")+($D$5:$D$500="Sábado")+($D$5:$D$500="Domingo")))</f>
        <v>0</v>
      </c>
      <c r="I509" s="134" t="n">
        <f aca="false">G509-H509</f>
        <v>0</v>
      </c>
      <c r="J509" s="134" t="n">
        <f aca="false">SUMPRODUCT(($E$5:$E$500&lt;&gt;"")*(($F$5:$F$500="David")+($G$5:$G$500="David")+($H$5:$H$500="David")+($I$5:$I$500="David")+($J$5:$J$500="David")+($K$5:$K$500="David")))</f>
        <v>0</v>
      </c>
      <c r="K509" s="134" t="n">
        <f aca="false">COUNTIF($F$5:$F$500,"David")+COUNTIF($G$5:$G$500,"David")+COUNTIF($H$5:$H$500,"David")+COUNTIF($I$5:$I$500,"David")+COUNTIF($J$5:$J$500,"David")+COUNTIF($K$5:$K$500,"David")</f>
        <v>0</v>
      </c>
    </row>
    <row r="510" customFormat="false" ht="15" hidden="false" customHeight="true" outlineLevel="0" collapsed="false">
      <c r="A510" s="133" t="s">
        <v>201</v>
      </c>
      <c r="B510" s="134" t="s">
        <v>202</v>
      </c>
      <c r="C510" s="134" t="s">
        <v>445</v>
      </c>
      <c r="D510" s="134" t="n">
        <f aca="false">SUMPRODUCT(($D$5:$D$500="Viernes")*(($F$5:$F$500="Mercedes")+($G$5:$G$500="Mercedes")+($H$5:$H$500="Mercedes")+($I$5:$I$500="Mercedes")+($J$5:$J$500="Mercedes")+($K$5:$K$500="Mercedes")))</f>
        <v>1</v>
      </c>
      <c r="E510" s="134" t="n">
        <f aca="false">SUMPRODUCT(($D$5:$D$500="Sábado")*(($F$5:$F$500="Mercedes")+($G$5:$G$500="Mercedes")+($H$5:$H$500="Mercedes")+($I$5:$I$500="Mercedes")+($J$5:$J$500="Mercedes")+($K$5:$K$500="Mercedes")))</f>
        <v>0</v>
      </c>
      <c r="F510" s="134" t="n">
        <f aca="false">SUMPRODUCT(($D$5:$D$500="Domingo")*(($F$5:$F$500="Mercedes")+($G$5:$G$500="Mercedes")+($H$5:$H$500="Mercedes")+($I$5:$I$500="Mercedes")+($J$5:$J$500="Mercedes")+($K$5:$K$500="Mercedes")))</f>
        <v>1</v>
      </c>
      <c r="G510" s="134" t="n">
        <f aca="false">COUNTIF($F$5:$F$500,"Mercedes")</f>
        <v>0</v>
      </c>
      <c r="H510" s="134" t="n">
        <f aca="false">SUMPRODUCT(($F$5:$F$500="Mercedes")*(($D$5:$D$500="Viernes")+($D$5:$D$500="Sábado")+($D$5:$D$500="Domingo")))</f>
        <v>0</v>
      </c>
      <c r="I510" s="134" t="n">
        <f aca="false">G510-H510</f>
        <v>0</v>
      </c>
      <c r="J510" s="134" t="n">
        <f aca="false">SUMPRODUCT(($E$5:$E$500&lt;&gt;"")*(($F$5:$F$500="Mercedes")+($G$5:$G$500="Mercedes")+($H$5:$H$500="Mercedes")+($I$5:$I$500="Mercedes")+($J$5:$J$500="Mercedes")+($K$5:$K$500="Mercedes")))</f>
        <v>0</v>
      </c>
      <c r="K510" s="134" t="n">
        <f aca="false">COUNTIF($F$5:$F$500,"Mercedes")+COUNTIF($G$5:$G$500,"Mercedes")+COUNTIF($H$5:$H$500,"Mercedes")+COUNTIF($I$5:$I$500,"Mercedes")+COUNTIF($J$5:$J$500,"Mercedes")+COUNTIF($K$5:$K$500,"Mercedes")</f>
        <v>3</v>
      </c>
    </row>
    <row r="511" customFormat="false" ht="15" hidden="false" customHeight="true" outlineLevel="0" collapsed="false">
      <c r="A511" s="133" t="s">
        <v>203</v>
      </c>
      <c r="B511" s="134" t="s">
        <v>204</v>
      </c>
      <c r="C511" s="134" t="s">
        <v>445</v>
      </c>
      <c r="D511" s="134" t="n">
        <f aca="false">SUMPRODUCT(($D$5:$D$500="Viernes")*(($F$5:$F$500="Arturo")+($G$5:$G$500="Arturo")+($H$5:$H$500="Arturo")+($I$5:$I$500="Arturo")+($J$5:$J$500="Arturo")+($K$5:$K$500="Arturo")))</f>
        <v>0</v>
      </c>
      <c r="E511" s="134" t="n">
        <f aca="false">SUMPRODUCT(($D$5:$D$500="Sábado")*(($F$5:$F$500="Arturo")+($G$5:$G$500="Arturo")+($H$5:$H$500="Arturo")+($I$5:$I$500="Arturo")+($J$5:$J$500="Arturo")+($K$5:$K$500="Arturo")))</f>
        <v>1</v>
      </c>
      <c r="F511" s="134" t="n">
        <f aca="false">SUMPRODUCT(($D$5:$D$500="Domingo")*(($F$5:$F$500="Arturo")+($G$5:$G$500="Arturo")+($H$5:$H$500="Arturo")+($I$5:$I$500="Arturo")+($J$5:$J$500="Arturo")+($K$5:$K$500="Arturo")))</f>
        <v>0</v>
      </c>
      <c r="G511" s="134" t="n">
        <f aca="false">COUNTIF($F$5:$F$500,"Arturo")</f>
        <v>0</v>
      </c>
      <c r="H511" s="134" t="n">
        <f aca="false">SUMPRODUCT(($F$5:$F$500="Arturo")*(($D$5:$D$500="Viernes")+($D$5:$D$500="Sábado")+($D$5:$D$500="Domingo")))</f>
        <v>0</v>
      </c>
      <c r="I511" s="134" t="n">
        <f aca="false">G511-H511</f>
        <v>0</v>
      </c>
      <c r="J511" s="134" t="n">
        <f aca="false">SUMPRODUCT(($E$5:$E$500&lt;&gt;"")*(($F$5:$F$500="Arturo")+($G$5:$G$500="Arturo")+($H$5:$H$500="Arturo")+($I$5:$I$500="Arturo")+($J$5:$J$500="Arturo")+($K$5:$K$500="Arturo")))</f>
        <v>0</v>
      </c>
      <c r="K511" s="134" t="n">
        <f aca="false">COUNTIF($F$5:$F$500,"Arturo")+COUNTIF($G$5:$G$500,"Arturo")+COUNTIF($H$5:$H$500,"Arturo")+COUNTIF($I$5:$I$500,"Arturo")+COUNTIF($J$5:$J$500,"Arturo")+COUNTIF($K$5:$K$500,"Arturo")</f>
        <v>3</v>
      </c>
    </row>
    <row r="512" customFormat="false" ht="15" hidden="false" customHeight="true" outlineLevel="0" collapsed="false">
      <c r="A512" s="133" t="s">
        <v>205</v>
      </c>
      <c r="B512" s="134" t="s">
        <v>206</v>
      </c>
      <c r="C512" s="134" t="s">
        <v>445</v>
      </c>
      <c r="D512" s="134" t="n">
        <f aca="false">SUMPRODUCT(($D$5:$D$500="Viernes")*(($F$5:$F$500="Aitor")+($G$5:$G$500="Aitor")+($H$5:$H$500="Aitor")+($I$5:$I$500="Aitor")+($J$5:$J$500="Aitor")+($K$5:$K$500="Aitor")))</f>
        <v>1</v>
      </c>
      <c r="E512" s="134" t="n">
        <f aca="false">SUMPRODUCT(($D$5:$D$500="Sábado")*(($F$5:$F$500="Aitor")+($G$5:$G$500="Aitor")+($H$5:$H$500="Aitor")+($I$5:$I$500="Aitor")+($J$5:$J$500="Aitor")+($K$5:$K$500="Aitor")))</f>
        <v>0</v>
      </c>
      <c r="F512" s="134" t="n">
        <f aca="false">SUMPRODUCT(($D$5:$D$500="Domingo")*(($F$5:$F$500="Aitor")+($G$5:$G$500="Aitor")+($H$5:$H$500="Aitor")+($I$5:$I$500="Aitor")+($J$5:$J$500="Aitor")+($K$5:$K$500="Aitor")))</f>
        <v>1</v>
      </c>
      <c r="G512" s="134" t="n">
        <f aca="false">COUNTIF($F$5:$F$500,"Aitor")</f>
        <v>0</v>
      </c>
      <c r="H512" s="134" t="n">
        <f aca="false">SUMPRODUCT(($F$5:$F$500="Aitor")*(($D$5:$D$500="Viernes")+($D$5:$D$500="Sábado")+($D$5:$D$500="Domingo")))</f>
        <v>0</v>
      </c>
      <c r="I512" s="134" t="n">
        <f aca="false">G512-H512</f>
        <v>0</v>
      </c>
      <c r="J512" s="134" t="n">
        <f aca="false">SUMPRODUCT(($E$5:$E$500&lt;&gt;"")*(($F$5:$F$500="Aitor")+($G$5:$G$500="Aitor")+($H$5:$H$500="Aitor")+($I$5:$I$500="Aitor")+($J$5:$J$500="Aitor")+($K$5:$K$500="Aitor")))</f>
        <v>0</v>
      </c>
      <c r="K512" s="134" t="n">
        <f aca="false">COUNTIF($F$5:$F$500,"Aitor")+COUNTIF($G$5:$G$500,"Aitor")+COUNTIF($H$5:$H$500,"Aitor")+COUNTIF($I$5:$I$500,"Aitor")+COUNTIF($J$5:$J$500,"Aitor")+COUNTIF($K$5:$K$500,"Aitor")</f>
        <v>3</v>
      </c>
    </row>
    <row r="513" customFormat="false" ht="15" hidden="false" customHeight="true" outlineLevel="0" collapsed="false">
      <c r="A513" s="133" t="s">
        <v>492</v>
      </c>
      <c r="B513" s="134" t="s">
        <v>208</v>
      </c>
      <c r="C513" s="134" t="s">
        <v>445</v>
      </c>
      <c r="D513" s="134" t="n">
        <f aca="false">SUMPRODUCT(($D$5:$D$500="Viernes")*(($F$5:$F$500="Fatima")+($G$5:$G$500="Fatima")+($H$5:$H$500="Fatima")+($I$5:$I$500="Fatima")+($J$5:$J$500="Fatima")+($K$5:$K$500="Fatima")))</f>
        <v>1</v>
      </c>
      <c r="E513" s="134" t="n">
        <f aca="false">SUMPRODUCT(($D$5:$D$500="Sábado")*(($F$5:$F$500="Fatima")+($G$5:$G$500="Fatima")+($H$5:$H$500="Fatima")+($I$5:$I$500="Fatima")+($J$5:$J$500="Fatima")+($K$5:$K$500="Fatima")))</f>
        <v>0</v>
      </c>
      <c r="F513" s="134" t="n">
        <f aca="false">SUMPRODUCT(($D$5:$D$500="Domingo")*(($F$5:$F$500="Fatima")+($G$5:$G$500="Fatima")+($H$5:$H$500="Fatima")+($I$5:$I$500="Fatima")+($J$5:$J$500="Fatima")+($K$5:$K$500="Fatima")))</f>
        <v>1</v>
      </c>
      <c r="G513" s="134" t="n">
        <f aca="false">COUNTIF($F$5:$F$500,"Fatima")</f>
        <v>0</v>
      </c>
      <c r="H513" s="134" t="n">
        <f aca="false">SUMPRODUCT(($F$5:$F$500="Fatima")*(($D$5:$D$500="Viernes")+($D$5:$D$500="Sábado")+($D$5:$D$500="Domingo")))</f>
        <v>0</v>
      </c>
      <c r="I513" s="134" t="n">
        <f aca="false">G513-H513</f>
        <v>0</v>
      </c>
      <c r="J513" s="134" t="n">
        <f aca="false">SUMPRODUCT(($E$5:$E$500&lt;&gt;"")*(($F$5:$F$500="Fatima")+($G$5:$G$500="Fatima")+($H$5:$H$500="Fatima")+($I$5:$I$500="Fatima")+($J$5:$J$500="Fatima")+($K$5:$K$500="Fatima")))</f>
        <v>0</v>
      </c>
      <c r="K513" s="134" t="n">
        <f aca="false">COUNTIF($F$5:$F$500,"Fatima")+COUNTIF($G$5:$G$500,"Fatima")+COUNTIF($H$5:$H$500,"Fatima")+COUNTIF($I$5:$I$500,"Fatima")+COUNTIF($J$5:$J$500,"Fatima")+COUNTIF($K$5:$K$500,"Fatima")</f>
        <v>3</v>
      </c>
    </row>
    <row r="514" customFormat="false" ht="15" hidden="false" customHeight="true" outlineLevel="0" collapsed="false">
      <c r="A514" s="133" t="s">
        <v>209</v>
      </c>
      <c r="B514" s="134" t="s">
        <v>210</v>
      </c>
      <c r="C514" s="134" t="s">
        <v>447</v>
      </c>
      <c r="D514" s="134" t="n">
        <f aca="false">SUMPRODUCT(($D$5:$D$500="Viernes")*(($F$5:$F$500="Tania")+($G$5:$G$500="Tania")+($H$5:$H$500="Tania")+($I$5:$I$500="Tania")+($J$5:$J$500="Tania")+($K$5:$K$500="Tania")))</f>
        <v>3</v>
      </c>
      <c r="E514" s="134" t="n">
        <f aca="false">SUMPRODUCT(($D$5:$D$500="Sábado")*(($F$5:$F$500="Tania")+($G$5:$G$500="Tania")+($H$5:$H$500="Tania")+($I$5:$I$500="Tania")+($J$5:$J$500="Tania")+($K$5:$K$500="Tania")))</f>
        <v>3</v>
      </c>
      <c r="F514" s="134" t="n">
        <f aca="false">SUMPRODUCT(($D$5:$D$500="Domingo")*(($F$5:$F$500="Tania")+($G$5:$G$500="Tania")+($H$5:$H$500="Tania")+($I$5:$I$500="Tania")+($J$5:$J$500="Tania")+($K$5:$K$500="Tania")))</f>
        <v>3</v>
      </c>
      <c r="G514" s="134" t="n">
        <f aca="false">COUNTIF($F$5:$F$500,"Tania")</f>
        <v>0</v>
      </c>
      <c r="H514" s="134" t="n">
        <f aca="false">SUMPRODUCT(($F$5:$F$500="Tania")*(($D$5:$D$500="Viernes")+($D$5:$D$500="Sábado")+($D$5:$D$500="Domingo")))</f>
        <v>0</v>
      </c>
      <c r="I514" s="134" t="n">
        <f aca="false">G514-H514</f>
        <v>0</v>
      </c>
      <c r="J514" s="134" t="n">
        <f aca="false">SUMPRODUCT(($E$5:$E$500&lt;&gt;"")*(($F$5:$F$500="Tania")+($G$5:$G$500="Tania")+($H$5:$H$500="Tania")+($I$5:$I$500="Tania")+($J$5:$J$500="Tania")+($K$5:$K$500="Tania")))</f>
        <v>0</v>
      </c>
      <c r="K514" s="134" t="n">
        <f aca="false">COUNTIF($F$5:$F$500,"Tania")+COUNTIF($G$5:$G$500,"Tania")+COUNTIF($H$5:$H$500,"Tania")+COUNTIF($I$5:$I$500,"Tania")+COUNTIF($J$5:$J$500,"Tania")+COUNTIF($K$5:$K$500,"Tania")</f>
        <v>25</v>
      </c>
    </row>
    <row r="515" customFormat="false" ht="15" hidden="false" customHeight="true" outlineLevel="0" collapsed="false">
      <c r="A515" s="133" t="s">
        <v>493</v>
      </c>
      <c r="B515" s="134" t="s">
        <v>213</v>
      </c>
      <c r="C515" s="134" t="s">
        <v>447</v>
      </c>
      <c r="D515" s="134" t="n">
        <f aca="false">SUMPRODUCT(($D$5:$D$500="Viernes")*(($F$5:$F$500="Asis")+($G$5:$G$500="Asis")+($H$5:$H$500="Asis")+($I$5:$I$500="Asis")+($J$5:$J$500="Asis")+($K$5:$K$500="Asis")))</f>
        <v>5</v>
      </c>
      <c r="E515" s="134" t="n">
        <f aca="false">SUMPRODUCT(($D$5:$D$500="Sábado")*(($F$5:$F$500="Asis")+($G$5:$G$500="Asis")+($H$5:$H$500="Asis")+($I$5:$I$500="Asis")+($J$5:$J$500="Asis")+($K$5:$K$500="Asis")))</f>
        <v>4</v>
      </c>
      <c r="F515" s="134" t="n">
        <f aca="false">SUMPRODUCT(($D$5:$D$500="Domingo")*(($F$5:$F$500="Asis")+($G$5:$G$500="Asis")+($H$5:$H$500="Asis")+($I$5:$I$500="Asis")+($J$5:$J$500="Asis")+($K$5:$K$500="Asis")))</f>
        <v>5</v>
      </c>
      <c r="G515" s="134" t="n">
        <f aca="false">COUNTIF($F$5:$F$500,"Asis")</f>
        <v>0</v>
      </c>
      <c r="H515" s="134" t="n">
        <f aca="false">SUMPRODUCT(($F$5:$F$500="Asis")*(($D$5:$D$500="Viernes")+($D$5:$D$500="Sábado")+($D$5:$D$500="Domingo")))</f>
        <v>0</v>
      </c>
      <c r="I515" s="134" t="n">
        <f aca="false">G515-H515</f>
        <v>0</v>
      </c>
      <c r="J515" s="134" t="n">
        <f aca="false">SUMPRODUCT(($E$5:$E$500&lt;&gt;"")*(($F$5:$F$500="Asis")+($G$5:$G$500="Asis")+($H$5:$H$500="Asis")+($I$5:$I$500="Asis")+($J$5:$J$500="Asis")+($K$5:$K$500="Asis")))</f>
        <v>0</v>
      </c>
      <c r="K515" s="134" t="n">
        <f aca="false">COUNTIF($F$5:$F$500,"Asis")+COUNTIF($G$5:$G$500,"Asis")+COUNTIF($H$5:$H$500,"Asis")+COUNTIF($I$5:$I$500,"Asis")+COUNTIF($J$5:$J$500,"Asis")+COUNTIF($K$5:$K$500,"Asis")</f>
        <v>27</v>
      </c>
    </row>
    <row r="516" customFormat="false" ht="15" hidden="false" customHeight="true" outlineLevel="0" collapsed="false">
      <c r="A516" s="133" t="s">
        <v>494</v>
      </c>
      <c r="B516" s="134" t="s">
        <v>216</v>
      </c>
      <c r="C516" s="134" t="s">
        <v>447</v>
      </c>
      <c r="D516" s="134" t="n">
        <f aca="false">SUMPRODUCT(($D$5:$D$500="Viernes")*(($F$5:$F$500="PatriciaR2")+($G$5:$G$500="PatriciaR2")+($H$5:$H$500="PatriciaR2")+($I$5:$I$500="PatriciaR2")+($J$5:$J$500="PatriciaR2")+($K$5:$K$500="PatriciaR2")))</f>
        <v>4</v>
      </c>
      <c r="E516" s="134" t="n">
        <f aca="false">SUMPRODUCT(($D$5:$D$500="Sábado")*(($F$5:$F$500="PatriciaR2")+($G$5:$G$500="PatriciaR2")+($H$5:$H$500="PatriciaR2")+($I$5:$I$500="PatriciaR2")+($J$5:$J$500="PatriciaR2")+($K$5:$K$500="PatriciaR2")))</f>
        <v>3</v>
      </c>
      <c r="F516" s="134" t="n">
        <f aca="false">SUMPRODUCT(($D$5:$D$500="Domingo")*(($F$5:$F$500="PatriciaR2")+($G$5:$G$500="PatriciaR2")+($H$5:$H$500="PatriciaR2")+($I$5:$I$500="PatriciaR2")+($J$5:$J$500="PatriciaR2")+($K$5:$K$500="PatriciaR2")))</f>
        <v>3</v>
      </c>
      <c r="G516" s="134" t="n">
        <f aca="false">COUNTIF($F$5:$F$500,"PatriciaR2")</f>
        <v>0</v>
      </c>
      <c r="H516" s="134" t="n">
        <f aca="false">SUMPRODUCT(($F$5:$F$500="PatriciaR2")*(($D$5:$D$500="Viernes")+($D$5:$D$500="Sábado")+($D$5:$D$500="Domingo")))</f>
        <v>0</v>
      </c>
      <c r="I516" s="134" t="n">
        <f aca="false">G516-H516</f>
        <v>0</v>
      </c>
      <c r="J516" s="134" t="n">
        <f aca="false">SUMPRODUCT(($E$5:$E$500&lt;&gt;"")*(($F$5:$F$500="PatriciaR2")+($G$5:$G$500="PatriciaR2")+($H$5:$H$500="PatriciaR2")+($I$5:$I$500="PatriciaR2")+($J$5:$J$500="PatriciaR2")+($K$5:$K$500="PatriciaR2")))</f>
        <v>0</v>
      </c>
      <c r="K516" s="134" t="n">
        <f aca="false">COUNTIF($F$5:$F$500,"PatriciaR2")+COUNTIF($G$5:$G$500,"PatriciaR2")+COUNTIF($H$5:$H$500,"PatriciaR2")+COUNTIF($I$5:$I$500,"PatriciaR2")+COUNTIF($J$5:$J$500,"PatriciaR2")+COUNTIF($K$5:$K$500,"PatriciaR2")</f>
        <v>26</v>
      </c>
    </row>
    <row r="517" customFormat="false" ht="15" hidden="false" customHeight="true" outlineLevel="0" collapsed="false">
      <c r="A517" s="133" t="s">
        <v>217</v>
      </c>
      <c r="B517" s="134" t="s">
        <v>218</v>
      </c>
      <c r="C517" s="134" t="s">
        <v>447</v>
      </c>
      <c r="D517" s="134" t="n">
        <f aca="false">SUMPRODUCT(($D$5:$D$500="Viernes")*(($F$5:$F$500="Eva")+($G$5:$G$500="Eva")+($H$5:$H$500="Eva")+($I$5:$I$500="Eva")+($J$5:$J$500="Eva")+($K$5:$K$500="Eva")))</f>
        <v>2</v>
      </c>
      <c r="E517" s="134" t="n">
        <f aca="false">SUMPRODUCT(($D$5:$D$500="Sábado")*(($F$5:$F$500="Eva")+($G$5:$G$500="Eva")+($H$5:$H$500="Eva")+($I$5:$I$500="Eva")+($J$5:$J$500="Eva")+($K$5:$K$500="Eva")))</f>
        <v>5</v>
      </c>
      <c r="F517" s="134" t="n">
        <f aca="false">SUMPRODUCT(($D$5:$D$500="Domingo")*(($F$5:$F$500="Eva")+($G$5:$G$500="Eva")+($H$5:$H$500="Eva")+($I$5:$I$500="Eva")+($J$5:$J$500="Eva")+($K$5:$K$500="Eva")))</f>
        <v>3</v>
      </c>
      <c r="G517" s="134" t="n">
        <f aca="false">COUNTIF($F$5:$F$500,"Eva")</f>
        <v>0</v>
      </c>
      <c r="H517" s="134" t="n">
        <f aca="false">SUMPRODUCT(($F$5:$F$500="Eva")*(($D$5:$D$500="Viernes")+($D$5:$D$500="Sábado")+($D$5:$D$500="Domingo")))</f>
        <v>0</v>
      </c>
      <c r="I517" s="134" t="n">
        <f aca="false">G517-H517</f>
        <v>0</v>
      </c>
      <c r="J517" s="134" t="n">
        <f aca="false">SUMPRODUCT(($E$5:$E$500&lt;&gt;"")*(($F$5:$F$500="Eva")+($G$5:$G$500="Eva")+($H$5:$H$500="Eva")+($I$5:$I$500="Eva")+($J$5:$J$500="Eva")+($K$5:$K$500="Eva")))</f>
        <v>0</v>
      </c>
      <c r="K517" s="134" t="n">
        <f aca="false">COUNTIF($F$5:$F$500,"Eva")+COUNTIF($G$5:$G$500,"Eva")+COUNTIF($H$5:$H$500,"Eva")+COUNTIF($I$5:$I$500,"Eva")+COUNTIF($J$5:$J$500,"Eva")+COUNTIF($K$5:$K$500,"Eva")</f>
        <v>27</v>
      </c>
    </row>
    <row r="518" customFormat="false" ht="15" hidden="false" customHeight="true" outlineLevel="0" collapsed="false">
      <c r="A518" s="133" t="s">
        <v>219</v>
      </c>
      <c r="B518" s="134" t="s">
        <v>220</v>
      </c>
      <c r="C518" s="134" t="s">
        <v>447</v>
      </c>
      <c r="D518" s="134" t="n">
        <f aca="false">SUMPRODUCT(($D$5:$D$500="Viernes")*(($F$5:$F$500="Emilio")+($G$5:$G$500="Emilio")+($H$5:$H$500="Emilio")+($I$5:$I$500="Emilio")+($J$5:$J$500="Emilio")+($K$5:$K$500="Emilio")))</f>
        <v>4</v>
      </c>
      <c r="E518" s="134" t="n">
        <f aca="false">SUMPRODUCT(($D$5:$D$500="Sábado")*(($F$5:$F$500="Emilio")+($G$5:$G$500="Emilio")+($H$5:$H$500="Emilio")+($I$5:$I$500="Emilio")+($J$5:$J$500="Emilio")+($K$5:$K$500="Emilio")))</f>
        <v>3</v>
      </c>
      <c r="F518" s="134" t="n">
        <f aca="false">SUMPRODUCT(($D$5:$D$500="Domingo")*(($F$5:$F$500="Emilio")+($G$5:$G$500="Emilio")+($H$5:$H$500="Emilio")+($I$5:$I$500="Emilio")+($J$5:$J$500="Emilio")+($K$5:$K$500="Emilio")))</f>
        <v>4</v>
      </c>
      <c r="G518" s="134" t="n">
        <f aca="false">COUNTIF($F$5:$F$500,"Emilio")</f>
        <v>0</v>
      </c>
      <c r="H518" s="134" t="n">
        <f aca="false">SUMPRODUCT(($F$5:$F$500="Emilio")*(($D$5:$D$500="Viernes")+($D$5:$D$500="Sábado")+($D$5:$D$500="Domingo")))</f>
        <v>0</v>
      </c>
      <c r="I518" s="134" t="n">
        <f aca="false">G518-H518</f>
        <v>0</v>
      </c>
      <c r="J518" s="134" t="n">
        <f aca="false">SUMPRODUCT(($E$5:$E$500&lt;&gt;"")*(($F$5:$F$500="Emilio")+($G$5:$G$500="Emilio")+($H$5:$H$500="Emilio")+($I$5:$I$500="Emilio")+($J$5:$J$500="Emilio")+($K$5:$K$500="Emilio")))</f>
        <v>1</v>
      </c>
      <c r="K518" s="134" t="n">
        <f aca="false">COUNTIF($F$5:$F$500,"Emilio")+COUNTIF($G$5:$G$500,"Emilio")+COUNTIF($H$5:$H$500,"Emilio")+COUNTIF($I$5:$I$500,"Emilio")+COUNTIF($J$5:$J$500,"Emilio")+COUNTIF($K$5:$K$500,"Emilio")</f>
        <v>25</v>
      </c>
    </row>
    <row r="519" customFormat="false" ht="15" hidden="false" customHeight="true" outlineLevel="0" collapsed="false">
      <c r="A519" s="133" t="s">
        <v>221</v>
      </c>
      <c r="B519" s="134" t="s">
        <v>222</v>
      </c>
      <c r="C519" s="134" t="s">
        <v>447</v>
      </c>
      <c r="D519" s="134" t="n">
        <f aca="false">SUMPRODUCT(($D$5:$D$500="Viernes")*(($F$5:$F$500="Antonio")+($G$5:$G$500="Antonio")+($H$5:$H$500="Antonio")+($I$5:$I$500="Antonio")+($J$5:$J$500="Antonio")+($K$5:$K$500="Antonio")))</f>
        <v>4</v>
      </c>
      <c r="E519" s="134" t="n">
        <f aca="false">SUMPRODUCT(($D$5:$D$500="Sábado")*(($F$5:$F$500="Antonio")+($G$5:$G$500="Antonio")+($H$5:$H$500="Antonio")+($I$5:$I$500="Antonio")+($J$5:$J$500="Antonio")+($K$5:$K$500="Antonio")))</f>
        <v>4</v>
      </c>
      <c r="F519" s="134" t="n">
        <f aca="false">SUMPRODUCT(($D$5:$D$500="Domingo")*(($F$5:$F$500="Antonio")+($G$5:$G$500="Antonio")+($H$5:$H$500="Antonio")+($I$5:$I$500="Antonio")+($J$5:$J$500="Antonio")+($K$5:$K$500="Antonio")))</f>
        <v>4</v>
      </c>
      <c r="G519" s="134" t="n">
        <f aca="false">COUNTIF($F$5:$F$500,"Antonio")</f>
        <v>0</v>
      </c>
      <c r="H519" s="134" t="n">
        <f aca="false">SUMPRODUCT(($F$5:$F$500="Antonio")*(($D$5:$D$500="Viernes")+($D$5:$D$500="Sábado")+($D$5:$D$500="Domingo")))</f>
        <v>0</v>
      </c>
      <c r="I519" s="134" t="n">
        <f aca="false">G519-H519</f>
        <v>0</v>
      </c>
      <c r="J519" s="134" t="n">
        <f aca="false">SUMPRODUCT(($E$5:$E$500&lt;&gt;"")*(($F$5:$F$500="Antonio")+($G$5:$G$500="Antonio")+($H$5:$H$500="Antonio")+($I$5:$I$500="Antonio")+($J$5:$J$500="Antonio")+($K$5:$K$500="Antonio")))</f>
        <v>0</v>
      </c>
      <c r="K519" s="134" t="n">
        <f aca="false">COUNTIF($F$5:$F$500,"Antonio")+COUNTIF($G$5:$G$500,"Antonio")+COUNTIF($H$5:$H$500,"Antonio")+COUNTIF($I$5:$I$500,"Antonio")+COUNTIF($J$5:$J$500,"Antonio")+COUNTIF($K$5:$K$500,"Antonio")</f>
        <v>26</v>
      </c>
    </row>
    <row r="520" customFormat="false" ht="15" hidden="false" customHeight="true" outlineLevel="0" collapsed="false">
      <c r="A520" s="133" t="s">
        <v>495</v>
      </c>
      <c r="B520" s="134" t="s">
        <v>224</v>
      </c>
      <c r="C520" s="134" t="s">
        <v>447</v>
      </c>
      <c r="D520" s="134" t="n">
        <f aca="false">SUMPRODUCT(($D$5:$D$500="Viernes")*(($F$5:$F$500="AnaR2")+($G$5:$G$500="AnaR2")+($H$5:$H$500="AnaR2")+($I$5:$I$500="AnaR2")+($J$5:$J$500="AnaR2")+($K$5:$K$500="AnaR2")))</f>
        <v>4</v>
      </c>
      <c r="E520" s="134" t="n">
        <f aca="false">SUMPRODUCT(($D$5:$D$500="Sábado")*(($F$5:$F$500="AnaR2")+($G$5:$G$500="AnaR2")+($H$5:$H$500="AnaR2")+($I$5:$I$500="AnaR2")+($J$5:$J$500="AnaR2")+($K$5:$K$500="AnaR2")))</f>
        <v>3</v>
      </c>
      <c r="F520" s="134" t="n">
        <f aca="false">SUMPRODUCT(($D$5:$D$500="Domingo")*(($F$5:$F$500="AnaR2")+($G$5:$G$500="AnaR2")+($H$5:$H$500="AnaR2")+($I$5:$I$500="AnaR2")+($J$5:$J$500="AnaR2")+($K$5:$K$500="AnaR2")))</f>
        <v>5</v>
      </c>
      <c r="G520" s="134" t="n">
        <f aca="false">COUNTIF($F$5:$F$500,"AnaR2")</f>
        <v>0</v>
      </c>
      <c r="H520" s="134" t="n">
        <f aca="false">SUMPRODUCT(($F$5:$F$500="AnaR2")*(($D$5:$D$500="Viernes")+($D$5:$D$500="Sábado")+($D$5:$D$500="Domingo")))</f>
        <v>0</v>
      </c>
      <c r="I520" s="134" t="n">
        <f aca="false">G520-H520</f>
        <v>0</v>
      </c>
      <c r="J520" s="134" t="n">
        <f aca="false">SUMPRODUCT(($E$5:$E$500&lt;&gt;"")*(($F$5:$F$500="AnaR2")+($G$5:$G$500="AnaR2")+($H$5:$H$500="AnaR2")+($I$5:$I$500="AnaR2")+($J$5:$J$500="AnaR2")+($K$5:$K$500="AnaR2")))</f>
        <v>0</v>
      </c>
      <c r="K520" s="134" t="n">
        <f aca="false">COUNTIF($F$5:$F$500,"AnaR2")+COUNTIF($G$5:$G$500,"AnaR2")+COUNTIF($H$5:$H$500,"AnaR2")+COUNTIF($I$5:$I$500,"AnaR2")+COUNTIF($J$5:$J$500,"AnaR2")+COUNTIF($K$5:$K$500,"AnaR2")</f>
        <v>28</v>
      </c>
    </row>
    <row r="521" customFormat="false" ht="15" hidden="false" customHeight="true" outlineLevel="0" collapsed="false">
      <c r="A521" s="133" t="s">
        <v>225</v>
      </c>
      <c r="B521" s="134" t="s">
        <v>226</v>
      </c>
      <c r="C521" s="134" t="s">
        <v>447</v>
      </c>
      <c r="D521" s="134" t="n">
        <f aca="false">SUMPRODUCT(($D$5:$D$500="Viernes")*(($F$5:$F$500="Marc")+($G$5:$G$500="Marc")+($H$5:$H$500="Marc")+($I$5:$I$500="Marc")+($J$5:$J$500="Marc")+($K$5:$K$500="Marc")))</f>
        <v>2</v>
      </c>
      <c r="E521" s="134" t="n">
        <f aca="false">SUMPRODUCT(($D$5:$D$500="Sábado")*(($F$5:$F$500="Marc")+($G$5:$G$500="Marc")+($H$5:$H$500="Marc")+($I$5:$I$500="Marc")+($J$5:$J$500="Marc")+($K$5:$K$500="Marc")))</f>
        <v>5</v>
      </c>
      <c r="F521" s="134" t="n">
        <f aca="false">SUMPRODUCT(($D$5:$D$500="Domingo")*(($F$5:$F$500="Marc")+($G$5:$G$500="Marc")+($H$5:$H$500="Marc")+($I$5:$I$500="Marc")+($J$5:$J$500="Marc")+($K$5:$K$500="Marc")))</f>
        <v>4</v>
      </c>
      <c r="G521" s="134" t="n">
        <f aca="false">COUNTIF($F$5:$F$500,"Marc")</f>
        <v>0</v>
      </c>
      <c r="H521" s="134" t="n">
        <f aca="false">SUMPRODUCT(($F$5:$F$500="Marc")*(($D$5:$D$500="Viernes")+($D$5:$D$500="Sábado")+($D$5:$D$500="Domingo")))</f>
        <v>0</v>
      </c>
      <c r="I521" s="134" t="n">
        <f aca="false">G521-H521</f>
        <v>0</v>
      </c>
      <c r="J521" s="134" t="n">
        <f aca="false">SUMPRODUCT(($E$5:$E$500&lt;&gt;"")*(($F$5:$F$500="Marc")+($G$5:$G$500="Marc")+($H$5:$H$500="Marc")+($I$5:$I$500="Marc")+($J$5:$J$500="Marc")+($K$5:$K$500="Marc")))</f>
        <v>0</v>
      </c>
      <c r="K521" s="134" t="n">
        <f aca="false">COUNTIF($F$5:$F$500,"Marc")+COUNTIF($G$5:$G$500,"Marc")+COUNTIF($H$5:$H$500,"Marc")+COUNTIF($I$5:$I$500,"Marc")+COUNTIF($J$5:$J$500,"Marc")+COUNTIF($K$5:$K$500,"Marc")</f>
        <v>27</v>
      </c>
    </row>
    <row r="522" customFormat="false" ht="15" hidden="false" customHeight="true" outlineLevel="0" collapsed="false">
      <c r="A522" s="133" t="s">
        <v>496</v>
      </c>
      <c r="B522" s="134" t="s">
        <v>228</v>
      </c>
      <c r="C522" s="134" t="s">
        <v>448</v>
      </c>
      <c r="D522" s="134" t="n">
        <f aca="false">SUMPRODUCT(($D$5:$D$500="Viernes")*(($F$5:$F$500="PatriciaR3")+($G$5:$G$500="PatriciaR3")+($H$5:$H$500="PatriciaR3")+($I$5:$I$500="PatriciaR3")+($J$5:$J$500="PatriciaR3")+($K$5:$K$500="PatriciaR3")))</f>
        <v>5</v>
      </c>
      <c r="E522" s="134" t="n">
        <f aca="false">SUMPRODUCT(($D$5:$D$500="Sábado")*(($F$5:$F$500="PatriciaR3")+($G$5:$G$500="PatriciaR3")+($H$5:$H$500="PatriciaR3")+($I$5:$I$500="PatriciaR3")+($J$5:$J$500="PatriciaR3")+($K$5:$K$500="PatriciaR3")))</f>
        <v>3</v>
      </c>
      <c r="F522" s="134" t="n">
        <f aca="false">SUMPRODUCT(($D$5:$D$500="Domingo")*(($F$5:$F$500="PatriciaR3")+($G$5:$G$500="PatriciaR3")+($H$5:$H$500="PatriciaR3")+($I$5:$I$500="PatriciaR3")+($J$5:$J$500="PatriciaR3")+($K$5:$K$500="PatriciaR3")))</f>
        <v>3</v>
      </c>
      <c r="G522" s="134" t="n">
        <f aca="false">COUNTIF($F$5:$F$500,"PatriciaR3")</f>
        <v>1</v>
      </c>
      <c r="H522" s="134" t="n">
        <f aca="false">SUMPRODUCT(($F$5:$F$500="PatriciaR3")*(($D$5:$D$500="Viernes")+($D$5:$D$500="Sábado")+($D$5:$D$500="Domingo")))</f>
        <v>1</v>
      </c>
      <c r="I522" s="134" t="n">
        <f aca="false">G522-H522</f>
        <v>0</v>
      </c>
      <c r="J522" s="134" t="n">
        <f aca="false">SUMPRODUCT(($E$5:$E$500&lt;&gt;"")*(($F$5:$F$500="PatriciaR3")+($G$5:$G$500="PatriciaR3")+($H$5:$H$500="PatriciaR3")+($I$5:$I$500="PatriciaR3")+($J$5:$J$500="PatriciaR3")+($K$5:$K$500="PatriciaR3")))</f>
        <v>0</v>
      </c>
      <c r="K522" s="134" t="n">
        <f aca="false">COUNTIF($F$5:$F$500,"PatriciaR3")+COUNTIF($G$5:$G$500,"PatriciaR3")+COUNTIF($H$5:$H$500,"PatriciaR3")+COUNTIF($I$5:$I$500,"PatriciaR3")+COUNTIF($J$5:$J$500,"PatriciaR3")+COUNTIF($K$5:$K$500,"PatriciaR3")</f>
        <v>28</v>
      </c>
    </row>
    <row r="523" customFormat="false" ht="15" hidden="false" customHeight="true" outlineLevel="0" collapsed="false">
      <c r="A523" s="133" t="s">
        <v>229</v>
      </c>
      <c r="B523" s="134" t="s">
        <v>230</v>
      </c>
      <c r="C523" s="134" t="s">
        <v>448</v>
      </c>
      <c r="D523" s="134" t="n">
        <f aca="false">SUMPRODUCT(($D$5:$D$500="Viernes")*(($F$5:$F$500="Candela")+($G$5:$G$500="Candela")+($H$5:$H$500="Candela")+($I$5:$I$500="Candela")+($J$5:$J$500="Candela")+($K$5:$K$500="Candela")))</f>
        <v>5</v>
      </c>
      <c r="E523" s="134" t="n">
        <f aca="false">SUMPRODUCT(($D$5:$D$500="Sábado")*(($F$5:$F$500="Candela")+($G$5:$G$500="Candela")+($H$5:$H$500="Candela")+($I$5:$I$500="Candela")+($J$5:$J$500="Candela")+($K$5:$K$500="Candela")))</f>
        <v>2</v>
      </c>
      <c r="F523" s="134" t="n">
        <f aca="false">SUMPRODUCT(($D$5:$D$500="Domingo")*(($F$5:$F$500="Candela")+($G$5:$G$500="Candela")+($H$5:$H$500="Candela")+($I$5:$I$500="Candela")+($J$5:$J$500="Candela")+($K$5:$K$500="Candela")))</f>
        <v>5</v>
      </c>
      <c r="G523" s="134" t="n">
        <f aca="false">COUNTIF($F$5:$F$500,"Candela")</f>
        <v>0</v>
      </c>
      <c r="H523" s="134" t="n">
        <f aca="false">SUMPRODUCT(($F$5:$F$500="Candela")*(($D$5:$D$500="Viernes")+($D$5:$D$500="Sábado")+($D$5:$D$500="Domingo")))</f>
        <v>0</v>
      </c>
      <c r="I523" s="134" t="n">
        <f aca="false">G523-H523</f>
        <v>0</v>
      </c>
      <c r="J523" s="134" t="n">
        <f aca="false">SUMPRODUCT(($E$5:$E$500&lt;&gt;"")*(($F$5:$F$500="Candela")+($G$5:$G$500="Candela")+($H$5:$H$500="Candela")+($I$5:$I$500="Candela")+($J$5:$J$500="Candela")+($K$5:$K$500="Candela")))</f>
        <v>0</v>
      </c>
      <c r="K523" s="134" t="n">
        <f aca="false">COUNTIF($F$5:$F$500,"Candela")+COUNTIF($G$5:$G$500,"Candela")+COUNTIF($H$5:$H$500,"Candela")+COUNTIF($I$5:$I$500,"Candela")+COUNTIF($J$5:$J$500,"Candela")+COUNTIF($K$5:$K$500,"Candela")</f>
        <v>28</v>
      </c>
    </row>
    <row r="524" customFormat="false" ht="15" hidden="false" customHeight="true" outlineLevel="0" collapsed="false">
      <c r="A524" s="133" t="s">
        <v>497</v>
      </c>
      <c r="B524" s="134" t="s">
        <v>232</v>
      </c>
      <c r="C524" s="134" t="s">
        <v>448</v>
      </c>
      <c r="D524" s="134" t="n">
        <f aca="false">SUMPRODUCT(($D$5:$D$500="Viernes")*(($F$5:$F$500="Fabian")+($G$5:$G$500="Fabian")+($H$5:$H$500="Fabian")+($I$5:$I$500="Fabian")+($J$5:$J$500="Fabian")+($K$5:$K$500="Fabian")))</f>
        <v>2</v>
      </c>
      <c r="E524" s="134" t="n">
        <f aca="false">SUMPRODUCT(($D$5:$D$500="Sábado")*(($F$5:$F$500="Fabian")+($G$5:$G$500="Fabian")+($H$5:$H$500="Fabian")+($I$5:$I$500="Fabian")+($J$5:$J$500="Fabian")+($K$5:$K$500="Fabian")))</f>
        <v>4</v>
      </c>
      <c r="F524" s="134" t="n">
        <f aca="false">SUMPRODUCT(($D$5:$D$500="Domingo")*(($F$5:$F$500="Fabian")+($G$5:$G$500="Fabian")+($H$5:$H$500="Fabian")+($I$5:$I$500="Fabian")+($J$5:$J$500="Fabian")+($K$5:$K$500="Fabian")))</f>
        <v>3</v>
      </c>
      <c r="G524" s="134" t="n">
        <f aca="false">COUNTIF($F$5:$F$500,"Fabian")</f>
        <v>0</v>
      </c>
      <c r="H524" s="134" t="n">
        <f aca="false">SUMPRODUCT(($F$5:$F$500="Fabian")*(($D$5:$D$500="Viernes")+($D$5:$D$500="Sábado")+($D$5:$D$500="Domingo")))</f>
        <v>0</v>
      </c>
      <c r="I524" s="134" t="n">
        <f aca="false">G524-H524</f>
        <v>0</v>
      </c>
      <c r="J524" s="134" t="n">
        <f aca="false">SUMPRODUCT(($E$5:$E$500&lt;&gt;"")*(($F$5:$F$500="Fabian")+($G$5:$G$500="Fabian")+($H$5:$H$500="Fabian")+($I$5:$I$500="Fabian")+($J$5:$J$500="Fabian")+($K$5:$K$500="Fabian")))</f>
        <v>0</v>
      </c>
      <c r="K524" s="134" t="n">
        <f aca="false">COUNTIF($F$5:$F$500,"Fabian")+COUNTIF($G$5:$G$500,"Fabian")+COUNTIF($H$5:$H$500,"Fabian")+COUNTIF($I$5:$I$500,"Fabian")+COUNTIF($J$5:$J$500,"Fabian")+COUNTIF($K$5:$K$500,"Fabian")</f>
        <v>27</v>
      </c>
    </row>
    <row r="525" customFormat="false" ht="15" hidden="false" customHeight="true" outlineLevel="0" collapsed="false">
      <c r="A525" s="133" t="s">
        <v>233</v>
      </c>
      <c r="B525" s="134" t="s">
        <v>234</v>
      </c>
      <c r="C525" s="134" t="s">
        <v>448</v>
      </c>
      <c r="D525" s="134" t="n">
        <f aca="false">SUMPRODUCT(($D$5:$D$500="Viernes")*(($F$5:$F$500="Tony")+($G$5:$G$500="Tony")+($H$5:$H$500="Tony")+($I$5:$I$500="Tony")+($J$5:$J$500="Tony")+($K$5:$K$500="Tony")))</f>
        <v>4</v>
      </c>
      <c r="E525" s="134" t="n">
        <f aca="false">SUMPRODUCT(($D$5:$D$500="Sábado")*(($F$5:$F$500="Tony")+($G$5:$G$500="Tony")+($H$5:$H$500="Tony")+($I$5:$I$500="Tony")+($J$5:$J$500="Tony")+($K$5:$K$500="Tony")))</f>
        <v>5</v>
      </c>
      <c r="F525" s="134" t="n">
        <f aca="false">SUMPRODUCT(($D$5:$D$500="Domingo")*(($F$5:$F$500="Tony")+($G$5:$G$500="Tony")+($H$5:$H$500="Tony")+($I$5:$I$500="Tony")+($J$5:$J$500="Tony")+($K$5:$K$500="Tony")))</f>
        <v>4</v>
      </c>
      <c r="G525" s="134" t="n">
        <f aca="false">COUNTIF($F$5:$F$500,"Tony")</f>
        <v>0</v>
      </c>
      <c r="H525" s="134" t="n">
        <f aca="false">SUMPRODUCT(($F$5:$F$500="Tony")*(($D$5:$D$500="Viernes")+($D$5:$D$500="Sábado")+($D$5:$D$500="Domingo")))</f>
        <v>0</v>
      </c>
      <c r="I525" s="134" t="n">
        <f aca="false">G525-H525</f>
        <v>0</v>
      </c>
      <c r="J525" s="134" t="n">
        <f aca="false">SUMPRODUCT(($E$5:$E$500&lt;&gt;"")*(($F$5:$F$500="Tony")+($G$5:$G$500="Tony")+($H$5:$H$500="Tony")+($I$5:$I$500="Tony")+($J$5:$J$500="Tony")+($K$5:$K$500="Tony")))</f>
        <v>0</v>
      </c>
      <c r="K525" s="134" t="n">
        <f aca="false">COUNTIF($F$5:$F$500,"Tony")+COUNTIF($G$5:$G$500,"Tony")+COUNTIF($H$5:$H$500,"Tony")+COUNTIF($I$5:$I$500,"Tony")+COUNTIF($J$5:$J$500,"Tony")+COUNTIF($K$5:$K$500,"Tony")</f>
        <v>29</v>
      </c>
    </row>
    <row r="526" customFormat="false" ht="15" hidden="false" customHeight="true" outlineLevel="0" collapsed="false">
      <c r="A526" s="133" t="s">
        <v>235</v>
      </c>
      <c r="B526" s="134" t="s">
        <v>236</v>
      </c>
      <c r="C526" s="134" t="s">
        <v>449</v>
      </c>
      <c r="D526" s="134" t="n">
        <f aca="false">SUMPRODUCT(($D$5:$D$500="Viernes")*(($F$5:$F$500="Carlota")+($G$5:$G$500="Carlota")+($H$5:$H$500="Carlota")+($I$5:$I$500="Carlota")+($J$5:$J$500="Carlota")+($K$5:$K$500="Carlota")))</f>
        <v>5</v>
      </c>
      <c r="E526" s="134" t="n">
        <f aca="false">SUMPRODUCT(($D$5:$D$500="Sábado")*(($F$5:$F$500="Carlota")+($G$5:$G$500="Carlota")+($H$5:$H$500="Carlota")+($I$5:$I$500="Carlota")+($J$5:$J$500="Carlota")+($K$5:$K$500="Carlota")))</f>
        <v>4</v>
      </c>
      <c r="F526" s="134" t="n">
        <f aca="false">SUMPRODUCT(($D$5:$D$500="Domingo")*(($F$5:$F$500="Carlota")+($G$5:$G$500="Carlota")+($H$5:$H$500="Carlota")+($I$5:$I$500="Carlota")+($J$5:$J$500="Carlota")+($K$5:$K$500="Carlota")))</f>
        <v>4</v>
      </c>
      <c r="G526" s="134" t="n">
        <f aca="false">COUNTIF($F$5:$F$500,"Carlota")</f>
        <v>15</v>
      </c>
      <c r="H526" s="134" t="n">
        <f aca="false">SUMPRODUCT(($F$5:$F$500="Carlota")*(($D$5:$D$500="Viernes")+($D$5:$D$500="Sábado")+($D$5:$D$500="Domingo")))</f>
        <v>6</v>
      </c>
      <c r="I526" s="134" t="n">
        <f aca="false">G526-H526</f>
        <v>9</v>
      </c>
      <c r="J526" s="134" t="n">
        <f aca="false">SUMPRODUCT(($E$5:$E$500&lt;&gt;"")*(($F$5:$F$500="Carlota")+($G$5:$G$500="Carlota")+($H$5:$H$500="Carlota")+($I$5:$I$500="Carlota")+($J$5:$J$500="Carlota")+($K$5:$K$500="Carlota")))</f>
        <v>0</v>
      </c>
      <c r="K526" s="134" t="n">
        <f aca="false">COUNTIF($F$5:$F$500,"Carlota")+COUNTIF($G$5:$G$500,"Carlota")+COUNTIF($H$5:$H$500,"Carlota")+COUNTIF($I$5:$I$500,"Carlota")+COUNTIF($J$5:$J$500,"Carlota")+COUNTIF($K$5:$K$500,"Carlota")</f>
        <v>34</v>
      </c>
    </row>
    <row r="527" customFormat="false" ht="15" hidden="false" customHeight="true" outlineLevel="0" collapsed="false">
      <c r="A527" s="133" t="s">
        <v>237</v>
      </c>
      <c r="B527" s="134" t="s">
        <v>238</v>
      </c>
      <c r="C527" s="134" t="s">
        <v>449</v>
      </c>
      <c r="D527" s="134" t="n">
        <f aca="false">SUMPRODUCT(($D$5:$D$500="Viernes")*(($F$5:$F$500="Almudena")+($G$5:$G$500="Almudena")+($H$5:$H$500="Almudena")+($I$5:$I$500="Almudena")+($J$5:$J$500="Almudena")+($K$5:$K$500="Almudena")))</f>
        <v>4</v>
      </c>
      <c r="E527" s="134" t="n">
        <f aca="false">SUMPRODUCT(($D$5:$D$500="Sábado")*(($F$5:$F$500="Almudena")+($G$5:$G$500="Almudena")+($H$5:$H$500="Almudena")+($I$5:$I$500="Almudena")+($J$5:$J$500="Almudena")+($K$5:$K$500="Almudena")))</f>
        <v>6</v>
      </c>
      <c r="F527" s="134" t="n">
        <f aca="false">SUMPRODUCT(($D$5:$D$500="Domingo")*(($F$5:$F$500="Almudena")+($G$5:$G$500="Almudena")+($H$5:$H$500="Almudena")+($I$5:$I$500="Almudena")+($J$5:$J$500="Almudena")+($K$5:$K$500="Almudena")))</f>
        <v>6</v>
      </c>
      <c r="G527" s="134" t="n">
        <f aca="false">COUNTIF($F$5:$F$500,"Almudena")</f>
        <v>21</v>
      </c>
      <c r="H527" s="134" t="n">
        <f aca="false">SUMPRODUCT(($F$5:$F$500="Almudena")*(($D$5:$D$500="Viernes")+($D$5:$D$500="Sábado")+($D$5:$D$500="Domingo")))</f>
        <v>6</v>
      </c>
      <c r="I527" s="134" t="n">
        <f aca="false">G527-H527</f>
        <v>15</v>
      </c>
      <c r="J527" s="134" t="n">
        <f aca="false">SUMPRODUCT(($E$5:$E$500&lt;&gt;"")*(($F$5:$F$500="Almudena")+($G$5:$G$500="Almudena")+($H$5:$H$500="Almudena")+($I$5:$I$500="Almudena")+($J$5:$J$500="Almudena")+($K$5:$K$500="Almudena")))</f>
        <v>0</v>
      </c>
      <c r="K527" s="134" t="n">
        <f aca="false">COUNTIF($F$5:$F$500,"Almudena")+COUNTIF($G$5:$G$500,"Almudena")+COUNTIF($H$5:$H$500,"Almudena")+COUNTIF($I$5:$I$500,"Almudena")+COUNTIF($J$5:$J$500,"Almudena")+COUNTIF($K$5:$K$500,"Almudena")</f>
        <v>45</v>
      </c>
    </row>
    <row r="528" customFormat="false" ht="15" hidden="false" customHeight="true" outlineLevel="0" collapsed="false">
      <c r="A528" s="133" t="s">
        <v>498</v>
      </c>
      <c r="B528" s="134" t="s">
        <v>240</v>
      </c>
      <c r="C528" s="134" t="s">
        <v>449</v>
      </c>
      <c r="D528" s="134" t="n">
        <f aca="false">SUMPRODUCT(($D$5:$D$500="Viernes")*(($F$5:$F$500="AnaR4")+($G$5:$G$500="AnaR4")+($H$5:$H$500="AnaR4")+($I$5:$I$500="AnaR4")+($J$5:$J$500="AnaR4")+($K$5:$K$500="AnaR4")))</f>
        <v>4</v>
      </c>
      <c r="E528" s="134" t="n">
        <f aca="false">SUMPRODUCT(($D$5:$D$500="Sábado")*(($F$5:$F$500="AnaR4")+($G$5:$G$500="AnaR4")+($H$5:$H$500="AnaR4")+($I$5:$I$500="AnaR4")+($J$5:$J$500="AnaR4")+($K$5:$K$500="AnaR4")))</f>
        <v>3</v>
      </c>
      <c r="F528" s="134" t="n">
        <f aca="false">SUMPRODUCT(($D$5:$D$500="Domingo")*(($F$5:$F$500="AnaR4")+($G$5:$G$500="AnaR4")+($H$5:$H$500="AnaR4")+($I$5:$I$500="AnaR4")+($J$5:$J$500="AnaR4")+($K$5:$K$500="AnaR4")))</f>
        <v>3</v>
      </c>
      <c r="G528" s="134" t="n">
        <f aca="false">COUNTIF($F$5:$F$500,"AnaR4")</f>
        <v>16</v>
      </c>
      <c r="H528" s="134" t="n">
        <f aca="false">SUMPRODUCT(($F$5:$F$500="AnaR4")*(($D$5:$D$500="Viernes")+($D$5:$D$500="Sábado")+($D$5:$D$500="Domingo")))</f>
        <v>5</v>
      </c>
      <c r="I528" s="134" t="n">
        <f aca="false">G528-H528</f>
        <v>11</v>
      </c>
      <c r="J528" s="134" t="n">
        <f aca="false">SUMPRODUCT(($E$5:$E$500&lt;&gt;"")*(($F$5:$F$500="AnaR4")+($G$5:$G$500="AnaR4")+($H$5:$H$500="AnaR4")+($I$5:$I$500="AnaR4")+($J$5:$J$500="AnaR4")+($K$5:$K$500="AnaR4")))</f>
        <v>1</v>
      </c>
      <c r="K528" s="134" t="n">
        <f aca="false">COUNTIF($F$5:$F$500,"AnaR4")+COUNTIF($G$5:$G$500,"AnaR4")+COUNTIF($H$5:$H$500,"AnaR4")+COUNTIF($I$5:$I$500,"AnaR4")+COUNTIF($J$5:$J$500,"AnaR4")+COUNTIF($K$5:$K$500,"AnaR4")</f>
        <v>30</v>
      </c>
    </row>
    <row r="529" customFormat="false" ht="15" hidden="false" customHeight="true" outlineLevel="0" collapsed="false">
      <c r="A529" s="133" t="s">
        <v>241</v>
      </c>
      <c r="B529" s="134" t="s">
        <v>242</v>
      </c>
      <c r="C529" s="134" t="s">
        <v>449</v>
      </c>
      <c r="D529" s="134" t="n">
        <f aca="false">SUMPRODUCT(($D$5:$D$500="Viernes")*(($F$5:$F$500="Sandra")+($G$5:$G$500="Sandra")+($H$5:$H$500="Sandra")+($I$5:$I$500="Sandra")+($J$5:$J$500="Sandra")+($K$5:$K$500="Sandra")))</f>
        <v>5</v>
      </c>
      <c r="E529" s="134" t="n">
        <f aca="false">SUMPRODUCT(($D$5:$D$500="Sábado")*(($F$5:$F$500="Sandra")+($G$5:$G$500="Sandra")+($H$5:$H$500="Sandra")+($I$5:$I$500="Sandra")+($J$5:$J$500="Sandra")+($K$5:$K$500="Sandra")))</f>
        <v>4</v>
      </c>
      <c r="F529" s="134" t="n">
        <f aca="false">SUMPRODUCT(($D$5:$D$500="Domingo")*(($F$5:$F$500="Sandra")+($G$5:$G$500="Sandra")+($H$5:$H$500="Sandra")+($I$5:$I$500="Sandra")+($J$5:$J$500="Sandra")+($K$5:$K$500="Sandra")))</f>
        <v>7</v>
      </c>
      <c r="G529" s="134" t="n">
        <f aca="false">COUNTIF($F$5:$F$500,"Sandra")</f>
        <v>15</v>
      </c>
      <c r="H529" s="134" t="n">
        <f aca="false">SUMPRODUCT(($F$5:$F$500="Sandra")*(($D$5:$D$500="Viernes")+($D$5:$D$500="Sábado")+($D$5:$D$500="Domingo")))</f>
        <v>9</v>
      </c>
      <c r="I529" s="134" t="n">
        <f aca="false">G529-H529</f>
        <v>6</v>
      </c>
      <c r="J529" s="134" t="n">
        <f aca="false">SUMPRODUCT(($E$5:$E$500&lt;&gt;"")*(($F$5:$F$500="Sandra")+($G$5:$G$500="Sandra")+($H$5:$H$500="Sandra")+($I$5:$I$500="Sandra")+($J$5:$J$500="Sandra")+($K$5:$K$500="Sandra")))</f>
        <v>1</v>
      </c>
      <c r="K529" s="134" t="n">
        <f aca="false">COUNTIF($F$5:$F$500,"Sandra")+COUNTIF($G$5:$G$500,"Sandra")+COUNTIF($H$5:$H$500,"Sandra")+COUNTIF($I$5:$I$500,"Sandra")+COUNTIF($J$5:$J$500,"Sandra")+COUNTIF($K$5:$K$500,"Sandra")</f>
        <v>32</v>
      </c>
    </row>
    <row r="530" customFormat="false" ht="15" hidden="false" customHeight="true" outlineLevel="0" collapsed="false">
      <c r="A530" s="133" t="s">
        <v>243</v>
      </c>
      <c r="B530" s="134" t="s">
        <v>244</v>
      </c>
      <c r="C530" s="134" t="s">
        <v>449</v>
      </c>
      <c r="D530" s="134" t="n">
        <f aca="false">SUMPRODUCT(($D$5:$D$500="Viernes")*(($F$5:$F$500="Isa")+($G$5:$G$500="Isa")+($H$5:$H$500="Isa")+($I$5:$I$500="Isa")+($J$5:$J$500="Isa")+($K$5:$K$500="Isa")))</f>
        <v>4</v>
      </c>
      <c r="E530" s="134" t="n">
        <f aca="false">SUMPRODUCT(($D$5:$D$500="Sábado")*(($F$5:$F$500="Isa")+($G$5:$G$500="Isa")+($H$5:$H$500="Isa")+($I$5:$I$500="Isa")+($J$5:$J$500="Isa")+($K$5:$K$500="Isa")))</f>
        <v>8</v>
      </c>
      <c r="F530" s="134" t="n">
        <f aca="false">SUMPRODUCT(($D$5:$D$500="Domingo")*(($F$5:$F$500="Isa")+($G$5:$G$500="Isa")+($H$5:$H$500="Isa")+($I$5:$I$500="Isa")+($J$5:$J$500="Isa")+($K$5:$K$500="Isa")))</f>
        <v>5</v>
      </c>
      <c r="G530" s="134" t="n">
        <f aca="false">COUNTIF($F$5:$F$500,"Isa")</f>
        <v>21</v>
      </c>
      <c r="H530" s="134" t="n">
        <f aca="false">SUMPRODUCT(($F$5:$F$500="Isa")*(($D$5:$D$500="Viernes")+($D$5:$D$500="Sábado")+($D$5:$D$500="Domingo")))</f>
        <v>8</v>
      </c>
      <c r="I530" s="134" t="n">
        <f aca="false">G530-H530</f>
        <v>13</v>
      </c>
      <c r="J530" s="134" t="n">
        <f aca="false">SUMPRODUCT(($E$5:$E$500&lt;&gt;"")*(($F$5:$F$500="Isa")+($G$5:$G$500="Isa")+($H$5:$H$500="Isa")+($I$5:$I$500="Isa")+($J$5:$J$500="Isa")+($K$5:$K$500="Isa")))</f>
        <v>1</v>
      </c>
      <c r="K530" s="134" t="n">
        <f aca="false">COUNTIF($F$5:$F$500,"Isa")+COUNTIF($G$5:$G$500,"Isa")+COUNTIF($H$5:$H$500,"Isa")+COUNTIF($I$5:$I$500,"Isa")+COUNTIF($J$5:$J$500,"Isa")+COUNTIF($K$5:$K$500,"Isa")</f>
        <v>44</v>
      </c>
    </row>
    <row r="531" customFormat="false" ht="15" hidden="false" customHeight="true" outlineLevel="0" collapsed="false">
      <c r="A531" s="137" t="s">
        <v>452</v>
      </c>
      <c r="B531" s="138" t="s">
        <v>499</v>
      </c>
      <c r="C531" s="138" t="s">
        <v>449</v>
      </c>
      <c r="D531" s="138" t="n">
        <f aca="false">SUMPRODUCT(($D$5:$D$500="Viernes")*(($F$5:$F$500="Maria")+($G$5:$G$500="Maria")+($H$5:$H$500="Maria")+($I$5:$I$500="Maria")+($J$5:$J$500="Maria")+($K$5:$K$500="Maria")))</f>
        <v>6</v>
      </c>
      <c r="E531" s="138" t="n">
        <f aca="false">SUMPRODUCT(($D$5:$D$500="Sábado")*(($F$5:$F$500="Maria")+($G$5:$G$500="Maria")+($H$5:$H$500="Maria")+($I$5:$I$500="Maria")+($J$5:$J$500="Maria")+($K$5:$K$500="Maria")))</f>
        <v>4</v>
      </c>
      <c r="F531" s="138" t="n">
        <f aca="false">SUMPRODUCT(($D$5:$D$500="Domingo")*(($F$5:$F$500="Maria")+($G$5:$G$500="Maria")+($H$5:$H$500="Maria")+($I$5:$I$500="Maria")+($J$5:$J$500="Maria")+($K$5:$K$500="Maria")))</f>
        <v>7</v>
      </c>
      <c r="G531" s="138" t="n">
        <f aca="false">COUNTIF($F$5:$F$500,"Maria")</f>
        <v>20</v>
      </c>
      <c r="H531" s="138" t="n">
        <f aca="false">SUMPRODUCT(($F$5:$F$500="Maria")*(($D$5:$D$500="Viernes")+($D$5:$D$500="Sábado")+($D$5:$D$500="Domingo")))</f>
        <v>9</v>
      </c>
      <c r="I531" s="138" t="n">
        <f aca="false">G531-H531</f>
        <v>11</v>
      </c>
      <c r="J531" s="138" t="n">
        <f aca="false">SUMPRODUCT(($E$5:$E$500&lt;&gt;"")*(($F$5:$F$500="Maria")+($G$5:$G$500="Maria")+($H$5:$H$500="Maria")+($I$5:$I$500="Maria")+($J$5:$J$500="Maria")+($K$5:$K$500="Maria")))</f>
        <v>0</v>
      </c>
      <c r="K531" s="138" t="n">
        <f aca="false">COUNTIF($F$5:$F$500,"Maria")+COUNTIF($G$5:$G$500,"Maria")+COUNTIF($H$5:$H$500,"Maria")+COUNTIF($I$5:$I$500,"Maria")+COUNTIF($J$5:$J$500,"Maria")+COUNTIF($K$5:$K$500,"Maria")</f>
        <v>41</v>
      </c>
    </row>
    <row r="532" customFormat="false" ht="15" hidden="false" customHeight="true" outlineLevel="0" collapsed="false">
      <c r="A532" s="137" t="s">
        <v>454</v>
      </c>
      <c r="B532" s="138" t="s">
        <v>499</v>
      </c>
      <c r="C532" s="138" t="s">
        <v>449</v>
      </c>
      <c r="D532" s="138" t="n">
        <f aca="false">SUMPRODUCT(($D$5:$D$500="Viernes")*(($F$5:$F$500="Gerard")+($G$5:$G$500="Gerard")+($H$5:$H$500="Gerard")+($I$5:$I$500="Gerard")+($J$5:$J$500="Gerard")+($K$5:$K$500="Gerard")))</f>
        <v>3</v>
      </c>
      <c r="E532" s="138" t="n">
        <f aca="false">SUMPRODUCT(($D$5:$D$500="Sábado")*(($F$5:$F$500="Gerard")+($G$5:$G$500="Gerard")+($H$5:$H$500="Gerard")+($I$5:$I$500="Gerard")+($J$5:$J$500="Gerard")+($K$5:$K$500="Gerard")))</f>
        <v>4</v>
      </c>
      <c r="F532" s="138" t="n">
        <f aca="false">SUMPRODUCT(($D$5:$D$500="Domingo")*(($F$5:$F$500="Gerard")+($G$5:$G$500="Gerard")+($H$5:$H$500="Gerard")+($I$5:$I$500="Gerard")+($J$5:$J$500="Gerard")+($K$5:$K$500="Gerard")))</f>
        <v>2</v>
      </c>
      <c r="G532" s="138" t="n">
        <f aca="false">COUNTIF($F$5:$F$500,"Gerard")</f>
        <v>12</v>
      </c>
      <c r="H532" s="138" t="n">
        <f aca="false">SUMPRODUCT(($F$5:$F$500="Gerard")*(($D$5:$D$500="Viernes")+($D$5:$D$500="Sábado")+($D$5:$D$500="Domingo")))</f>
        <v>6</v>
      </c>
      <c r="I532" s="138" t="n">
        <f aca="false">G532-H532</f>
        <v>6</v>
      </c>
      <c r="J532" s="138" t="n">
        <f aca="false">SUMPRODUCT(($E$5:$E$500&lt;&gt;"")*(($F$5:$F$500="Gerard")+($G$5:$G$500="Gerard")+($H$5:$H$500="Gerard")+($I$5:$I$500="Gerard")+($J$5:$J$500="Gerard")+($K$5:$K$500="Gerard")))</f>
        <v>0</v>
      </c>
      <c r="K532" s="138" t="n">
        <f aca="false">COUNTIF($F$5:$F$500,"Gerard")+COUNTIF($G$5:$G$500,"Gerard")+COUNTIF($H$5:$H$500,"Gerard")+COUNTIF($I$5:$I$500,"Gerard")+COUNTIF($J$5:$J$500,"Gerard")+COUNTIF($K$5:$K$500,"Gerard")</f>
        <v>24</v>
      </c>
    </row>
    <row r="533" customFormat="false" ht="15" hidden="false" customHeight="true" outlineLevel="0" collapsed="false">
      <c r="A533" s="137" t="s">
        <v>501</v>
      </c>
      <c r="B533" s="138" t="s">
        <v>499</v>
      </c>
      <c r="C533" s="138" t="s">
        <v>448</v>
      </c>
      <c r="D533" s="138" t="n">
        <f aca="false">SUMPRODUCT(($D$5:$D$500="Viernes")*(($F$5:$F$500="DavidR3")+($G$5:$G$500="DavidR3")+($H$5:$H$500="DavidR3")+($I$5:$I$500="DavidR3")+($J$5:$J$500="DavidR3")+($K$5:$K$500="DavidR3")))</f>
        <v>1</v>
      </c>
      <c r="E533" s="138" t="n">
        <f aca="false">SUMPRODUCT(($D$5:$D$500="Sábado")*(($F$5:$F$500="DavidR3")+($G$5:$G$500="DavidR3")+($H$5:$H$500="DavidR3")+($I$5:$I$500="DavidR3")+($J$5:$J$500="DavidR3")+($K$5:$K$500="DavidR3")))</f>
        <v>0</v>
      </c>
      <c r="F533" s="138" t="n">
        <f aca="false">SUMPRODUCT(($D$5:$D$500="Domingo")*(($F$5:$F$500="DavidR3")+($G$5:$G$500="DavidR3")+($H$5:$H$500="DavidR3")+($I$5:$I$500="DavidR3")+($J$5:$J$500="DavidR3")+($K$5:$K$500="DavidR3")))</f>
        <v>1</v>
      </c>
      <c r="G533" s="138" t="n">
        <f aca="false">COUNTIF($F$5:$F$500,"DavidR3")</f>
        <v>0</v>
      </c>
      <c r="H533" s="138" t="n">
        <f aca="false">SUMPRODUCT(($F$5:$F$500="DavidR3")*(($D$5:$D$500="Viernes")+($D$5:$D$500="Sábado")+($D$5:$D$500="Domingo")))</f>
        <v>0</v>
      </c>
      <c r="I533" s="138" t="n">
        <f aca="false">G533-H533</f>
        <v>0</v>
      </c>
      <c r="J533" s="138" t="n">
        <f aca="false">SUMPRODUCT(($E$5:$E$500&lt;&gt;"")*(($F$5:$F$500="DavidR3")+($G$5:$G$500="DavidR3")+($H$5:$H$500="DavidR3")+($I$5:$I$500="DavidR3")+($J$5:$J$500="DavidR3")+($K$5:$K$500="DavidR3")))</f>
        <v>0</v>
      </c>
      <c r="K533" s="138" t="n">
        <f aca="false">COUNTIF($F$5:$F$500,"DavidR3")+COUNTIF($G$5:$G$500,"DavidR3")+COUNTIF($H$5:$H$500,"DavidR3")+COUNTIF($I$5:$I$500,"DavidR3")+COUNTIF($J$5:$J$500,"DavidR3")+COUNTIF($K$5:$K$500,"DavidR3")</f>
        <v>4</v>
      </c>
    </row>
  </sheetData>
  <mergeCells count="3">
    <mergeCell ref="A1:K1"/>
    <mergeCell ref="A2:K2"/>
    <mergeCell ref="A504:L50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2026-08-09T14:05:43Z</dcterms:created>
  <dc:creator>openpyxl</dc:creator>
  <dc:description/>
  <dc:language>en-US</dc:language>
  <cp:lastModifiedBy>Pablo Rodríguez</cp:lastModifiedBy>
  <dcterms:modified xsi:type="dcterms:W3CDTF">2026-08-18T15:36:47Z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