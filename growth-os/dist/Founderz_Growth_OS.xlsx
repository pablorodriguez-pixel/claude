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éeme" sheetId="1" state="visible" r:id="rId1"/>
    <sheet name="Dashboard" sheetId="2" state="visible" r:id="rId2"/>
    <sheet name="Zoom departamento" sheetId="3" state="visible" r:id="rId3"/>
    <sheet name="Detalle proyecto" sheetId="4" state="visible" r:id="rId4"/>
    <sheet name="Proyectos" sheetId="5" state="visible" r:id="rId5"/>
    <sheet name="KPIs" sheetId="6" state="visible" r:id="rId6"/>
    <sheet name="Hitos" sheetId="7" state="visible" r:id="rId7"/>
    <sheet name="Config" sheetId="8" state="visible" r:id="rId8"/>
  </sheets>
  <definedNames>
    <definedName name="_xlnm._FilterDatabase" localSheetId="4" hidden="1">'Proyectos'!$A$1:$AB$41</definedName>
    <definedName name="_xlnm._FilterDatabase" localSheetId="5" hidden="1">'KPIs'!$A$1:$O$71</definedName>
    <definedName name="_xlnm._FilterDatabase" localSheetId="6" hidden="1">'Hitos'!$A$1:$L$81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#,##0 €"/>
    <numFmt numFmtId="167" formatCode="+0%;-0%;0%"/>
    <numFmt numFmtId="168" formatCode="0.00&quot;x&quot;"/>
    <numFmt numFmtId="169" formatCode="0.0%"/>
    <numFmt numFmtId="170" formatCode="0.# &quot;d&quot;"/>
    <numFmt numFmtId="171" formatCode="#,##0.###"/>
  </numFmts>
  <fonts count="20">
    <font>
      <name val="Calibri"/>
      <family val="2"/>
      <color theme="1"/>
      <sz val="11"/>
      <scheme val="minor"/>
    </font>
    <font>
      <name val="Trebuchet MS"/>
      <b val="1"/>
      <color rgb="00FFFFFF"/>
      <sz val="9"/>
    </font>
    <font>
      <name val="Trebuchet MS"/>
      <color rgb="00111115"/>
      <sz val="9"/>
    </font>
    <font>
      <name val="Trebuchet MS"/>
      <color rgb="005A5A5A"/>
      <sz val="9"/>
    </font>
    <font>
      <name val="Trebuchet MS"/>
      <b val="1"/>
      <color rgb="002F2976"/>
      <sz val="20"/>
    </font>
    <font>
      <name val="Trebuchet MS"/>
      <color rgb="005A5A5A"/>
      <sz val="10"/>
    </font>
    <font>
      <name val="Trebuchet MS"/>
      <i val="1"/>
      <color rgb="005045C8"/>
      <sz val="9"/>
    </font>
    <font>
      <name val="Trebuchet MS"/>
      <b val="1"/>
      <color rgb="005045C8"/>
      <sz val="8"/>
    </font>
    <font>
      <name val="Trebuchet MS"/>
      <b val="1"/>
      <color rgb="00111115"/>
      <sz val="16"/>
    </font>
    <font>
      <name val="Trebuchet MS"/>
      <b val="1"/>
      <color rgb="005045C8"/>
      <sz val="9"/>
    </font>
    <font>
      <name val="Trebuchet MS"/>
      <color rgb="005A5A5A"/>
      <sz val="8"/>
    </font>
    <font>
      <name val="Trebuchet MS"/>
      <b val="1"/>
      <color rgb="00111115"/>
      <sz val="11"/>
    </font>
    <font>
      <name val="Trebuchet MS"/>
      <b val="1"/>
      <color rgb="00111115"/>
      <sz val="12"/>
    </font>
    <font>
      <name val="Trebuchet MS"/>
      <b val="1"/>
      <color rgb="005A5A5A"/>
      <sz val="9"/>
    </font>
    <font>
      <name val="Trebuchet MS"/>
      <color rgb="00111115"/>
      <sz val="10"/>
    </font>
    <font>
      <name val="Trebuchet MS"/>
      <b val="1"/>
      <color rgb="005045C8"/>
      <sz val="10"/>
    </font>
    <font>
      <name val="Trebuchet MS"/>
      <b val="1"/>
      <color rgb="00111115"/>
      <sz val="9"/>
    </font>
    <font>
      <name val="Trebuchet MS"/>
      <b val="1"/>
      <color rgb="001F5D45"/>
      <sz val="9"/>
    </font>
    <font>
      <name val="Trebuchet MS"/>
      <b val="1"/>
      <color rgb="008A4B00"/>
      <sz val="9"/>
    </font>
    <font>
      <name val="Trebuchet MS"/>
      <b val="1"/>
      <color rgb="008C1F16"/>
      <sz val="9"/>
    </font>
  </fonts>
  <fills count="11">
    <fill>
      <patternFill/>
    </fill>
    <fill>
      <patternFill patternType="gray125"/>
    </fill>
    <fill>
      <patternFill patternType="solid">
        <fgColor rgb="005045C8"/>
      </patternFill>
    </fill>
    <fill>
      <patternFill patternType="solid">
        <fgColor rgb="002F2976"/>
      </patternFill>
    </fill>
    <fill>
      <patternFill patternType="solid">
        <fgColor rgb="00F6F6FB"/>
      </patternFill>
    </fill>
    <fill>
      <patternFill patternType="solid">
        <fgColor rgb="00EDEBFA"/>
      </patternFill>
    </fill>
    <fill>
      <patternFill patternType="solid">
        <fgColor rgb="00FFF9DB"/>
      </patternFill>
    </fill>
    <fill>
      <patternFill patternType="solid">
        <fgColor rgb="00FFFFFF"/>
      </patternFill>
    </fill>
    <fill>
      <patternFill patternType="solid">
        <fgColor rgb="00DFF0E8"/>
      </patternFill>
    </fill>
    <fill>
      <patternFill patternType="solid">
        <fgColor rgb="00FDECD3"/>
      </patternFill>
    </fill>
    <fill>
      <patternFill patternType="solid">
        <fgColor rgb="00FBDDDA"/>
      </patternFill>
    </fill>
  </fills>
  <borders count="13">
    <border>
      <left/>
      <right/>
      <top/>
      <bottom/>
      <diagonal/>
    </border>
    <border>
      <left style="thin">
        <color rgb="002F2976"/>
      </left>
      <right style="thin">
        <color rgb="002F2976"/>
      </right>
      <top style="thin">
        <color rgb="002F2976"/>
      </top>
      <bottom style="thin">
        <color rgb="002F2976"/>
      </bottom>
    </border>
    <border>
      <left style="thin">
        <color rgb="00DCDCE6"/>
      </left>
      <right style="thin">
        <color rgb="00DCDCE6"/>
      </right>
      <top style="thin">
        <color rgb="00DCDCE6"/>
      </top>
      <bottom style="thin">
        <color rgb="00DCDCE6"/>
      </bottom>
    </border>
    <border>
      <left style="thin">
        <color rgb="00EDEBFA"/>
      </left>
      <right style="thin">
        <color rgb="00EDEBFA"/>
      </right>
      <top style="thin">
        <color rgb="00EDEBFA"/>
      </top>
    </border>
    <border>
      <left style="thin">
        <color rgb="00EDEBFA"/>
      </left>
      <right style="thin">
        <color rgb="00EDEBFA"/>
      </right>
      <bottom style="thin">
        <color rgb="00EDEBFA"/>
      </bottom>
    </border>
    <border>
      <left style="thin">
        <color rgb="005045C8"/>
      </left>
      <right style="thin">
        <color rgb="005045C8"/>
      </right>
      <top style="thin">
        <color rgb="005045C8"/>
      </top>
      <bottom style="thin">
        <color rgb="005045C8"/>
      </bottom>
    </border>
    <border>
      <left/>
      <right/>
      <top style="thin">
        <color rgb="005045C8"/>
      </top>
      <bottom/>
      <diagonal/>
    </border>
    <border>
      <left/>
      <right style="thin">
        <color rgb="005045C8"/>
      </right>
      <top style="thin">
        <color rgb="005045C8"/>
      </top>
      <bottom/>
      <diagonal/>
    </border>
    <border>
      <left/>
      <right/>
      <top style="thin">
        <color rgb="005045C8"/>
      </top>
      <bottom style="thin">
        <color rgb="005045C8"/>
      </bottom>
      <diagonal/>
    </border>
    <border>
      <left/>
      <right style="thin">
        <color rgb="005045C8"/>
      </right>
      <top style="thin">
        <color rgb="005045C8"/>
      </top>
      <bottom style="thin">
        <color rgb="005045C8"/>
      </bottom>
      <diagonal/>
    </border>
    <border>
      <bottom style="thin">
        <color rgb="00DCDCE6"/>
      </bottom>
    </border>
    <border>
      <left/>
      <right/>
      <top/>
      <bottom style="thin">
        <color rgb="00DCDCE6"/>
      </bottom>
      <diagonal/>
    </border>
    <border>
      <bottom style="thin">
        <color rgb="005045C8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5" fillId="0" borderId="12" pivotButton="0" quotePrefix="0" xfId="0"/>
    <xf numFmtId="0" fontId="14" fillId="0" borderId="0" applyAlignment="1" pivotButton="0" quotePrefix="0" xfId="0">
      <alignment vertical="top" wrapText="1" indent="1"/>
    </xf>
    <xf numFmtId="0" fontId="9" fillId="0" borderId="0" applyAlignment="1" pivotButton="0" quotePrefix="0" xfId="0">
      <alignment horizontal="left" vertical="center"/>
    </xf>
    <xf numFmtId="0" fontId="16" fillId="7" borderId="2" pivotButton="0" quotePrefix="0" xfId="0"/>
    <xf numFmtId="0" fontId="16" fillId="6" borderId="2" pivotButton="0" quotePrefix="0" xfId="0"/>
    <xf numFmtId="0" fontId="13" fillId="4" borderId="2" pivotButton="0" quotePrefix="0" xfId="0"/>
    <xf numFmtId="0" fontId="17" fillId="8" borderId="2" pivotButton="0" quotePrefix="0" xfId="0"/>
    <xf numFmtId="0" fontId="18" fillId="9" borderId="2" pivotButton="0" quotePrefix="0" xfId="0"/>
    <xf numFmtId="0" fontId="19" fillId="1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3" applyAlignment="1" pivotButton="0" quotePrefix="0" xfId="0">
      <alignment horizontal="left" vertical="bottom" wrapText="1"/>
    </xf>
    <xf numFmtId="3" fontId="8" fillId="5" borderId="4" applyAlignment="1" pivotButton="0" quotePrefix="0" xfId="0">
      <alignment horizontal="left" vertical="center"/>
    </xf>
    <xf numFmtId="9" fontId="8" fillId="5" borderId="4" applyAlignment="1" pivotButton="0" quotePrefix="0" xfId="0">
      <alignment horizontal="left" vertical="center"/>
    </xf>
    <xf numFmtId="166" fontId="8" fillId="5" borderId="4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11" fillId="6" borderId="5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166" fontId="2" fillId="0" borderId="2" applyAlignment="1" pivotButton="0" quotePrefix="0" xfId="0">
      <alignment horizontal="right" vertical="center"/>
    </xf>
    <xf numFmtId="171" fontId="2" fillId="0" borderId="2" applyAlignment="1" pivotButton="0" quotePrefix="0" xfId="0">
      <alignment horizontal="right" vertical="center"/>
    </xf>
    <xf numFmtId="0" fontId="12" fillId="6" borderId="5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top"/>
    </xf>
    <xf numFmtId="0" fontId="14" fillId="0" borderId="10" applyAlignment="1" pivotButton="0" quotePrefix="0" xfId="0">
      <alignment horizontal="left" vertical="top"/>
    </xf>
    <xf numFmtId="0" fontId="0" fillId="0" borderId="11" pivotButton="0" quotePrefix="0" xfId="0"/>
    <xf numFmtId="165" fontId="14" fillId="0" borderId="10" applyAlignment="1" pivotButton="0" quotePrefix="0" xfId="0">
      <alignment horizontal="left" vertical="top"/>
    </xf>
    <xf numFmtId="3" fontId="14" fillId="0" borderId="10" applyAlignment="1" pivotButton="0" quotePrefix="0" xfId="0">
      <alignment horizontal="left" vertical="top"/>
    </xf>
    <xf numFmtId="9" fontId="14" fillId="0" borderId="10" applyAlignment="1" pivotButton="0" quotePrefix="0" xfId="0">
      <alignment horizontal="left" vertical="top"/>
    </xf>
    <xf numFmtId="167" fontId="14" fillId="0" borderId="10" applyAlignment="1" pivotButton="0" quotePrefix="0" xfId="0">
      <alignment horizontal="left" vertical="top"/>
    </xf>
    <xf numFmtId="166" fontId="14" fillId="0" borderId="10" applyAlignment="1" pivotButton="0" quotePrefix="0" xfId="0">
      <alignment horizontal="left" vertical="top"/>
    </xf>
    <xf numFmtId="0" fontId="14" fillId="0" borderId="10" applyAlignment="1" pivotButton="0" quotePrefix="0" xfId="0">
      <alignment horizontal="left" vertical="top" wrapText="1"/>
    </xf>
    <xf numFmtId="0" fontId="14" fillId="0" borderId="1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5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9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167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9" fontId="3" fillId="4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2" applyAlignment="1" pivotButton="0" quotePrefix="0" xfId="0">
      <alignment horizontal="center" vertical="center"/>
    </xf>
    <xf numFmtId="170" fontId="2" fillId="0" borderId="2" applyAlignment="1" pivotButton="0" quotePrefix="0" xfId="0">
      <alignment horizontal="center" vertical="center"/>
    </xf>
    <xf numFmtId="171" fontId="2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dxfs count="5">
    <dxf>
      <font>
        <name val="Trebuchet MS"/>
        <b val="1"/>
        <color rgb="006E6E78"/>
        <sz val="9"/>
      </font>
      <fill>
        <patternFill patternType="solid">
          <bgColor rgb="00F0F0F4"/>
        </patternFill>
      </fill>
    </dxf>
    <dxf>
      <font>
        <name val="Trebuchet MS"/>
        <b val="1"/>
        <color rgb="002F2976"/>
        <sz val="9"/>
      </font>
      <fill>
        <patternFill patternType="solid">
          <bgColor rgb="00E4E1F7"/>
        </patternFill>
      </fill>
    </dxf>
    <dxf>
      <font>
        <name val="Trebuchet MS"/>
        <b val="1"/>
        <color rgb="008A4B00"/>
        <sz val="9"/>
      </font>
      <fill>
        <patternFill patternType="solid">
          <bgColor rgb="00FDECD3"/>
        </patternFill>
      </fill>
    </dxf>
    <dxf>
      <font>
        <name val="Trebuchet MS"/>
        <b val="1"/>
        <color rgb="008C1F16"/>
        <sz val="9"/>
      </font>
      <fill>
        <patternFill patternType="solid">
          <bgColor rgb="00FBDDDA"/>
        </patternFill>
      </fill>
    </dxf>
    <dxf>
      <font>
        <name val="Trebuchet MS"/>
        <b val="1"/>
        <color rgb="001F5D45"/>
        <sz val="9"/>
      </font>
      <fill>
        <patternFill patternType="solid">
          <bgColor rgb="00DF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Growth OS</author>
  </authors>
  <commentList>
    <comment ref="B6" authorId="0" shapeId="0">
      <text>
        <t>Filas con ID en la hoja Proyectos.</t>
      </text>
    </comment>
    <comment ref="C6" authorId="0" shapeId="0">
      <text>
        <t>Estados considerados activos: En curso, En riesgo, Bloqueado.</t>
      </text>
    </comment>
    <comment ref="E6" authorId="0" shapeId="0">
      <text>
        <t>Media simple del avance de los proyectos no cancelados.</t>
      </text>
    </comment>
    <comment ref="F6" authorId="0" shapeId="0">
      <text>
        <t>Suma del presupuesto de los proyectos no cancelados.</t>
      </text>
    </comment>
    <comment ref="I6" authorId="0" shapeId="0">
      <text>
        <t>Hitos con fecha objetivo pasada y estado distinto de Completado o Cancelado.</t>
      </text>
    </comment>
    <comment ref="J6" authorId="0" shapeId="0">
      <text>
        <t>KPIs con menos del 30% del recorrido baseline→target cubierto.</t>
      </text>
    </comment>
  </commentList>
</comments>
</file>

<file path=xl/comments/comment2.xml><?xml version="1.0" encoding="utf-8"?>
<comments xmlns="http://schemas.openxmlformats.org/spreadsheetml/2006/main">
  <authors>
    <author>Growth OS</author>
  </authors>
  <commentList>
    <comment ref="C9" authorId="0" shapeId="0">
      <text>
        <t>Estados activos: En curso, En riesgo, Bloqueado.</t>
      </text>
    </comment>
    <comment ref="I9" authorId="0" shapeId="0">
      <text>
        <t>Los hitos y los KPIs se filtran por departamento y subárea; el filtro de Estado sólo se aplica a la tabla de proyectos.</t>
      </text>
    </comment>
  </commentList>
</comments>
</file>

<file path=xl/comments/comment3.xml><?xml version="1.0" encoding="utf-8"?>
<comments xmlns="http://schemas.openxmlformats.org/spreadsheetml/2006/main">
  <authors>
    <author>Growth OS</author>
  </authors>
  <commentList>
    <comment ref="S1" authorId="0" shapeId="0">
      <text>
        <t>Gasto € / Presupuesto €.</t>
      </text>
    </comment>
    <comment ref="T1" authorId="0" shapeId="0">
      <text>
        <t>Fin previsto − hoy. Vacío si el proyecto está Completado o Cancelado.</t>
      </text>
    </comment>
    <comment ref="U1" authorId="0" shapeId="0">
      <text>
        <t>Proporción de calendario ya transcurrida, acotada entre 0 y 1: (hoy − inicio) / (fin − inicio).</t>
      </text>
    </comment>
    <comment ref="V1" authorId="0" shapeId="0">
      <text>
        <t>Avance real − avance esperado. Negativo = vamos por detrás del calendario.</t>
      </text>
    </comment>
    <comment ref="W1" authorId="0" shapeId="0">
      <text>
        <t>Vencido si quedan días &lt; 0; Inminente si quedan ≤ 14 días; Desviado si la desviación &lt; −15pp; en el resto En plazo.</t>
      </text>
    </comment>
    <comment ref="Y1" authorId="0" shapeId="0">
      <text>
        <t>Media del % de consecución de los KPIs del proyecto (hoja KPIs).</t>
      </text>
    </comment>
    <comment ref="AB1" authorId="0" shapeId="0">
      <text>
        <t>Hitos con fecha objetivo pasada cuyo estado no es Completado ni Cancelado.</t>
      </text>
    </comment>
  </commentList>
</comments>
</file>

<file path=xl/comments/comment4.xml><?xml version="1.0" encoding="utf-8"?>
<comments xmlns="http://schemas.openxmlformats.org/spreadsheetml/2006/main">
  <authors>
    <author>Growth OS</author>
  </authors>
  <commentList>
    <comment ref="E1" authorId="0" shapeId="0">
      <text>
        <t>Subir = mejor cuanto más alto (matrículas, CVR). Bajar = mejor cuanto más bajo (CAC, CPL, días de ciclo).</t>
      </text>
    </comment>
    <comment ref="N1" authorId="0" shapeId="0">
      <text>
        <t>Si Dirección = Subir: (Actual − Baseline) / (Target − Baseline). Si Dirección = Bajar: (Baseline − Actual) / (Baseline − Target). 100% = target alcanzado; puede pasar de 100% o ser negativo.</t>
      </text>
    </comment>
    <comment ref="O1" authorId="0" shapeId="0">
      <text>
        <t>≥100% Conseguido · ≥70% En camino · ≥30% Atención · &lt;30% Crítico.</t>
      </text>
    </comment>
  </commentList>
</comments>
</file>

<file path=xl/comments/comment5.xml><?xml version="1.0" encoding="utf-8"?>
<comments xmlns="http://schemas.openxmlformats.org/spreadsheetml/2006/main">
  <authors>
    <author>Growth OS</author>
  </authors>
  <commentList>
    <comment ref="K1" authorId="0" shapeId="0">
      <text>
        <t>Fecha objetivo − hoy. Vacío si el hito está Completado o Cancelado.</t>
      </text>
    </comment>
    <comment ref="L1" authorId="0" shapeId="0">
      <text>
        <t>Vencido (&lt;0 días) · Esta semana (≤7) · Próximos 30 días (≤30) · En plazo.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EDEBFA"/>
    <outlinePr summaryBelow="1" summaryRight="1"/>
    <pageSetUpPr/>
  </sheetPr>
  <dimension ref="B2:B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2" ht="30" customHeight="1">
      <c r="B2" s="1" t="inlineStr">
        <is>
          <t>Growth OS — cómo funciona este fichero</t>
        </is>
      </c>
    </row>
    <row r="3" ht="45" customHeight="1">
      <c r="B3" s="2" t="inlineStr">
        <is>
          <t>Este Excel es la interfaz de trabajo de un sistema cuya fuente de la verdad vive en el repositorio de GitHub (growth-os/data/*.yaml). El fichero se genera desde esos datos y se puede volver a importar, de modo que cada estado del portfolio queda versionado y es auditable.</t>
        </is>
      </c>
    </row>
    <row r="4">
      <c r="B4" t="inlineStr">
        <is>
          <t>El ciclo de trabajo</t>
        </is>
      </c>
    </row>
    <row r="5" ht="24" customHeight="1">
      <c r="B5" s="3" t="inlineStr">
        <is>
          <t>EL CICLO DE TRABAJO</t>
        </is>
      </c>
    </row>
    <row r="6" ht="15" customHeight="1">
      <c r="B6" s="4" t="inlineStr">
        <is>
          <t>1. Tú editas en Excel: estados, avances, gastos, fechas, KPIs, hitos. Sólo las columnas de fondo blanco.</t>
        </is>
      </c>
    </row>
    <row r="7" ht="15" customHeight="1">
      <c r="B7" s="4" t="inlineStr">
        <is>
          <t>2. Guardas el fichero en su carpeta de OneDrive/SharePoint.</t>
        </is>
      </c>
    </row>
    <row r="8" ht="30" customHeight="1">
      <c r="B8" s="4" t="inlineStr">
        <is>
          <t>3. Le dices al agente «sincroniza el Growth OS». El agente lee el Excel, actualiza los YAML del repo y hace commit: ahí queda el histórico.</t>
        </is>
      </c>
    </row>
    <row r="9" ht="30" customHeight="1">
      <c r="B9" s="4" t="inlineStr">
        <is>
          <t>4. Cuando hay cambios estructurales (nuevos departamentos, columnas, métricas o reglas de cálculo), el agente regenera el Excel y lo vuelve a subir.</t>
        </is>
      </c>
    </row>
    <row r="10">
      <c r="B10" t="inlineStr">
        <is>
          <t>Reglas de oro</t>
        </is>
      </c>
    </row>
    <row r="11" ht="24" customHeight="1">
      <c r="B11" s="3" t="inlineStr">
        <is>
          <t>REGLAS DE ORO</t>
        </is>
      </c>
    </row>
    <row r="12" ht="15" customHeight="1">
      <c r="B12" s="4" t="inlineStr">
        <is>
          <t>No renombres las hojas ni las cabeceras de columna: el importador las busca por nombre.</t>
        </is>
      </c>
    </row>
    <row r="13" ht="30" customHeight="1">
      <c r="B13" s="4" t="inlineStr">
        <is>
          <t>No escribas en las columnas marcadas con «ƒ» ni en las de fondo gris. Son fórmulas y se sobreescriben en cada regeneración.</t>
        </is>
      </c>
    </row>
    <row r="14" ht="30" customHeight="1">
      <c r="B14" s="4" t="inlineStr">
        <is>
          <t>Para dar de baja una fila, vacíala o pon el estado en Cancelado. No borres la fila entera desde el medio de la tabla.</t>
        </is>
      </c>
    </row>
    <row r="15" ht="30" customHeight="1">
      <c r="B15" s="4" t="inlineStr">
        <is>
          <t>El ID es la clave que une las tres hojas de datos. Si cambias un ID de proyecto, cambia también el «Proyecto ID» de sus KPIs e hitos.</t>
        </is>
      </c>
    </row>
    <row r="16" ht="15" customHeight="1">
      <c r="B16" s="4" t="inlineStr">
        <is>
          <t>Los porcentajes se guardan como fracción: escribe 35% (o 0,35), no 35.</t>
        </is>
      </c>
    </row>
    <row r="17" ht="30" customHeight="1">
      <c r="B17" s="4" t="inlineStr">
        <is>
          <t>Hay filas vacías de más en Proyectos, KPIs e Hitos para que puedas añadir registros sin regenerar nada: las fórmulas ya están puestas y se activan al rellenar el ID.</t>
        </is>
      </c>
    </row>
    <row r="18">
      <c r="B18" t="inlineStr">
        <is>
          <t>Qué hay en cada hoja</t>
        </is>
      </c>
    </row>
    <row r="19" ht="24" customHeight="1">
      <c r="B19" s="3" t="inlineStr">
        <is>
          <t>QUÉ HAY EN CADA HOJA</t>
        </is>
      </c>
    </row>
    <row r="20" ht="30" customHeight="1">
      <c r="B20" s="4" t="inlineStr">
        <is>
          <t>Dashboard — nivel compañía. Portfolio por estado, por departamento y por subárea, proyectos que requieren atención e hitos calientes.</t>
        </is>
      </c>
    </row>
    <row r="21" ht="30" customHeight="1">
      <c r="B21" s="4" t="inlineStr">
        <is>
          <t>Zoom departamento — nivel departamento y subárea. Tres desplegables (amarillos) filtran las tarjetas y las tres tablas: proyectos, KPIs e hitos.</t>
        </is>
      </c>
    </row>
    <row r="22" ht="15" customHeight="1">
      <c r="B22" s="4" t="inlineStr">
        <is>
          <t>Detalle proyecto — nivel proyecto. Ficha completa del proyecto elegido más sus KPIs y sus hitos.</t>
        </is>
      </c>
    </row>
    <row r="23" ht="15" customHeight="1">
      <c r="B23" s="4" t="inlineStr">
        <is>
          <t>Proyectos / KPIs / Hitos — las tres tablas de entrada de datos. Aquí se escribe.</t>
        </is>
      </c>
    </row>
    <row r="24" ht="15" customHeight="1">
      <c r="B24" s="4" t="inlineStr">
        <is>
          <t>Config — listas que alimentan los desplegables. Se regeneran desde taxonomia.yaml.</t>
        </is>
      </c>
    </row>
    <row r="25">
      <c r="B25" t="inlineStr">
        <is>
          <t>Cómo se calcula lo calculado</t>
        </is>
      </c>
    </row>
    <row r="26" ht="24" customHeight="1">
      <c r="B26" s="3" t="inlineStr">
        <is>
          <t>CÓMO SE CALCULA LO CALCULADO</t>
        </is>
      </c>
    </row>
    <row r="27" ht="30" customHeight="1">
      <c r="B27" s="4" t="inlineStr">
        <is>
          <t>Avance esperado = (hoy − inicio) / (fin previsto − inicio), acotado entre 0% y 100%. Es el avance que tocaría tener si el proyecto fuera a ritmo de calendario.</t>
        </is>
      </c>
    </row>
    <row r="28" ht="15" customHeight="1">
      <c r="B28" s="4" t="inlineStr">
        <is>
          <t>Desviación = avance real − avance esperado. Por debajo de −15pp el proyecto se marca como Desviado.</t>
        </is>
      </c>
    </row>
    <row r="29" ht="30" customHeight="1">
      <c r="B29" s="4" t="inlineStr">
        <is>
          <t>Semáforo = Vencido si la fecha de fin ya pasó · Inminente si quedan 14 días o menos · Desviado si la desviación baja de −15pp · En plazo en el resto de casos.</t>
        </is>
      </c>
    </row>
    <row r="30" ht="30" customHeight="1">
      <c r="B30" s="4" t="inlineStr">
        <is>
          <t>% consecución de un KPI = parte del recorrido baseline→target ya cubierta, teniendo en cuenta la dirección: si el KPI es de los que hay que bajar (CAC, CPL), el cálculo se invierte. 100% = target alcanzado.</t>
        </is>
      </c>
    </row>
    <row r="31" ht="15" customHeight="1">
      <c r="B31" s="4" t="inlineStr">
        <is>
          <t>Estado de un KPI = Conseguido ≥100% · En camino ≥70% · Atención ≥30% · Crítico por debajo.</t>
        </is>
      </c>
    </row>
    <row r="32" ht="15" customHeight="1">
      <c r="B32" s="4" t="inlineStr">
        <is>
          <t>Hito vencido = fecha objetivo anterior a hoy y estado distinto de Completado o Cancelado.</t>
        </is>
      </c>
    </row>
    <row r="33">
      <c r="B33" t="inlineStr">
        <is>
          <t>Añadir un departamento nuevo</t>
        </is>
      </c>
    </row>
    <row r="34" ht="24" customHeight="1">
      <c r="B34" s="3" t="inlineStr">
        <is>
          <t>AÑADIR UN DEPARTAMENTO NUEVO</t>
        </is>
      </c>
    </row>
    <row r="35" ht="45" customHeight="1">
      <c r="B35" s="2" t="inlineStr">
        <is>
          <t>El sistema está montado para escalar más allá de Growth. En el repo, añade el bloque del departamento y sus subáreas en growth-os/data/departamentos.yaml, y pídele al agente que regenere: el Dashboard, los desplegables y el Zoom lo recogen automáticamente, sin tocar fórmulas.</t>
        </is>
      </c>
    </row>
    <row r="36">
      <c r="B36" t="inlineStr">
        <is>
          <t>Datos de ejemplo</t>
        </is>
      </c>
    </row>
    <row r="37" ht="24" customHeight="1">
      <c r="B37" s="3" t="inlineStr">
        <is>
          <t>DATOS DE EJEMPLO</t>
        </is>
      </c>
    </row>
    <row r="38" ht="45" customHeight="1">
      <c r="B38" s="2" t="inlineStr">
        <is>
          <t>El fichero se entrega con 12 proyectos, 29 KPIs y 41 hitos de ejemplo: son realistas pero inventados, y están ahí para que se vea el sistema funcionando y para que sirvan de plantilla de formato. Sustitúyelos por los reales.</t>
        </is>
      </c>
    </row>
    <row r="40">
      <c r="B40" s="5" t="inlineStr">
        <is>
          <t>LEYENDA</t>
        </is>
      </c>
    </row>
    <row r="41">
      <c r="B41" s="6" t="inlineStr">
        <is>
          <t xml:space="preserve">   Celda editable (fondo blanco)</t>
        </is>
      </c>
    </row>
    <row r="42">
      <c r="B42" s="7" t="inlineStr">
        <is>
          <t xml:space="preserve">   Filtro editable</t>
        </is>
      </c>
    </row>
    <row r="43">
      <c r="B43" s="8" t="inlineStr">
        <is>
          <t xml:space="preserve">   Columna calculada — no escribir (ƒ, fondo gris)</t>
        </is>
      </c>
    </row>
    <row r="44">
      <c r="B44" s="9" t="inlineStr">
        <is>
          <t xml:space="preserve">   Bien / conseguido / en plazo</t>
        </is>
      </c>
    </row>
    <row r="45">
      <c r="B45" s="10" t="inlineStr">
        <is>
          <t xml:space="preserve">   Atención / inminente / desviado</t>
        </is>
      </c>
    </row>
    <row r="46">
      <c r="B46" s="11" t="inlineStr">
        <is>
          <t xml:space="preserve">   Crítico / vencido / bloqueado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2976"/>
    <outlinePr summaryBelow="1" summaryRight="1"/>
    <pageSetUpPr/>
  </sheetPr>
  <dimension ref="B2:BO8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7" customWidth="1" min="2" max="2"/>
    <col width="34" customWidth="1" min="3" max="3"/>
    <col width="22" customWidth="1" min="4" max="4"/>
    <col width="18" customWidth="1" min="5" max="5"/>
    <col width="15" customWidth="1" min="6" max="6"/>
    <col width="15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hidden="1" width="3" customWidth="1" min="60" max="60"/>
    <col hidden="1" width="3" customWidth="1" min="62" max="62"/>
    <col hidden="1" width="3" customWidth="1" min="63" max="63"/>
    <col hidden="1" width="3" customWidth="1" min="64" max="64"/>
    <col hidden="1" width="3" customWidth="1" min="66" max="66"/>
    <col hidden="1" width="3" customWidth="1" min="67" max="67"/>
  </cols>
  <sheetData>
    <row r="2">
      <c r="B2" s="1" t="inlineStr">
        <is>
          <t>Founderz · Growth OS</t>
        </is>
      </c>
      <c r="BJ2">
        <f>IF(AND(Proyectos!$A2&lt;&gt;"",OR(Proyectos!$H2="En riesgo",Proyectos!$H2="Bloqueado",Proyectos!$AB2&gt;0,IF(Proyectos!$V2="",FALSE,Proyectos!$V2&lt;-0.15))),BK2,"")</f>
        <v/>
      </c>
      <c r="BK2">
        <f>IF(AND(Proyectos!$A2&lt;&gt;"",OR(Proyectos!$H2="En riesgo",Proyectos!$H2="Bloqueado",Proyectos!$AB2&gt;0,IF(Proyectos!$V2="",FALSE,Proyectos!$V2&lt;-0.15))),N(BK1)+1,N(BK1))</f>
        <v/>
      </c>
      <c r="BN2">
        <f>IF(AND(Hitos!$A2&lt;&gt;"",OR(Hitos!$L2="Vencido",Hitos!$L2="Esta semana",Hitos!$L2="Próximos 30 días")),BO2,"")</f>
        <v/>
      </c>
      <c r="BO2">
        <f>IF(AND(Hitos!$A2&lt;&gt;"",OR(Hitos!$L2="Vencido",Hitos!$L2="Esta semana",Hitos!$L2="Próximos 30 días")),N(BO1)+1,N(BO1))</f>
        <v/>
      </c>
    </row>
    <row r="3">
      <c r="B3" s="12" t="inlineStr">
        <is>
          <t>Panel de dirección — portfolio de proyectos, KPIs e hitos. Todo lo que ves aquí se calcula desde las hojas Proyectos, KPIs y Hitos.</t>
        </is>
      </c>
      <c r="BJ3">
        <f>IF(AND(Proyectos!$A3&lt;&gt;"",OR(Proyectos!$H3="En riesgo",Proyectos!$H3="Bloqueado",Proyectos!$AB3&gt;0,IF(Proyectos!$V3="",FALSE,Proyectos!$V3&lt;-0.15))),BK3,"")</f>
        <v/>
      </c>
      <c r="BK3">
        <f>IF(AND(Proyectos!$A3&lt;&gt;"",OR(Proyectos!$H3="En riesgo",Proyectos!$H3="Bloqueado",Proyectos!$AB3&gt;0,IF(Proyectos!$V3="",FALSE,Proyectos!$V3&lt;-0.15))),N(BK2)+1,N(BK2))</f>
        <v/>
      </c>
      <c r="BN3">
        <f>IF(AND(Hitos!$A3&lt;&gt;"",OR(Hitos!$L3="Vencido",Hitos!$L3="Esta semana",Hitos!$L3="Próximos 30 días")),BO3,"")</f>
        <v/>
      </c>
      <c r="BO3">
        <f>IF(AND(Hitos!$A3&lt;&gt;"",OR(Hitos!$L3="Vencido",Hitos!$L3="Esta semana",Hitos!$L3="Próximos 30 días")),N(BO2)+1,N(BO2))</f>
        <v/>
      </c>
    </row>
    <row r="4">
      <c r="B4" s="13">
        <f>"Datos a fecha de "&amp;TEXT(TODAY(),"dd/mm/yyyy")</f>
        <v/>
      </c>
      <c r="BJ4">
        <f>IF(AND(Proyectos!$A4&lt;&gt;"",OR(Proyectos!$H4="En riesgo",Proyectos!$H4="Bloqueado",Proyectos!$AB4&gt;0,IF(Proyectos!$V4="",FALSE,Proyectos!$V4&lt;-0.15))),BK4,"")</f>
        <v/>
      </c>
      <c r="BK4">
        <f>IF(AND(Proyectos!$A4&lt;&gt;"",OR(Proyectos!$H4="En riesgo",Proyectos!$H4="Bloqueado",Proyectos!$AB4&gt;0,IF(Proyectos!$V4="",FALSE,Proyectos!$V4&lt;-0.15))),N(BK3)+1,N(BK3))</f>
        <v/>
      </c>
      <c r="BN4">
        <f>IF(AND(Hitos!$A4&lt;&gt;"",OR(Hitos!$L4="Vencido",Hitos!$L4="Esta semana",Hitos!$L4="Próximos 30 días")),BO4,"")</f>
        <v/>
      </c>
      <c r="BO4">
        <f>IF(AND(Hitos!$A4&lt;&gt;"",OR(Hitos!$L4="Vencido",Hitos!$L4="Esta semana",Hitos!$L4="Próximos 30 días")),N(BO3)+1,N(BO3))</f>
        <v/>
      </c>
    </row>
    <row r="5">
      <c r="BJ5">
        <f>IF(AND(Proyectos!$A5&lt;&gt;"",OR(Proyectos!$H5="En riesgo",Proyectos!$H5="Bloqueado",Proyectos!$AB5&gt;0,IF(Proyectos!$V5="",FALSE,Proyectos!$V5&lt;-0.15))),BK5,"")</f>
        <v/>
      </c>
      <c r="BK5">
        <f>IF(AND(Proyectos!$A5&lt;&gt;"",OR(Proyectos!$H5="En riesgo",Proyectos!$H5="Bloqueado",Proyectos!$AB5&gt;0,IF(Proyectos!$V5="",FALSE,Proyectos!$V5&lt;-0.15))),N(BK4)+1,N(BK4))</f>
        <v/>
      </c>
      <c r="BN5">
        <f>IF(AND(Hitos!$A5&lt;&gt;"",OR(Hitos!$L5="Vencido",Hitos!$L5="Esta semana",Hitos!$L5="Próximos 30 días")),BO5,"")</f>
        <v/>
      </c>
      <c r="BO5">
        <f>IF(AND(Hitos!$A5&lt;&gt;"",OR(Hitos!$L5="Vencido",Hitos!$L5="Esta semana",Hitos!$L5="Próximos 30 días")),N(BO4)+1,N(BO4))</f>
        <v/>
      </c>
    </row>
    <row r="6" ht="26" customHeight="1">
      <c r="B6" s="14" t="inlineStr">
        <is>
          <t>Proyectos totales</t>
        </is>
      </c>
      <c r="C6" s="14" t="inlineStr">
        <is>
          <t>Activos</t>
        </is>
      </c>
      <c r="D6" s="14" t="inlineStr">
        <is>
          <t>En riesgo o bloqueados</t>
        </is>
      </c>
      <c r="E6" s="14" t="inlineStr">
        <is>
          <t>Avance medio</t>
        </is>
      </c>
      <c r="F6" s="14" t="inlineStr">
        <is>
          <t>Presupuesto comprometido</t>
        </is>
      </c>
      <c r="G6" s="14" t="inlineStr">
        <is>
          <t>Gasto acumulado</t>
        </is>
      </c>
      <c r="H6" s="14" t="inlineStr">
        <is>
          <t>% presupuesto consumido</t>
        </is>
      </c>
      <c r="I6" s="14" t="inlineStr">
        <is>
          <t>Hitos vencidos</t>
        </is>
      </c>
      <c r="J6" s="14" t="inlineStr">
        <is>
          <t>KPIs en crítico</t>
        </is>
      </c>
      <c r="BJ6">
        <f>IF(AND(Proyectos!$A6&lt;&gt;"",OR(Proyectos!$H6="En riesgo",Proyectos!$H6="Bloqueado",Proyectos!$AB6&gt;0,IF(Proyectos!$V6="",FALSE,Proyectos!$V6&lt;-0.15))),BK6,"")</f>
        <v/>
      </c>
      <c r="BK6">
        <f>IF(AND(Proyectos!$A6&lt;&gt;"",OR(Proyectos!$H6="En riesgo",Proyectos!$H6="Bloqueado",Proyectos!$AB6&gt;0,IF(Proyectos!$V6="",FALSE,Proyectos!$V6&lt;-0.15))),N(BK5)+1,N(BK5))</f>
        <v/>
      </c>
      <c r="BN6">
        <f>IF(AND(Hitos!$A6&lt;&gt;"",OR(Hitos!$L6="Vencido",Hitos!$L6="Esta semana",Hitos!$L6="Próximos 30 días")),BO6,"")</f>
        <v/>
      </c>
      <c r="BO6">
        <f>IF(AND(Hitos!$A6&lt;&gt;"",OR(Hitos!$L6="Vencido",Hitos!$L6="Esta semana",Hitos!$L6="Próximos 30 días")),N(BO5)+1,N(BO5))</f>
        <v/>
      </c>
    </row>
    <row r="7" ht="30" customHeight="1">
      <c r="B7" s="15">
        <f>COUNTA(Proyectos!$A$2:$A$41)</f>
        <v/>
      </c>
      <c r="C7" s="15">
        <f>COUNTIF(Proyectos!$H$2:$H$41,"En curso")+COUNTIF(Proyectos!$H$2:$H$41,"En riesgo")+COUNTIF(Proyectos!$H$2:$H$41,"Bloqueado")</f>
        <v/>
      </c>
      <c r="D7" s="15">
        <f>COUNTIF(Proyectos!$H$2:$H$41,"En riesgo")+COUNTIF(Proyectos!$H$2:$H$41,"Bloqueado")</f>
        <v/>
      </c>
      <c r="E7" s="16">
        <f>IFERROR(SUMPRODUCT((Proyectos!$A$2:$A$41&lt;&gt;"")*(Proyectos!$H$2:$H$41&lt;&gt;"Cancelado")*Proyectos!$L$2:$L$41)/SUMPRODUCT((Proyectos!$A$2:$A$41&lt;&gt;"")*(Proyectos!$H$2:$H$41&lt;&gt;"Cancelado")*1),"")</f>
        <v/>
      </c>
      <c r="F7" s="17">
        <f>SUMPRODUCT((Proyectos!$H$2:$H$41&lt;&gt;"Cancelado")*Proyectos!$N$2:$N$41)</f>
        <v/>
      </c>
      <c r="G7" s="17">
        <f>SUMPRODUCT((Proyectos!$H$2:$H$41&lt;&gt;"Cancelado")*Proyectos!$O$2:$O$41)</f>
        <v/>
      </c>
      <c r="H7" s="16">
        <f>IFERROR(SUMPRODUCT((Proyectos!$H$2:$H$41&lt;&gt;"Cancelado")*Proyectos!$O$2:$O$41)/SUMPRODUCT((Proyectos!$H$2:$H$41&lt;&gt;"Cancelado")*Proyectos!$N$2:$N$41),"")</f>
        <v/>
      </c>
      <c r="I7" s="15">
        <f>SUMPRODUCT((Hitos!$A$2:$A$81&lt;&gt;"")*(Hitos!$E$2:$E$81&lt;&gt;"")*(Hitos!$E$2:$E$81&lt;TODAY())*(Hitos!$F$2:$F$81&lt;&gt;"Completado")*(Hitos!$F$2:$F$81&lt;&gt;"Cancelado"))</f>
        <v/>
      </c>
      <c r="J7" s="15">
        <f>COUNTIF(KPIs!$O$2:$O$71,"Crítico")</f>
        <v/>
      </c>
      <c r="BJ7">
        <f>IF(AND(Proyectos!$A7&lt;&gt;"",OR(Proyectos!$H7="En riesgo",Proyectos!$H7="Bloqueado",Proyectos!$AB7&gt;0,IF(Proyectos!$V7="",FALSE,Proyectos!$V7&lt;-0.15))),BK7,"")</f>
        <v/>
      </c>
      <c r="BK7">
        <f>IF(AND(Proyectos!$A7&lt;&gt;"",OR(Proyectos!$H7="En riesgo",Proyectos!$H7="Bloqueado",Proyectos!$AB7&gt;0,IF(Proyectos!$V7="",FALSE,Proyectos!$V7&lt;-0.15))),N(BK6)+1,N(BK6))</f>
        <v/>
      </c>
      <c r="BN7">
        <f>IF(AND(Hitos!$A7&lt;&gt;"",OR(Hitos!$L7="Vencido",Hitos!$L7="Esta semana",Hitos!$L7="Próximos 30 días")),BO7,"")</f>
        <v/>
      </c>
      <c r="BO7">
        <f>IF(AND(Hitos!$A7&lt;&gt;"",OR(Hitos!$L7="Vencido",Hitos!$L7="Esta semana",Hitos!$L7="Próximos 30 días")),N(BO6)+1,N(BO6))</f>
        <v/>
      </c>
    </row>
    <row r="8">
      <c r="BJ8">
        <f>IF(AND(Proyectos!$A8&lt;&gt;"",OR(Proyectos!$H8="En riesgo",Proyectos!$H8="Bloqueado",Proyectos!$AB8&gt;0,IF(Proyectos!$V8="",FALSE,Proyectos!$V8&lt;-0.15))),BK8,"")</f>
        <v/>
      </c>
      <c r="BK8">
        <f>IF(AND(Proyectos!$A8&lt;&gt;"",OR(Proyectos!$H8="En riesgo",Proyectos!$H8="Bloqueado",Proyectos!$AB8&gt;0,IF(Proyectos!$V8="",FALSE,Proyectos!$V8&lt;-0.15))),N(BK7)+1,N(BK7))</f>
        <v/>
      </c>
      <c r="BN8">
        <f>IF(AND(Hitos!$A8&lt;&gt;"",OR(Hitos!$L8="Vencido",Hitos!$L8="Esta semana",Hitos!$L8="Próximos 30 días")),BO8,"")</f>
        <v/>
      </c>
      <c r="BO8">
        <f>IF(AND(Hitos!$A8&lt;&gt;"",OR(Hitos!$L8="Vencido",Hitos!$L8="Esta semana",Hitos!$L8="Próximos 30 días")),N(BO7)+1,N(BO7))</f>
        <v/>
      </c>
    </row>
    <row r="9">
      <c r="BJ9">
        <f>IF(AND(Proyectos!$A9&lt;&gt;"",OR(Proyectos!$H9="En riesgo",Proyectos!$H9="Bloqueado",Proyectos!$AB9&gt;0,IF(Proyectos!$V9="",FALSE,Proyectos!$V9&lt;-0.15))),BK9,"")</f>
        <v/>
      </c>
      <c r="BK9">
        <f>IF(AND(Proyectos!$A9&lt;&gt;"",OR(Proyectos!$H9="En riesgo",Proyectos!$H9="Bloqueado",Proyectos!$AB9&gt;0,IF(Proyectos!$V9="",FALSE,Proyectos!$V9&lt;-0.15))),N(BK8)+1,N(BK8))</f>
        <v/>
      </c>
      <c r="BN9">
        <f>IF(AND(Hitos!$A9&lt;&gt;"",OR(Hitos!$L9="Vencido",Hitos!$L9="Esta semana",Hitos!$L9="Próximos 30 días")),BO9,"")</f>
        <v/>
      </c>
      <c r="BO9">
        <f>IF(AND(Hitos!$A9&lt;&gt;"",OR(Hitos!$L9="Vencido",Hitos!$L9="Esta semana",Hitos!$L9="Próximos 30 días")),N(BO8)+1,N(BO8))</f>
        <v/>
      </c>
    </row>
    <row r="10">
      <c r="B10" s="5" t="inlineStr">
        <is>
          <t>PORTFOLIO POR ESTADO</t>
        </is>
      </c>
      <c r="BJ10">
        <f>IF(AND(Proyectos!$A10&lt;&gt;"",OR(Proyectos!$H10="En riesgo",Proyectos!$H10="Bloqueado",Proyectos!$AB10&gt;0,IF(Proyectos!$V10="",FALSE,Proyectos!$V10&lt;-0.15))),BK10,"")</f>
        <v/>
      </c>
      <c r="BK10">
        <f>IF(AND(Proyectos!$A10&lt;&gt;"",OR(Proyectos!$H10="En riesgo",Proyectos!$H10="Bloqueado",Proyectos!$AB10&gt;0,IF(Proyectos!$V10="",FALSE,Proyectos!$V10&lt;-0.15))),N(BK9)+1,N(BK9))</f>
        <v/>
      </c>
      <c r="BN10">
        <f>IF(AND(Hitos!$A10&lt;&gt;"",OR(Hitos!$L10="Vencido",Hitos!$L10="Esta semana",Hitos!$L10="Próximos 30 días")),BO10,"")</f>
        <v/>
      </c>
      <c r="BO10">
        <f>IF(AND(Hitos!$A10&lt;&gt;"",OR(Hitos!$L10="Vencido",Hitos!$L10="Esta semana",Hitos!$L10="Próximos 30 días")),N(BO9)+1,N(BO9))</f>
        <v/>
      </c>
    </row>
    <row r="11" ht="34" customHeight="1">
      <c r="B11" s="18" t="inlineStr">
        <is>
          <t>Estado</t>
        </is>
      </c>
      <c r="C11" s="18" t="inlineStr">
        <is>
          <t>Proyectos</t>
        </is>
      </c>
      <c r="D11" s="18" t="inlineStr">
        <is>
          <t>% del total</t>
        </is>
      </c>
      <c r="E11" s="18" t="inlineStr">
        <is>
          <t>Presupuesto €</t>
        </is>
      </c>
      <c r="F11" s="18" t="inlineStr">
        <is>
          <t>Gasto €</t>
        </is>
      </c>
      <c r="G11" s="18" t="inlineStr">
        <is>
          <t>Avance medio</t>
        </is>
      </c>
      <c r="BJ11">
        <f>IF(AND(Proyectos!$A11&lt;&gt;"",OR(Proyectos!$H11="En riesgo",Proyectos!$H11="Bloqueado",Proyectos!$AB11&gt;0,IF(Proyectos!$V11="",FALSE,Proyectos!$V11&lt;-0.15))),BK11,"")</f>
        <v/>
      </c>
      <c r="BK11">
        <f>IF(AND(Proyectos!$A11&lt;&gt;"",OR(Proyectos!$H11="En riesgo",Proyectos!$H11="Bloqueado",Proyectos!$AB11&gt;0,IF(Proyectos!$V11="",FALSE,Proyectos!$V11&lt;-0.15))),N(BK10)+1,N(BK10))</f>
        <v/>
      </c>
      <c r="BN11">
        <f>IF(AND(Hitos!$A11&lt;&gt;"",OR(Hitos!$L11="Vencido",Hitos!$L11="Esta semana",Hitos!$L11="Próximos 30 días")),BO11,"")</f>
        <v/>
      </c>
      <c r="BO11">
        <f>IF(AND(Hitos!$A11&lt;&gt;"",OR(Hitos!$L11="Vencido",Hitos!$L11="Esta semana",Hitos!$L11="Próximos 30 días")),N(BO10)+1,N(BO10))</f>
        <v/>
      </c>
    </row>
    <row r="12">
      <c r="B12" s="19" t="inlineStr">
        <is>
          <t>Backlog</t>
        </is>
      </c>
      <c r="C12" s="20">
        <f>COUNTIF(Proyectos!$H$2:$H$41,$B12)</f>
        <v/>
      </c>
      <c r="D12" s="21">
        <f>IFERROR($C12/SUM($C$12:$C$17),"")</f>
        <v/>
      </c>
      <c r="E12" s="22">
        <f>SUMIF(Proyectos!$H$2:$H$41,$B12,Proyectos!$N$2:$N$41)</f>
        <v/>
      </c>
      <c r="F12" s="22">
        <f>SUMIF(Proyectos!$H$2:$H$41,$B12,Proyectos!$O$2:$O$41)</f>
        <v/>
      </c>
      <c r="G12" s="21">
        <f>IFERROR(AVERAGEIF(Proyectos!$H$2:$H$41,$B12,Proyectos!$L$2:$L$41),"")</f>
        <v/>
      </c>
      <c r="BJ12">
        <f>IF(AND(Proyectos!$A12&lt;&gt;"",OR(Proyectos!$H12="En riesgo",Proyectos!$H12="Bloqueado",Proyectos!$AB12&gt;0,IF(Proyectos!$V12="",FALSE,Proyectos!$V12&lt;-0.15))),BK12,"")</f>
        <v/>
      </c>
      <c r="BK12">
        <f>IF(AND(Proyectos!$A12&lt;&gt;"",OR(Proyectos!$H12="En riesgo",Proyectos!$H12="Bloqueado",Proyectos!$AB12&gt;0,IF(Proyectos!$V12="",FALSE,Proyectos!$V12&lt;-0.15))),N(BK11)+1,N(BK11))</f>
        <v/>
      </c>
      <c r="BN12">
        <f>IF(AND(Hitos!$A12&lt;&gt;"",OR(Hitos!$L12="Vencido",Hitos!$L12="Esta semana",Hitos!$L12="Próximos 30 días")),BO12,"")</f>
        <v/>
      </c>
      <c r="BO12">
        <f>IF(AND(Hitos!$A12&lt;&gt;"",OR(Hitos!$L12="Vencido",Hitos!$L12="Esta semana",Hitos!$L12="Próximos 30 días")),N(BO11)+1,N(BO11))</f>
        <v/>
      </c>
    </row>
    <row r="13">
      <c r="B13" s="19" t="inlineStr">
        <is>
          <t>En curso</t>
        </is>
      </c>
      <c r="C13" s="20">
        <f>COUNTIF(Proyectos!$H$2:$H$41,$B13)</f>
        <v/>
      </c>
      <c r="D13" s="21">
        <f>IFERROR($C13/SUM($C$12:$C$17),"")</f>
        <v/>
      </c>
      <c r="E13" s="22">
        <f>SUMIF(Proyectos!$H$2:$H$41,$B13,Proyectos!$N$2:$N$41)</f>
        <v/>
      </c>
      <c r="F13" s="22">
        <f>SUMIF(Proyectos!$H$2:$H$41,$B13,Proyectos!$O$2:$O$41)</f>
        <v/>
      </c>
      <c r="G13" s="21">
        <f>IFERROR(AVERAGEIF(Proyectos!$H$2:$H$41,$B13,Proyectos!$L$2:$L$41),"")</f>
        <v/>
      </c>
      <c r="BJ13">
        <f>IF(AND(Proyectos!$A13&lt;&gt;"",OR(Proyectos!$H13="En riesgo",Proyectos!$H13="Bloqueado",Proyectos!$AB13&gt;0,IF(Proyectos!$V13="",FALSE,Proyectos!$V13&lt;-0.15))),BK13,"")</f>
        <v/>
      </c>
      <c r="BK13">
        <f>IF(AND(Proyectos!$A13&lt;&gt;"",OR(Proyectos!$H13="En riesgo",Proyectos!$H13="Bloqueado",Proyectos!$AB13&gt;0,IF(Proyectos!$V13="",FALSE,Proyectos!$V13&lt;-0.15))),N(BK12)+1,N(BK12))</f>
        <v/>
      </c>
      <c r="BN13">
        <f>IF(AND(Hitos!$A13&lt;&gt;"",OR(Hitos!$L13="Vencido",Hitos!$L13="Esta semana",Hitos!$L13="Próximos 30 días")),BO13,"")</f>
        <v/>
      </c>
      <c r="BO13">
        <f>IF(AND(Hitos!$A13&lt;&gt;"",OR(Hitos!$L13="Vencido",Hitos!$L13="Esta semana",Hitos!$L13="Próximos 30 días")),N(BO12)+1,N(BO12))</f>
        <v/>
      </c>
    </row>
    <row r="14">
      <c r="B14" s="19" t="inlineStr">
        <is>
          <t>En riesgo</t>
        </is>
      </c>
      <c r="C14" s="20">
        <f>COUNTIF(Proyectos!$H$2:$H$41,$B14)</f>
        <v/>
      </c>
      <c r="D14" s="21">
        <f>IFERROR($C14/SUM($C$12:$C$17),"")</f>
        <v/>
      </c>
      <c r="E14" s="22">
        <f>SUMIF(Proyectos!$H$2:$H$41,$B14,Proyectos!$N$2:$N$41)</f>
        <v/>
      </c>
      <c r="F14" s="22">
        <f>SUMIF(Proyectos!$H$2:$H$41,$B14,Proyectos!$O$2:$O$41)</f>
        <v/>
      </c>
      <c r="G14" s="21">
        <f>IFERROR(AVERAGEIF(Proyectos!$H$2:$H$41,$B14,Proyectos!$L$2:$L$41),"")</f>
        <v/>
      </c>
      <c r="BJ14">
        <f>IF(AND(Proyectos!$A14&lt;&gt;"",OR(Proyectos!$H14="En riesgo",Proyectos!$H14="Bloqueado",Proyectos!$AB14&gt;0,IF(Proyectos!$V14="",FALSE,Proyectos!$V14&lt;-0.15))),BK14,"")</f>
        <v/>
      </c>
      <c r="BK14">
        <f>IF(AND(Proyectos!$A14&lt;&gt;"",OR(Proyectos!$H14="En riesgo",Proyectos!$H14="Bloqueado",Proyectos!$AB14&gt;0,IF(Proyectos!$V14="",FALSE,Proyectos!$V14&lt;-0.15))),N(BK13)+1,N(BK13))</f>
        <v/>
      </c>
      <c r="BN14">
        <f>IF(AND(Hitos!$A14&lt;&gt;"",OR(Hitos!$L14="Vencido",Hitos!$L14="Esta semana",Hitos!$L14="Próximos 30 días")),BO14,"")</f>
        <v/>
      </c>
      <c r="BO14">
        <f>IF(AND(Hitos!$A14&lt;&gt;"",OR(Hitos!$L14="Vencido",Hitos!$L14="Esta semana",Hitos!$L14="Próximos 30 días")),N(BO13)+1,N(BO13))</f>
        <v/>
      </c>
    </row>
    <row r="15">
      <c r="B15" s="19" t="inlineStr">
        <is>
          <t>Bloqueado</t>
        </is>
      </c>
      <c r="C15" s="20">
        <f>COUNTIF(Proyectos!$H$2:$H$41,$B15)</f>
        <v/>
      </c>
      <c r="D15" s="21">
        <f>IFERROR($C15/SUM($C$12:$C$17),"")</f>
        <v/>
      </c>
      <c r="E15" s="22">
        <f>SUMIF(Proyectos!$H$2:$H$41,$B15,Proyectos!$N$2:$N$41)</f>
        <v/>
      </c>
      <c r="F15" s="22">
        <f>SUMIF(Proyectos!$H$2:$H$41,$B15,Proyectos!$O$2:$O$41)</f>
        <v/>
      </c>
      <c r="G15" s="21">
        <f>IFERROR(AVERAGEIF(Proyectos!$H$2:$H$41,$B15,Proyectos!$L$2:$L$41),"")</f>
        <v/>
      </c>
      <c r="BJ15">
        <f>IF(AND(Proyectos!$A15&lt;&gt;"",OR(Proyectos!$H15="En riesgo",Proyectos!$H15="Bloqueado",Proyectos!$AB15&gt;0,IF(Proyectos!$V15="",FALSE,Proyectos!$V15&lt;-0.15))),BK15,"")</f>
        <v/>
      </c>
      <c r="BK15">
        <f>IF(AND(Proyectos!$A15&lt;&gt;"",OR(Proyectos!$H15="En riesgo",Proyectos!$H15="Bloqueado",Proyectos!$AB15&gt;0,IF(Proyectos!$V15="",FALSE,Proyectos!$V15&lt;-0.15))),N(BK14)+1,N(BK14))</f>
        <v/>
      </c>
      <c r="BN15">
        <f>IF(AND(Hitos!$A15&lt;&gt;"",OR(Hitos!$L15="Vencido",Hitos!$L15="Esta semana",Hitos!$L15="Próximos 30 días")),BO15,"")</f>
        <v/>
      </c>
      <c r="BO15">
        <f>IF(AND(Hitos!$A15&lt;&gt;"",OR(Hitos!$L15="Vencido",Hitos!$L15="Esta semana",Hitos!$L15="Próximos 30 días")),N(BO14)+1,N(BO14))</f>
        <v/>
      </c>
    </row>
    <row r="16">
      <c r="B16" s="19" t="inlineStr">
        <is>
          <t>Completado</t>
        </is>
      </c>
      <c r="C16" s="20">
        <f>COUNTIF(Proyectos!$H$2:$H$41,$B16)</f>
        <v/>
      </c>
      <c r="D16" s="21">
        <f>IFERROR($C16/SUM($C$12:$C$17),"")</f>
        <v/>
      </c>
      <c r="E16" s="22">
        <f>SUMIF(Proyectos!$H$2:$H$41,$B16,Proyectos!$N$2:$N$41)</f>
        <v/>
      </c>
      <c r="F16" s="22">
        <f>SUMIF(Proyectos!$H$2:$H$41,$B16,Proyectos!$O$2:$O$41)</f>
        <v/>
      </c>
      <c r="G16" s="21">
        <f>IFERROR(AVERAGEIF(Proyectos!$H$2:$H$41,$B16,Proyectos!$L$2:$L$41),"")</f>
        <v/>
      </c>
      <c r="BJ16">
        <f>IF(AND(Proyectos!$A16&lt;&gt;"",OR(Proyectos!$H16="En riesgo",Proyectos!$H16="Bloqueado",Proyectos!$AB16&gt;0,IF(Proyectos!$V16="",FALSE,Proyectos!$V16&lt;-0.15))),BK16,"")</f>
        <v/>
      </c>
      <c r="BK16">
        <f>IF(AND(Proyectos!$A16&lt;&gt;"",OR(Proyectos!$H16="En riesgo",Proyectos!$H16="Bloqueado",Proyectos!$AB16&gt;0,IF(Proyectos!$V16="",FALSE,Proyectos!$V16&lt;-0.15))),N(BK15)+1,N(BK15))</f>
        <v/>
      </c>
      <c r="BN16">
        <f>IF(AND(Hitos!$A16&lt;&gt;"",OR(Hitos!$L16="Vencido",Hitos!$L16="Esta semana",Hitos!$L16="Próximos 30 días")),BO16,"")</f>
        <v/>
      </c>
      <c r="BO16">
        <f>IF(AND(Hitos!$A16&lt;&gt;"",OR(Hitos!$L16="Vencido",Hitos!$L16="Esta semana",Hitos!$L16="Próximos 30 días")),N(BO15)+1,N(BO15))</f>
        <v/>
      </c>
    </row>
    <row r="17">
      <c r="B17" s="19" t="inlineStr">
        <is>
          <t>Cancelado</t>
        </is>
      </c>
      <c r="C17" s="20">
        <f>COUNTIF(Proyectos!$H$2:$H$41,$B17)</f>
        <v/>
      </c>
      <c r="D17" s="21">
        <f>IFERROR($C17/SUM($C$12:$C$17),"")</f>
        <v/>
      </c>
      <c r="E17" s="22">
        <f>SUMIF(Proyectos!$H$2:$H$41,$B17,Proyectos!$N$2:$N$41)</f>
        <v/>
      </c>
      <c r="F17" s="22">
        <f>SUMIF(Proyectos!$H$2:$H$41,$B17,Proyectos!$O$2:$O$41)</f>
        <v/>
      </c>
      <c r="G17" s="21">
        <f>IFERROR(AVERAGEIF(Proyectos!$H$2:$H$41,$B17,Proyectos!$L$2:$L$41),"")</f>
        <v/>
      </c>
      <c r="BJ17">
        <f>IF(AND(Proyectos!$A17&lt;&gt;"",OR(Proyectos!$H17="En riesgo",Proyectos!$H17="Bloqueado",Proyectos!$AB17&gt;0,IF(Proyectos!$V17="",FALSE,Proyectos!$V17&lt;-0.15))),BK17,"")</f>
        <v/>
      </c>
      <c r="BK17">
        <f>IF(AND(Proyectos!$A17&lt;&gt;"",OR(Proyectos!$H17="En riesgo",Proyectos!$H17="Bloqueado",Proyectos!$AB17&gt;0,IF(Proyectos!$V17="",FALSE,Proyectos!$V17&lt;-0.15))),N(BK16)+1,N(BK16))</f>
        <v/>
      </c>
      <c r="BN17">
        <f>IF(AND(Hitos!$A17&lt;&gt;"",OR(Hitos!$L17="Vencido",Hitos!$L17="Esta semana",Hitos!$L17="Próximos 30 días")),BO17,"")</f>
        <v/>
      </c>
      <c r="BO17">
        <f>IF(AND(Hitos!$A17&lt;&gt;"",OR(Hitos!$L17="Vencido",Hitos!$L17="Esta semana",Hitos!$L17="Próximos 30 días")),N(BO16)+1,N(BO16))</f>
        <v/>
      </c>
    </row>
    <row r="18">
      <c r="BJ18">
        <f>IF(AND(Proyectos!$A18&lt;&gt;"",OR(Proyectos!$H18="En riesgo",Proyectos!$H18="Bloqueado",Proyectos!$AB18&gt;0,IF(Proyectos!$V18="",FALSE,Proyectos!$V18&lt;-0.15))),BK18,"")</f>
        <v/>
      </c>
      <c r="BK18">
        <f>IF(AND(Proyectos!$A18&lt;&gt;"",OR(Proyectos!$H18="En riesgo",Proyectos!$H18="Bloqueado",Proyectos!$AB18&gt;0,IF(Proyectos!$V18="",FALSE,Proyectos!$V18&lt;-0.15))),N(BK17)+1,N(BK17))</f>
        <v/>
      </c>
      <c r="BN18">
        <f>IF(AND(Hitos!$A18&lt;&gt;"",OR(Hitos!$L18="Vencido",Hitos!$L18="Esta semana",Hitos!$L18="Próximos 30 días")),BO18,"")</f>
        <v/>
      </c>
      <c r="BO18">
        <f>IF(AND(Hitos!$A18&lt;&gt;"",OR(Hitos!$L18="Vencido",Hitos!$L18="Esta semana",Hitos!$L18="Próximos 30 días")),N(BO17)+1,N(BO17))</f>
        <v/>
      </c>
    </row>
    <row r="19">
      <c r="B19" s="5" t="inlineStr">
        <is>
          <t>PORTFOLIO POR DEPARTAMENTO</t>
        </is>
      </c>
      <c r="BJ19">
        <f>IF(AND(Proyectos!$A19&lt;&gt;"",OR(Proyectos!$H19="En riesgo",Proyectos!$H19="Bloqueado",Proyectos!$AB19&gt;0,IF(Proyectos!$V19="",FALSE,Proyectos!$V19&lt;-0.15))),BK19,"")</f>
        <v/>
      </c>
      <c r="BK19">
        <f>IF(AND(Proyectos!$A19&lt;&gt;"",OR(Proyectos!$H19="En riesgo",Proyectos!$H19="Bloqueado",Proyectos!$AB19&gt;0,IF(Proyectos!$V19="",FALSE,Proyectos!$V19&lt;-0.15))),N(BK18)+1,N(BK18))</f>
        <v/>
      </c>
      <c r="BN19">
        <f>IF(AND(Hitos!$A19&lt;&gt;"",OR(Hitos!$L19="Vencido",Hitos!$L19="Esta semana",Hitos!$L19="Próximos 30 días")),BO19,"")</f>
        <v/>
      </c>
      <c r="BO19">
        <f>IF(AND(Hitos!$A19&lt;&gt;"",OR(Hitos!$L19="Vencido",Hitos!$L19="Esta semana",Hitos!$L19="Próximos 30 días")),N(BO18)+1,N(BO18))</f>
        <v/>
      </c>
    </row>
    <row r="20" ht="34" customHeight="1">
      <c r="B20" s="18" t="inlineStr">
        <is>
          <t>Departamento</t>
        </is>
      </c>
      <c r="C20" s="18" t="inlineStr">
        <is>
          <t>Proyectos</t>
        </is>
      </c>
      <c r="D20" s="18" t="inlineStr">
        <is>
          <t>Activos</t>
        </is>
      </c>
      <c r="E20" s="18" t="inlineStr">
        <is>
          <t>Presupuesto €</t>
        </is>
      </c>
      <c r="F20" s="18" t="inlineStr">
        <is>
          <t>Gasto €</t>
        </is>
      </c>
      <c r="G20" s="18" t="inlineStr">
        <is>
          <t>% consumido</t>
        </is>
      </c>
      <c r="H20" s="18" t="inlineStr">
        <is>
          <t>Avance medio</t>
        </is>
      </c>
      <c r="I20" s="18" t="inlineStr">
        <is>
          <t>Hitos vencidos</t>
        </is>
      </c>
      <c r="J20" s="18" t="inlineStr">
        <is>
          <t>KPIs críticos</t>
        </is>
      </c>
      <c r="BJ20">
        <f>IF(AND(Proyectos!$A20&lt;&gt;"",OR(Proyectos!$H20="En riesgo",Proyectos!$H20="Bloqueado",Proyectos!$AB20&gt;0,IF(Proyectos!$V20="",FALSE,Proyectos!$V20&lt;-0.15))),BK20,"")</f>
        <v/>
      </c>
      <c r="BK20">
        <f>IF(AND(Proyectos!$A20&lt;&gt;"",OR(Proyectos!$H20="En riesgo",Proyectos!$H20="Bloqueado",Proyectos!$AB20&gt;0,IF(Proyectos!$V20="",FALSE,Proyectos!$V20&lt;-0.15))),N(BK19)+1,N(BK19))</f>
        <v/>
      </c>
      <c r="BN20">
        <f>IF(AND(Hitos!$A20&lt;&gt;"",OR(Hitos!$L20="Vencido",Hitos!$L20="Esta semana",Hitos!$L20="Próximos 30 días")),BO20,"")</f>
        <v/>
      </c>
      <c r="BO20">
        <f>IF(AND(Hitos!$A20&lt;&gt;"",OR(Hitos!$L20="Vencido",Hitos!$L20="Esta semana",Hitos!$L20="Próximos 30 días")),N(BO19)+1,N(BO19))</f>
        <v/>
      </c>
    </row>
    <row r="21">
      <c r="B21" s="19" t="inlineStr">
        <is>
          <t>Growth</t>
        </is>
      </c>
      <c r="C21" s="20">
        <f>COUNTIF(Proyectos!$C$2:$C$41,$B21)</f>
        <v/>
      </c>
      <c r="D21" s="20">
        <f>COUNTIFS(Proyectos!$C$2:$C$41,$B21,Proyectos!$H$2:$H$41,"En curso")+COUNTIFS(Proyectos!$C$2:$C$41,$B21,Proyectos!$H$2:$H$41,"En riesgo")+COUNTIFS(Proyectos!$C$2:$C$41,$B21,Proyectos!$H$2:$H$41,"Bloqueado")</f>
        <v/>
      </c>
      <c r="E21" s="22">
        <f>SUMIF(Proyectos!$C$2:$C$41,$B21,Proyectos!$N$2:$N$41)</f>
        <v/>
      </c>
      <c r="F21" s="22">
        <f>SUMIF(Proyectos!$C$2:$C$41,$B21,Proyectos!$O$2:$O$41)</f>
        <v/>
      </c>
      <c r="G21" s="21">
        <f>IFERROR(F21/E21,"")</f>
        <v/>
      </c>
      <c r="H21" s="21">
        <f>IFERROR(AVERAGEIF(Proyectos!$C$2:$C$41,$B21,Proyectos!$L$2:$L$41),"")</f>
        <v/>
      </c>
      <c r="I21" s="20">
        <f>SUMPRODUCT((Hitos!$I$2:$I$81=$B21)*(Hitos!$E$2:$E$81&lt;&gt;"")*(Hitos!$E$2:$E$81&lt;TODAY())*(Hitos!$F$2:$F$81&lt;&gt;"Completado")*(Hitos!$F$2:$F$81&lt;&gt;"Cancelado"))</f>
        <v/>
      </c>
      <c r="J21" s="20">
        <f>COUNTIFS(KPIs!$L$2:$L$71,$B21,KPIs!$O$2:$O$71,"Crítico")</f>
        <v/>
      </c>
      <c r="BJ21">
        <f>IF(AND(Proyectos!$A21&lt;&gt;"",OR(Proyectos!$H21="En riesgo",Proyectos!$H21="Bloqueado",Proyectos!$AB21&gt;0,IF(Proyectos!$V21="",FALSE,Proyectos!$V21&lt;-0.15))),BK21,"")</f>
        <v/>
      </c>
      <c r="BK21">
        <f>IF(AND(Proyectos!$A21&lt;&gt;"",OR(Proyectos!$H21="En riesgo",Proyectos!$H21="Bloqueado",Proyectos!$AB21&gt;0,IF(Proyectos!$V21="",FALSE,Proyectos!$V21&lt;-0.15))),N(BK20)+1,N(BK20))</f>
        <v/>
      </c>
      <c r="BN21">
        <f>IF(AND(Hitos!$A21&lt;&gt;"",OR(Hitos!$L21="Vencido",Hitos!$L21="Esta semana",Hitos!$L21="Próximos 30 días")),BO21,"")</f>
        <v/>
      </c>
      <c r="BO21">
        <f>IF(AND(Hitos!$A21&lt;&gt;"",OR(Hitos!$L21="Vencido",Hitos!$L21="Esta semana",Hitos!$L21="Próximos 30 días")),N(BO20)+1,N(BO20))</f>
        <v/>
      </c>
    </row>
    <row r="22">
      <c r="BJ22">
        <f>IF(AND(Proyectos!$A22&lt;&gt;"",OR(Proyectos!$H22="En riesgo",Proyectos!$H22="Bloqueado",Proyectos!$AB22&gt;0,IF(Proyectos!$V22="",FALSE,Proyectos!$V22&lt;-0.15))),BK22,"")</f>
        <v/>
      </c>
      <c r="BK22">
        <f>IF(AND(Proyectos!$A22&lt;&gt;"",OR(Proyectos!$H22="En riesgo",Proyectos!$H22="Bloqueado",Proyectos!$AB22&gt;0,IF(Proyectos!$V22="",FALSE,Proyectos!$V22&lt;-0.15))),N(BK21)+1,N(BK21))</f>
        <v/>
      </c>
      <c r="BN22">
        <f>IF(AND(Hitos!$A22&lt;&gt;"",OR(Hitos!$L22="Vencido",Hitos!$L22="Esta semana",Hitos!$L22="Próximos 30 días")),BO22,"")</f>
        <v/>
      </c>
      <c r="BO22">
        <f>IF(AND(Hitos!$A22&lt;&gt;"",OR(Hitos!$L22="Vencido",Hitos!$L22="Esta semana",Hitos!$L22="Próximos 30 días")),N(BO21)+1,N(BO21))</f>
        <v/>
      </c>
    </row>
    <row r="23">
      <c r="B23" s="5" t="inlineStr">
        <is>
          <t>ZOOM POR SUBÁREA</t>
        </is>
      </c>
      <c r="BJ23">
        <f>IF(AND(Proyectos!$A23&lt;&gt;"",OR(Proyectos!$H23="En riesgo",Proyectos!$H23="Bloqueado",Proyectos!$AB23&gt;0,IF(Proyectos!$V23="",FALSE,Proyectos!$V23&lt;-0.15))),BK23,"")</f>
        <v/>
      </c>
      <c r="BK23">
        <f>IF(AND(Proyectos!$A23&lt;&gt;"",OR(Proyectos!$H23="En riesgo",Proyectos!$H23="Bloqueado",Proyectos!$AB23&gt;0,IF(Proyectos!$V23="",FALSE,Proyectos!$V23&lt;-0.15))),N(BK22)+1,N(BK22))</f>
        <v/>
      </c>
      <c r="BN23">
        <f>IF(AND(Hitos!$A23&lt;&gt;"",OR(Hitos!$L23="Vencido",Hitos!$L23="Esta semana",Hitos!$L23="Próximos 30 días")),BO23,"")</f>
        <v/>
      </c>
      <c r="BO23">
        <f>IF(AND(Hitos!$A23&lt;&gt;"",OR(Hitos!$L23="Vencido",Hitos!$L23="Esta semana",Hitos!$L23="Próximos 30 días")),N(BO22)+1,N(BO22))</f>
        <v/>
      </c>
    </row>
    <row r="24" ht="34" customHeight="1">
      <c r="B24" s="18" t="inlineStr">
        <is>
          <t>Departamento</t>
        </is>
      </c>
      <c r="C24" s="18" t="inlineStr">
        <is>
          <t>Subárea</t>
        </is>
      </c>
      <c r="D24" s="18" t="inlineStr">
        <is>
          <t>Proyectos</t>
        </is>
      </c>
      <c r="E24" s="18" t="inlineStr">
        <is>
          <t>Activos</t>
        </is>
      </c>
      <c r="F24" s="18" t="inlineStr">
        <is>
          <t>Presupuesto €</t>
        </is>
      </c>
      <c r="G24" s="18" t="inlineStr">
        <is>
          <t>Gasto €</t>
        </is>
      </c>
      <c r="H24" s="18" t="inlineStr">
        <is>
          <t>% consumido</t>
        </is>
      </c>
      <c r="I24" s="18" t="inlineStr">
        <is>
          <t>Avance medio</t>
        </is>
      </c>
      <c r="J24" s="18" t="inlineStr">
        <is>
          <t>Hitos vencidos</t>
        </is>
      </c>
      <c r="K24" s="18" t="inlineStr">
        <is>
          <t>KPIs críticos</t>
        </is>
      </c>
      <c r="BJ24">
        <f>IF(AND(Proyectos!$A24&lt;&gt;"",OR(Proyectos!$H24="En riesgo",Proyectos!$H24="Bloqueado",Proyectos!$AB24&gt;0,IF(Proyectos!$V24="",FALSE,Proyectos!$V24&lt;-0.15))),BK24,"")</f>
        <v/>
      </c>
      <c r="BK24">
        <f>IF(AND(Proyectos!$A24&lt;&gt;"",OR(Proyectos!$H24="En riesgo",Proyectos!$H24="Bloqueado",Proyectos!$AB24&gt;0,IF(Proyectos!$V24="",FALSE,Proyectos!$V24&lt;-0.15))),N(BK23)+1,N(BK23))</f>
        <v/>
      </c>
      <c r="BN24">
        <f>IF(AND(Hitos!$A24&lt;&gt;"",OR(Hitos!$L24="Vencido",Hitos!$L24="Esta semana",Hitos!$L24="Próximos 30 días")),BO24,"")</f>
        <v/>
      </c>
      <c r="BO24">
        <f>IF(AND(Hitos!$A24&lt;&gt;"",OR(Hitos!$L24="Vencido",Hitos!$L24="Esta semana",Hitos!$L24="Próximos 30 días")),N(BO23)+1,N(BO23))</f>
        <v/>
      </c>
    </row>
    <row r="25">
      <c r="B25" s="19" t="inlineStr">
        <is>
          <t>Growth</t>
        </is>
      </c>
      <c r="C25" s="19" t="inlineStr">
        <is>
          <t>Paid Media</t>
        </is>
      </c>
      <c r="D25" s="20">
        <f>COUNTIF(Proyectos!$D$2:$D$41,$C25)</f>
        <v/>
      </c>
      <c r="E25" s="20">
        <f>COUNTIFS(Proyectos!$D$2:$D$41,$C25,Proyectos!$H$2:$H$41,"En curso")+COUNTIFS(Proyectos!$D$2:$D$41,$C25,Proyectos!$H$2:$H$41,"En riesgo")+COUNTIFS(Proyectos!$D$2:$D$41,$C25,Proyectos!$H$2:$H$41,"Bloqueado")</f>
        <v/>
      </c>
      <c r="F25" s="22">
        <f>SUMIF(Proyectos!$D$2:$D$41,$C25,Proyectos!$N$2:$N$41)</f>
        <v/>
      </c>
      <c r="G25" s="22">
        <f>SUMIF(Proyectos!$D$2:$D$41,$C25,Proyectos!$O$2:$O$41)</f>
        <v/>
      </c>
      <c r="H25" s="21">
        <f>IFERROR(G25/F25,"")</f>
        <v/>
      </c>
      <c r="I25" s="21">
        <f>IFERROR(AVERAGEIF(Proyectos!$D$2:$D$41,$C25,Proyectos!$L$2:$L$41),"")</f>
        <v/>
      </c>
      <c r="J25" s="20">
        <f>SUMPRODUCT((Hitos!$J$2:$J$81=$C25)*(Hitos!$E$2:$E$81&lt;&gt;"")*(Hitos!$E$2:$E$81&lt;TODAY())*(Hitos!$F$2:$F$81&lt;&gt;"Completado")*(Hitos!$F$2:$F$81&lt;&gt;"Cancelado"))</f>
        <v/>
      </c>
      <c r="K25" s="20">
        <f>COUNTIFS(KPIs!$M$2:$M$71,$C25,KPIs!$O$2:$O$71,"Crítico")</f>
        <v/>
      </c>
      <c r="BJ25">
        <f>IF(AND(Proyectos!$A25&lt;&gt;"",OR(Proyectos!$H25="En riesgo",Proyectos!$H25="Bloqueado",Proyectos!$AB25&gt;0,IF(Proyectos!$V25="",FALSE,Proyectos!$V25&lt;-0.15))),BK25,"")</f>
        <v/>
      </c>
      <c r="BK25">
        <f>IF(AND(Proyectos!$A25&lt;&gt;"",OR(Proyectos!$H25="En riesgo",Proyectos!$H25="Bloqueado",Proyectos!$AB25&gt;0,IF(Proyectos!$V25="",FALSE,Proyectos!$V25&lt;-0.15))),N(BK24)+1,N(BK24))</f>
        <v/>
      </c>
      <c r="BN25">
        <f>IF(AND(Hitos!$A25&lt;&gt;"",OR(Hitos!$L25="Vencido",Hitos!$L25="Esta semana",Hitos!$L25="Próximos 30 días")),BO25,"")</f>
        <v/>
      </c>
      <c r="BO25">
        <f>IF(AND(Hitos!$A25&lt;&gt;"",OR(Hitos!$L25="Vencido",Hitos!$L25="Esta semana",Hitos!$L25="Próximos 30 días")),N(BO24)+1,N(BO24))</f>
        <v/>
      </c>
    </row>
    <row r="26">
      <c r="B26" s="19" t="inlineStr">
        <is>
          <t>Growth</t>
        </is>
      </c>
      <c r="C26" s="19" t="inlineStr">
        <is>
          <t>SEO &amp; Contenido</t>
        </is>
      </c>
      <c r="D26" s="20">
        <f>COUNTIF(Proyectos!$D$2:$D$41,$C26)</f>
        <v/>
      </c>
      <c r="E26" s="20">
        <f>COUNTIFS(Proyectos!$D$2:$D$41,$C26,Proyectos!$H$2:$H$41,"En curso")+COUNTIFS(Proyectos!$D$2:$D$41,$C26,Proyectos!$H$2:$H$41,"En riesgo")+COUNTIFS(Proyectos!$D$2:$D$41,$C26,Proyectos!$H$2:$H$41,"Bloqueado")</f>
        <v/>
      </c>
      <c r="F26" s="22">
        <f>SUMIF(Proyectos!$D$2:$D$41,$C26,Proyectos!$N$2:$N$41)</f>
        <v/>
      </c>
      <c r="G26" s="22">
        <f>SUMIF(Proyectos!$D$2:$D$41,$C26,Proyectos!$O$2:$O$41)</f>
        <v/>
      </c>
      <c r="H26" s="21">
        <f>IFERROR(G26/F26,"")</f>
        <v/>
      </c>
      <c r="I26" s="21">
        <f>IFERROR(AVERAGEIF(Proyectos!$D$2:$D$41,$C26,Proyectos!$L$2:$L$41),"")</f>
        <v/>
      </c>
      <c r="J26" s="20">
        <f>SUMPRODUCT((Hitos!$J$2:$J$81=$C26)*(Hitos!$E$2:$E$81&lt;&gt;"")*(Hitos!$E$2:$E$81&lt;TODAY())*(Hitos!$F$2:$F$81&lt;&gt;"Completado")*(Hitos!$F$2:$F$81&lt;&gt;"Cancelado"))</f>
        <v/>
      </c>
      <c r="K26" s="20">
        <f>COUNTIFS(KPIs!$M$2:$M$71,$C26,KPIs!$O$2:$O$71,"Crítico")</f>
        <v/>
      </c>
      <c r="BJ26">
        <f>IF(AND(Proyectos!$A26&lt;&gt;"",OR(Proyectos!$H26="En riesgo",Proyectos!$H26="Bloqueado",Proyectos!$AB26&gt;0,IF(Proyectos!$V26="",FALSE,Proyectos!$V26&lt;-0.15))),BK26,"")</f>
        <v/>
      </c>
      <c r="BK26">
        <f>IF(AND(Proyectos!$A26&lt;&gt;"",OR(Proyectos!$H26="En riesgo",Proyectos!$H26="Bloqueado",Proyectos!$AB26&gt;0,IF(Proyectos!$V26="",FALSE,Proyectos!$V26&lt;-0.15))),N(BK25)+1,N(BK25))</f>
        <v/>
      </c>
      <c r="BN26">
        <f>IF(AND(Hitos!$A26&lt;&gt;"",OR(Hitos!$L26="Vencido",Hitos!$L26="Esta semana",Hitos!$L26="Próximos 30 días")),BO26,"")</f>
        <v/>
      </c>
      <c r="BO26">
        <f>IF(AND(Hitos!$A26&lt;&gt;"",OR(Hitos!$L26="Vencido",Hitos!$L26="Esta semana",Hitos!$L26="Próximos 30 días")),N(BO25)+1,N(BO25))</f>
        <v/>
      </c>
    </row>
    <row r="27">
      <c r="B27" s="19" t="inlineStr">
        <is>
          <t>Growth</t>
        </is>
      </c>
      <c r="C27" s="19" t="inlineStr">
        <is>
          <t>CRO &amp; Web</t>
        </is>
      </c>
      <c r="D27" s="20">
        <f>COUNTIF(Proyectos!$D$2:$D$41,$C27)</f>
        <v/>
      </c>
      <c r="E27" s="20">
        <f>COUNTIFS(Proyectos!$D$2:$D$41,$C27,Proyectos!$H$2:$H$41,"En curso")+COUNTIFS(Proyectos!$D$2:$D$41,$C27,Proyectos!$H$2:$H$41,"En riesgo")+COUNTIFS(Proyectos!$D$2:$D$41,$C27,Proyectos!$H$2:$H$41,"Bloqueado")</f>
        <v/>
      </c>
      <c r="F27" s="22">
        <f>SUMIF(Proyectos!$D$2:$D$41,$C27,Proyectos!$N$2:$N$41)</f>
        <v/>
      </c>
      <c r="G27" s="22">
        <f>SUMIF(Proyectos!$D$2:$D$41,$C27,Proyectos!$O$2:$O$41)</f>
        <v/>
      </c>
      <c r="H27" s="21">
        <f>IFERROR(G27/F27,"")</f>
        <v/>
      </c>
      <c r="I27" s="21">
        <f>IFERROR(AVERAGEIF(Proyectos!$D$2:$D$41,$C27,Proyectos!$L$2:$L$41),"")</f>
        <v/>
      </c>
      <c r="J27" s="20">
        <f>SUMPRODUCT((Hitos!$J$2:$J$81=$C27)*(Hitos!$E$2:$E$81&lt;&gt;"")*(Hitos!$E$2:$E$81&lt;TODAY())*(Hitos!$F$2:$F$81&lt;&gt;"Completado")*(Hitos!$F$2:$F$81&lt;&gt;"Cancelado"))</f>
        <v/>
      </c>
      <c r="K27" s="20">
        <f>COUNTIFS(KPIs!$M$2:$M$71,$C27,KPIs!$O$2:$O$71,"Crítico")</f>
        <v/>
      </c>
      <c r="BJ27">
        <f>IF(AND(Proyectos!$A27&lt;&gt;"",OR(Proyectos!$H27="En riesgo",Proyectos!$H27="Bloqueado",Proyectos!$AB27&gt;0,IF(Proyectos!$V27="",FALSE,Proyectos!$V27&lt;-0.15))),BK27,"")</f>
        <v/>
      </c>
      <c r="BK27">
        <f>IF(AND(Proyectos!$A27&lt;&gt;"",OR(Proyectos!$H27="En riesgo",Proyectos!$H27="Bloqueado",Proyectos!$AB27&gt;0,IF(Proyectos!$V27="",FALSE,Proyectos!$V27&lt;-0.15))),N(BK26)+1,N(BK26))</f>
        <v/>
      </c>
      <c r="BN27">
        <f>IF(AND(Hitos!$A27&lt;&gt;"",OR(Hitos!$L27="Vencido",Hitos!$L27="Esta semana",Hitos!$L27="Próximos 30 días")),BO27,"")</f>
        <v/>
      </c>
      <c r="BO27">
        <f>IF(AND(Hitos!$A27&lt;&gt;"",OR(Hitos!$L27="Vencido",Hitos!$L27="Esta semana",Hitos!$L27="Próximos 30 días")),N(BO26)+1,N(BO26))</f>
        <v/>
      </c>
    </row>
    <row r="28">
      <c r="B28" s="19" t="inlineStr">
        <is>
          <t>Growth</t>
        </is>
      </c>
      <c r="C28" s="19" t="inlineStr">
        <is>
          <t>Lifecycle &amp; CRM</t>
        </is>
      </c>
      <c r="D28" s="20">
        <f>COUNTIF(Proyectos!$D$2:$D$41,$C28)</f>
        <v/>
      </c>
      <c r="E28" s="20">
        <f>COUNTIFS(Proyectos!$D$2:$D$41,$C28,Proyectos!$H$2:$H$41,"En curso")+COUNTIFS(Proyectos!$D$2:$D$41,$C28,Proyectos!$H$2:$H$41,"En riesgo")+COUNTIFS(Proyectos!$D$2:$D$41,$C28,Proyectos!$H$2:$H$41,"Bloqueado")</f>
        <v/>
      </c>
      <c r="F28" s="22">
        <f>SUMIF(Proyectos!$D$2:$D$41,$C28,Proyectos!$N$2:$N$41)</f>
        <v/>
      </c>
      <c r="G28" s="22">
        <f>SUMIF(Proyectos!$D$2:$D$41,$C28,Proyectos!$O$2:$O$41)</f>
        <v/>
      </c>
      <c r="H28" s="21">
        <f>IFERROR(G28/F28,"")</f>
        <v/>
      </c>
      <c r="I28" s="21">
        <f>IFERROR(AVERAGEIF(Proyectos!$D$2:$D$41,$C28,Proyectos!$L$2:$L$41),"")</f>
        <v/>
      </c>
      <c r="J28" s="20">
        <f>SUMPRODUCT((Hitos!$J$2:$J$81=$C28)*(Hitos!$E$2:$E$81&lt;&gt;"")*(Hitos!$E$2:$E$81&lt;TODAY())*(Hitos!$F$2:$F$81&lt;&gt;"Completado")*(Hitos!$F$2:$F$81&lt;&gt;"Cancelado"))</f>
        <v/>
      </c>
      <c r="K28" s="20">
        <f>COUNTIFS(KPIs!$M$2:$M$71,$C28,KPIs!$O$2:$O$71,"Crítico")</f>
        <v/>
      </c>
      <c r="BJ28">
        <f>IF(AND(Proyectos!$A28&lt;&gt;"",OR(Proyectos!$H28="En riesgo",Proyectos!$H28="Bloqueado",Proyectos!$AB28&gt;0,IF(Proyectos!$V28="",FALSE,Proyectos!$V28&lt;-0.15))),BK28,"")</f>
        <v/>
      </c>
      <c r="BK28">
        <f>IF(AND(Proyectos!$A28&lt;&gt;"",OR(Proyectos!$H28="En riesgo",Proyectos!$H28="Bloqueado",Proyectos!$AB28&gt;0,IF(Proyectos!$V28="",FALSE,Proyectos!$V28&lt;-0.15))),N(BK27)+1,N(BK27))</f>
        <v/>
      </c>
      <c r="BN28">
        <f>IF(AND(Hitos!$A28&lt;&gt;"",OR(Hitos!$L28="Vencido",Hitos!$L28="Esta semana",Hitos!$L28="Próximos 30 días")),BO28,"")</f>
        <v/>
      </c>
      <c r="BO28">
        <f>IF(AND(Hitos!$A28&lt;&gt;"",OR(Hitos!$L28="Vencido",Hitos!$L28="Esta semana",Hitos!$L28="Próximos 30 días")),N(BO27)+1,N(BO27))</f>
        <v/>
      </c>
    </row>
    <row r="29">
      <c r="B29" s="19" t="inlineStr">
        <is>
          <t>Growth</t>
        </is>
      </c>
      <c r="C29" s="19" t="inlineStr">
        <is>
          <t>Partnerships &amp; Afiliación</t>
        </is>
      </c>
      <c r="D29" s="20">
        <f>COUNTIF(Proyectos!$D$2:$D$41,$C29)</f>
        <v/>
      </c>
      <c r="E29" s="20">
        <f>COUNTIFS(Proyectos!$D$2:$D$41,$C29,Proyectos!$H$2:$H$41,"En curso")+COUNTIFS(Proyectos!$D$2:$D$41,$C29,Proyectos!$H$2:$H$41,"En riesgo")+COUNTIFS(Proyectos!$D$2:$D$41,$C29,Proyectos!$H$2:$H$41,"Bloqueado")</f>
        <v/>
      </c>
      <c r="F29" s="22">
        <f>SUMIF(Proyectos!$D$2:$D$41,$C29,Proyectos!$N$2:$N$41)</f>
        <v/>
      </c>
      <c r="G29" s="22">
        <f>SUMIF(Proyectos!$D$2:$D$41,$C29,Proyectos!$O$2:$O$41)</f>
        <v/>
      </c>
      <c r="H29" s="21">
        <f>IFERROR(G29/F29,"")</f>
        <v/>
      </c>
      <c r="I29" s="21">
        <f>IFERROR(AVERAGEIF(Proyectos!$D$2:$D$41,$C29,Proyectos!$L$2:$L$41),"")</f>
        <v/>
      </c>
      <c r="J29" s="20">
        <f>SUMPRODUCT((Hitos!$J$2:$J$81=$C29)*(Hitos!$E$2:$E$81&lt;&gt;"")*(Hitos!$E$2:$E$81&lt;TODAY())*(Hitos!$F$2:$F$81&lt;&gt;"Completado")*(Hitos!$F$2:$F$81&lt;&gt;"Cancelado"))</f>
        <v/>
      </c>
      <c r="K29" s="20">
        <f>COUNTIFS(KPIs!$M$2:$M$71,$C29,KPIs!$O$2:$O$71,"Crítico")</f>
        <v/>
      </c>
      <c r="BJ29">
        <f>IF(AND(Proyectos!$A29&lt;&gt;"",OR(Proyectos!$H29="En riesgo",Proyectos!$H29="Bloqueado",Proyectos!$AB29&gt;0,IF(Proyectos!$V29="",FALSE,Proyectos!$V29&lt;-0.15))),BK29,"")</f>
        <v/>
      </c>
      <c r="BK29">
        <f>IF(AND(Proyectos!$A29&lt;&gt;"",OR(Proyectos!$H29="En riesgo",Proyectos!$H29="Bloqueado",Proyectos!$AB29&gt;0,IF(Proyectos!$V29="",FALSE,Proyectos!$V29&lt;-0.15))),N(BK28)+1,N(BK28))</f>
        <v/>
      </c>
      <c r="BN29">
        <f>IF(AND(Hitos!$A29&lt;&gt;"",OR(Hitos!$L29="Vencido",Hitos!$L29="Esta semana",Hitos!$L29="Próximos 30 días")),BO29,"")</f>
        <v/>
      </c>
      <c r="BO29">
        <f>IF(AND(Hitos!$A29&lt;&gt;"",OR(Hitos!$L29="Vencido",Hitos!$L29="Esta semana",Hitos!$L29="Próximos 30 días")),N(BO28)+1,N(BO28))</f>
        <v/>
      </c>
    </row>
    <row r="30">
      <c r="B30" s="19" t="inlineStr">
        <is>
          <t>Growth</t>
        </is>
      </c>
      <c r="C30" s="19" t="inlineStr">
        <is>
          <t>Brand &amp; Social</t>
        </is>
      </c>
      <c r="D30" s="20">
        <f>COUNTIF(Proyectos!$D$2:$D$41,$C30)</f>
        <v/>
      </c>
      <c r="E30" s="20">
        <f>COUNTIFS(Proyectos!$D$2:$D$41,$C30,Proyectos!$H$2:$H$41,"En curso")+COUNTIFS(Proyectos!$D$2:$D$41,$C30,Proyectos!$H$2:$H$41,"En riesgo")+COUNTIFS(Proyectos!$D$2:$D$41,$C30,Proyectos!$H$2:$H$41,"Bloqueado")</f>
        <v/>
      </c>
      <c r="F30" s="22">
        <f>SUMIF(Proyectos!$D$2:$D$41,$C30,Proyectos!$N$2:$N$41)</f>
        <v/>
      </c>
      <c r="G30" s="22">
        <f>SUMIF(Proyectos!$D$2:$D$41,$C30,Proyectos!$O$2:$O$41)</f>
        <v/>
      </c>
      <c r="H30" s="21">
        <f>IFERROR(G30/F30,"")</f>
        <v/>
      </c>
      <c r="I30" s="21">
        <f>IFERROR(AVERAGEIF(Proyectos!$D$2:$D$41,$C30,Proyectos!$L$2:$L$41),"")</f>
        <v/>
      </c>
      <c r="J30" s="20">
        <f>SUMPRODUCT((Hitos!$J$2:$J$81=$C30)*(Hitos!$E$2:$E$81&lt;&gt;"")*(Hitos!$E$2:$E$81&lt;TODAY())*(Hitos!$F$2:$F$81&lt;&gt;"Completado")*(Hitos!$F$2:$F$81&lt;&gt;"Cancelado"))</f>
        <v/>
      </c>
      <c r="K30" s="20">
        <f>COUNTIFS(KPIs!$M$2:$M$71,$C30,KPIs!$O$2:$O$71,"Crítico")</f>
        <v/>
      </c>
      <c r="BJ30">
        <f>IF(AND(Proyectos!$A30&lt;&gt;"",OR(Proyectos!$H30="En riesgo",Proyectos!$H30="Bloqueado",Proyectos!$AB30&gt;0,IF(Proyectos!$V30="",FALSE,Proyectos!$V30&lt;-0.15))),BK30,"")</f>
        <v/>
      </c>
      <c r="BK30">
        <f>IF(AND(Proyectos!$A30&lt;&gt;"",OR(Proyectos!$H30="En riesgo",Proyectos!$H30="Bloqueado",Proyectos!$AB30&gt;0,IF(Proyectos!$V30="",FALSE,Proyectos!$V30&lt;-0.15))),N(BK29)+1,N(BK29))</f>
        <v/>
      </c>
      <c r="BN30">
        <f>IF(AND(Hitos!$A30&lt;&gt;"",OR(Hitos!$L30="Vencido",Hitos!$L30="Esta semana",Hitos!$L30="Próximos 30 días")),BO30,"")</f>
        <v/>
      </c>
      <c r="BO30">
        <f>IF(AND(Hitos!$A30&lt;&gt;"",OR(Hitos!$L30="Vencido",Hitos!$L30="Esta semana",Hitos!$L30="Próximos 30 días")),N(BO29)+1,N(BO29))</f>
        <v/>
      </c>
    </row>
    <row r="31">
      <c r="B31" s="19" t="inlineStr">
        <is>
          <t>Growth</t>
        </is>
      </c>
      <c r="C31" s="19" t="inlineStr">
        <is>
          <t>Data &amp; Analytics</t>
        </is>
      </c>
      <c r="D31" s="20">
        <f>COUNTIF(Proyectos!$D$2:$D$41,$C31)</f>
        <v/>
      </c>
      <c r="E31" s="20">
        <f>COUNTIFS(Proyectos!$D$2:$D$41,$C31,Proyectos!$H$2:$H$41,"En curso")+COUNTIFS(Proyectos!$D$2:$D$41,$C31,Proyectos!$H$2:$H$41,"En riesgo")+COUNTIFS(Proyectos!$D$2:$D$41,$C31,Proyectos!$H$2:$H$41,"Bloqueado")</f>
        <v/>
      </c>
      <c r="F31" s="22">
        <f>SUMIF(Proyectos!$D$2:$D$41,$C31,Proyectos!$N$2:$N$41)</f>
        <v/>
      </c>
      <c r="G31" s="22">
        <f>SUMIF(Proyectos!$D$2:$D$41,$C31,Proyectos!$O$2:$O$41)</f>
        <v/>
      </c>
      <c r="H31" s="21">
        <f>IFERROR(G31/F31,"")</f>
        <v/>
      </c>
      <c r="I31" s="21">
        <f>IFERROR(AVERAGEIF(Proyectos!$D$2:$D$41,$C31,Proyectos!$L$2:$L$41),"")</f>
        <v/>
      </c>
      <c r="J31" s="20">
        <f>SUMPRODUCT((Hitos!$J$2:$J$81=$C31)*(Hitos!$E$2:$E$81&lt;&gt;"")*(Hitos!$E$2:$E$81&lt;TODAY())*(Hitos!$F$2:$F$81&lt;&gt;"Completado")*(Hitos!$F$2:$F$81&lt;&gt;"Cancelado"))</f>
        <v/>
      </c>
      <c r="K31" s="20">
        <f>COUNTIFS(KPIs!$M$2:$M$71,$C31,KPIs!$O$2:$O$71,"Crítico")</f>
        <v/>
      </c>
      <c r="BJ31">
        <f>IF(AND(Proyectos!$A31&lt;&gt;"",OR(Proyectos!$H31="En riesgo",Proyectos!$H31="Bloqueado",Proyectos!$AB31&gt;0,IF(Proyectos!$V31="",FALSE,Proyectos!$V31&lt;-0.15))),BK31,"")</f>
        <v/>
      </c>
      <c r="BK31">
        <f>IF(AND(Proyectos!$A31&lt;&gt;"",OR(Proyectos!$H31="En riesgo",Proyectos!$H31="Bloqueado",Proyectos!$AB31&gt;0,IF(Proyectos!$V31="",FALSE,Proyectos!$V31&lt;-0.15))),N(BK30)+1,N(BK30))</f>
        <v/>
      </c>
      <c r="BN31">
        <f>IF(AND(Hitos!$A31&lt;&gt;"",OR(Hitos!$L31="Vencido",Hitos!$L31="Esta semana",Hitos!$L31="Próximos 30 días")),BO31,"")</f>
        <v/>
      </c>
      <c r="BO31">
        <f>IF(AND(Hitos!$A31&lt;&gt;"",OR(Hitos!$L31="Vencido",Hitos!$L31="Esta semana",Hitos!$L31="Próximos 30 días")),N(BO30)+1,N(BO30))</f>
        <v/>
      </c>
    </row>
    <row r="32">
      <c r="BJ32">
        <f>IF(AND(Proyectos!$A32&lt;&gt;"",OR(Proyectos!$H32="En riesgo",Proyectos!$H32="Bloqueado",Proyectos!$AB32&gt;0,IF(Proyectos!$V32="",FALSE,Proyectos!$V32&lt;-0.15))),BK32,"")</f>
        <v/>
      </c>
      <c r="BK32">
        <f>IF(AND(Proyectos!$A32&lt;&gt;"",OR(Proyectos!$H32="En riesgo",Proyectos!$H32="Bloqueado",Proyectos!$AB32&gt;0,IF(Proyectos!$V32="",FALSE,Proyectos!$V32&lt;-0.15))),N(BK31)+1,N(BK31))</f>
        <v/>
      </c>
      <c r="BN32">
        <f>IF(AND(Hitos!$A32&lt;&gt;"",OR(Hitos!$L32="Vencido",Hitos!$L32="Esta semana",Hitos!$L32="Próximos 30 días")),BO32,"")</f>
        <v/>
      </c>
      <c r="BO32">
        <f>IF(AND(Hitos!$A32&lt;&gt;"",OR(Hitos!$L32="Vencido",Hitos!$L32="Esta semana",Hitos!$L32="Próximos 30 días")),N(BO31)+1,N(BO31))</f>
        <v/>
      </c>
    </row>
    <row r="33">
      <c r="B33" s="5" t="inlineStr">
        <is>
          <t>PROYECTOS QUE REQUIEREN ATENCIÓN</t>
        </is>
      </c>
      <c r="F33" s="23" t="inlineStr">
        <is>
          <t>En riesgo · bloqueados · con hitos vencidos · desviados &gt;15pp</t>
        </is>
      </c>
      <c r="BJ33">
        <f>IF(AND(Proyectos!$A33&lt;&gt;"",OR(Proyectos!$H33="En riesgo",Proyectos!$H33="Bloqueado",Proyectos!$AB33&gt;0,IF(Proyectos!$V33="",FALSE,Proyectos!$V33&lt;-0.15))),BK33,"")</f>
        <v/>
      </c>
      <c r="BK33">
        <f>IF(AND(Proyectos!$A33&lt;&gt;"",OR(Proyectos!$H33="En riesgo",Proyectos!$H33="Bloqueado",Proyectos!$AB33&gt;0,IF(Proyectos!$V33="",FALSE,Proyectos!$V33&lt;-0.15))),N(BK32)+1,N(BK32))</f>
        <v/>
      </c>
      <c r="BN33">
        <f>IF(AND(Hitos!$A33&lt;&gt;"",OR(Hitos!$L33="Vencido",Hitos!$L33="Esta semana",Hitos!$L33="Próximos 30 días")),BO33,"")</f>
        <v/>
      </c>
      <c r="BO33">
        <f>IF(AND(Hitos!$A33&lt;&gt;"",OR(Hitos!$L33="Vencido",Hitos!$L33="Esta semana",Hitos!$L33="Próximos 30 días")),N(BO32)+1,N(BO32))</f>
        <v/>
      </c>
    </row>
    <row r="34" ht="34" customHeight="1">
      <c r="B34" s="18" t="inlineStr">
        <is>
          <t>ID</t>
        </is>
      </c>
      <c r="C34" s="18" t="inlineStr">
        <is>
          <t>Proyecto</t>
        </is>
      </c>
      <c r="D34" s="18" t="inlineStr">
        <is>
          <t>Subárea</t>
        </is>
      </c>
      <c r="E34" s="18" t="inlineStr">
        <is>
          <t>Owner</t>
        </is>
      </c>
      <c r="F34" s="18" t="inlineStr">
        <is>
          <t>Prioridad</t>
        </is>
      </c>
      <c r="G34" s="18" t="inlineStr">
        <is>
          <t>Estado</t>
        </is>
      </c>
      <c r="H34" s="18" t="inlineStr">
        <is>
          <t>Fin previsto</t>
        </is>
      </c>
      <c r="I34" s="18" t="inlineStr">
        <is>
          <t>Avance</t>
        </is>
      </c>
      <c r="J34" s="18" t="inlineStr">
        <is>
          <t>Desviación</t>
        </is>
      </c>
      <c r="K34" s="18" t="inlineStr">
        <is>
          <t>Semáforo</t>
        </is>
      </c>
      <c r="L34" s="18" t="inlineStr">
        <is>
          <t>Hitos vencidos</t>
        </is>
      </c>
      <c r="M34" s="18" t="inlineStr">
        <is>
          <t>% KPIs</t>
        </is>
      </c>
      <c r="BJ34">
        <f>IF(AND(Proyectos!$A34&lt;&gt;"",OR(Proyectos!$H34="En riesgo",Proyectos!$H34="Bloqueado",Proyectos!$AB34&gt;0,IF(Proyectos!$V34="",FALSE,Proyectos!$V34&lt;-0.15))),BK34,"")</f>
        <v/>
      </c>
      <c r="BK34">
        <f>IF(AND(Proyectos!$A34&lt;&gt;"",OR(Proyectos!$H34="En riesgo",Proyectos!$H34="Bloqueado",Proyectos!$AB34&gt;0,IF(Proyectos!$V34="",FALSE,Proyectos!$V34&lt;-0.15))),N(BK33)+1,N(BK33))</f>
        <v/>
      </c>
      <c r="BN34">
        <f>IF(AND(Hitos!$A34&lt;&gt;"",OR(Hitos!$L34="Vencido",Hitos!$L34="Esta semana",Hitos!$L34="Próximos 30 días")),BO34,"")</f>
        <v/>
      </c>
      <c r="BO34">
        <f>IF(AND(Hitos!$A34&lt;&gt;"",OR(Hitos!$L34="Vencido",Hitos!$L34="Esta semana",Hitos!$L34="Próximos 30 días")),N(BO33)+1,N(BO33))</f>
        <v/>
      </c>
    </row>
    <row r="35" ht="17" customHeight="1">
      <c r="B35" s="24">
        <f>IF($BH35="","",INDEX(Proyectos!$A$2:$A$41,$BH35))</f>
        <v/>
      </c>
      <c r="C35" s="19">
        <f>IF($BH35="","",INDEX(Proyectos!$B$2:$B$41,$BH35))</f>
        <v/>
      </c>
      <c r="D35" s="19">
        <f>IF($BH35="","",INDEX(Proyectos!$D$2:$D$41,$BH35))</f>
        <v/>
      </c>
      <c r="E35" s="19">
        <f>IF($BH35="","",INDEX(Proyectos!$E$2:$E$41,$BH35))</f>
        <v/>
      </c>
      <c r="F35" s="24">
        <f>IF($BH35="","",INDEX(Proyectos!$G$2:$G$41,$BH35))</f>
        <v/>
      </c>
      <c r="G35" s="24">
        <f>IF($BH35="","",INDEX(Proyectos!$H$2:$H$41,$BH35))</f>
        <v/>
      </c>
      <c r="H35" s="25">
        <f>IF($BH35="","",INDEX(Proyectos!$K$2:$K$41,$BH35))</f>
        <v/>
      </c>
      <c r="I35" s="21">
        <f>IF($BH35="","",INDEX(Proyectos!$L$2:$L$41,$BH35))</f>
        <v/>
      </c>
      <c r="J35" s="26">
        <f>IF($BH35="","",INDEX(Proyectos!$V$2:$V$41,$BH35))</f>
        <v/>
      </c>
      <c r="K35" s="24">
        <f>IF($BH35="","",INDEX(Proyectos!$W$2:$W$41,$BH35))</f>
        <v/>
      </c>
      <c r="L35" s="20">
        <f>IF($BH35="","",INDEX(Proyectos!$AB$2:$AB$41,$BH35))</f>
        <v/>
      </c>
      <c r="M35" s="21">
        <f>IF($BH35="","",INDEX(Proyectos!$Y$2:$Y$41,$BH35))</f>
        <v/>
      </c>
      <c r="BH35">
        <f>IFERROR(MATCH(1,$BJ$2:$BJ$41,0),"")</f>
        <v/>
      </c>
      <c r="BJ35">
        <f>IF(AND(Proyectos!$A35&lt;&gt;"",OR(Proyectos!$H35="En riesgo",Proyectos!$H35="Bloqueado",Proyectos!$AB35&gt;0,IF(Proyectos!$V35="",FALSE,Proyectos!$V35&lt;-0.15))),BK35,"")</f>
        <v/>
      </c>
      <c r="BK35">
        <f>IF(AND(Proyectos!$A35&lt;&gt;"",OR(Proyectos!$H35="En riesgo",Proyectos!$H35="Bloqueado",Proyectos!$AB35&gt;0,IF(Proyectos!$V35="",FALSE,Proyectos!$V35&lt;-0.15))),N(BK34)+1,N(BK34))</f>
        <v/>
      </c>
      <c r="BN35">
        <f>IF(AND(Hitos!$A35&lt;&gt;"",OR(Hitos!$L35="Vencido",Hitos!$L35="Esta semana",Hitos!$L35="Próximos 30 días")),BO35,"")</f>
        <v/>
      </c>
      <c r="BO35">
        <f>IF(AND(Hitos!$A35&lt;&gt;"",OR(Hitos!$L35="Vencido",Hitos!$L35="Esta semana",Hitos!$L35="Próximos 30 días")),N(BO34)+1,N(BO34))</f>
        <v/>
      </c>
    </row>
    <row r="36" ht="17" customHeight="1">
      <c r="B36" s="24">
        <f>IF($BH36="","",INDEX(Proyectos!$A$2:$A$41,$BH36))</f>
        <v/>
      </c>
      <c r="C36" s="19">
        <f>IF($BH36="","",INDEX(Proyectos!$B$2:$B$41,$BH36))</f>
        <v/>
      </c>
      <c r="D36" s="19">
        <f>IF($BH36="","",INDEX(Proyectos!$D$2:$D$41,$BH36))</f>
        <v/>
      </c>
      <c r="E36" s="19">
        <f>IF($BH36="","",INDEX(Proyectos!$E$2:$E$41,$BH36))</f>
        <v/>
      </c>
      <c r="F36" s="24">
        <f>IF($BH36="","",INDEX(Proyectos!$G$2:$G$41,$BH36))</f>
        <v/>
      </c>
      <c r="G36" s="24">
        <f>IF($BH36="","",INDEX(Proyectos!$H$2:$H$41,$BH36))</f>
        <v/>
      </c>
      <c r="H36" s="25">
        <f>IF($BH36="","",INDEX(Proyectos!$K$2:$K$41,$BH36))</f>
        <v/>
      </c>
      <c r="I36" s="21">
        <f>IF($BH36="","",INDEX(Proyectos!$L$2:$L$41,$BH36))</f>
        <v/>
      </c>
      <c r="J36" s="26">
        <f>IF($BH36="","",INDEX(Proyectos!$V$2:$V$41,$BH36))</f>
        <v/>
      </c>
      <c r="K36" s="24">
        <f>IF($BH36="","",INDEX(Proyectos!$W$2:$W$41,$BH36))</f>
        <v/>
      </c>
      <c r="L36" s="20">
        <f>IF($BH36="","",INDEX(Proyectos!$AB$2:$AB$41,$BH36))</f>
        <v/>
      </c>
      <c r="M36" s="21">
        <f>IF($BH36="","",INDEX(Proyectos!$Y$2:$Y$41,$BH36))</f>
        <v/>
      </c>
      <c r="BH36">
        <f>IFERROR(MATCH(2,$BJ$2:$BJ$41,0),"")</f>
        <v/>
      </c>
      <c r="BJ36">
        <f>IF(AND(Proyectos!$A36&lt;&gt;"",OR(Proyectos!$H36="En riesgo",Proyectos!$H36="Bloqueado",Proyectos!$AB36&gt;0,IF(Proyectos!$V36="",FALSE,Proyectos!$V36&lt;-0.15))),BK36,"")</f>
        <v/>
      </c>
      <c r="BK36">
        <f>IF(AND(Proyectos!$A36&lt;&gt;"",OR(Proyectos!$H36="En riesgo",Proyectos!$H36="Bloqueado",Proyectos!$AB36&gt;0,IF(Proyectos!$V36="",FALSE,Proyectos!$V36&lt;-0.15))),N(BK35)+1,N(BK35))</f>
        <v/>
      </c>
      <c r="BN36">
        <f>IF(AND(Hitos!$A36&lt;&gt;"",OR(Hitos!$L36="Vencido",Hitos!$L36="Esta semana",Hitos!$L36="Próximos 30 días")),BO36,"")</f>
        <v/>
      </c>
      <c r="BO36">
        <f>IF(AND(Hitos!$A36&lt;&gt;"",OR(Hitos!$L36="Vencido",Hitos!$L36="Esta semana",Hitos!$L36="Próximos 30 días")),N(BO35)+1,N(BO35))</f>
        <v/>
      </c>
    </row>
    <row r="37" ht="17" customHeight="1">
      <c r="B37" s="24">
        <f>IF($BH37="","",INDEX(Proyectos!$A$2:$A$41,$BH37))</f>
        <v/>
      </c>
      <c r="C37" s="19">
        <f>IF($BH37="","",INDEX(Proyectos!$B$2:$B$41,$BH37))</f>
        <v/>
      </c>
      <c r="D37" s="19">
        <f>IF($BH37="","",INDEX(Proyectos!$D$2:$D$41,$BH37))</f>
        <v/>
      </c>
      <c r="E37" s="19">
        <f>IF($BH37="","",INDEX(Proyectos!$E$2:$E$41,$BH37))</f>
        <v/>
      </c>
      <c r="F37" s="24">
        <f>IF($BH37="","",INDEX(Proyectos!$G$2:$G$41,$BH37))</f>
        <v/>
      </c>
      <c r="G37" s="24">
        <f>IF($BH37="","",INDEX(Proyectos!$H$2:$H$41,$BH37))</f>
        <v/>
      </c>
      <c r="H37" s="25">
        <f>IF($BH37="","",INDEX(Proyectos!$K$2:$K$41,$BH37))</f>
        <v/>
      </c>
      <c r="I37" s="21">
        <f>IF($BH37="","",INDEX(Proyectos!$L$2:$L$41,$BH37))</f>
        <v/>
      </c>
      <c r="J37" s="26">
        <f>IF($BH37="","",INDEX(Proyectos!$V$2:$V$41,$BH37))</f>
        <v/>
      </c>
      <c r="K37" s="24">
        <f>IF($BH37="","",INDEX(Proyectos!$W$2:$W$41,$BH37))</f>
        <v/>
      </c>
      <c r="L37" s="20">
        <f>IF($BH37="","",INDEX(Proyectos!$AB$2:$AB$41,$BH37))</f>
        <v/>
      </c>
      <c r="M37" s="21">
        <f>IF($BH37="","",INDEX(Proyectos!$Y$2:$Y$41,$BH37))</f>
        <v/>
      </c>
      <c r="BH37">
        <f>IFERROR(MATCH(3,$BJ$2:$BJ$41,0),"")</f>
        <v/>
      </c>
      <c r="BJ37">
        <f>IF(AND(Proyectos!$A37&lt;&gt;"",OR(Proyectos!$H37="En riesgo",Proyectos!$H37="Bloqueado",Proyectos!$AB37&gt;0,IF(Proyectos!$V37="",FALSE,Proyectos!$V37&lt;-0.15))),BK37,"")</f>
        <v/>
      </c>
      <c r="BK37">
        <f>IF(AND(Proyectos!$A37&lt;&gt;"",OR(Proyectos!$H37="En riesgo",Proyectos!$H37="Bloqueado",Proyectos!$AB37&gt;0,IF(Proyectos!$V37="",FALSE,Proyectos!$V37&lt;-0.15))),N(BK36)+1,N(BK36))</f>
        <v/>
      </c>
      <c r="BN37">
        <f>IF(AND(Hitos!$A37&lt;&gt;"",OR(Hitos!$L37="Vencido",Hitos!$L37="Esta semana",Hitos!$L37="Próximos 30 días")),BO37,"")</f>
        <v/>
      </c>
      <c r="BO37">
        <f>IF(AND(Hitos!$A37&lt;&gt;"",OR(Hitos!$L37="Vencido",Hitos!$L37="Esta semana",Hitos!$L37="Próximos 30 días")),N(BO36)+1,N(BO36))</f>
        <v/>
      </c>
    </row>
    <row r="38" ht="17" customHeight="1">
      <c r="B38" s="24">
        <f>IF($BH38="","",INDEX(Proyectos!$A$2:$A$41,$BH38))</f>
        <v/>
      </c>
      <c r="C38" s="19">
        <f>IF($BH38="","",INDEX(Proyectos!$B$2:$B$41,$BH38))</f>
        <v/>
      </c>
      <c r="D38" s="19">
        <f>IF($BH38="","",INDEX(Proyectos!$D$2:$D$41,$BH38))</f>
        <v/>
      </c>
      <c r="E38" s="19">
        <f>IF($BH38="","",INDEX(Proyectos!$E$2:$E$41,$BH38))</f>
        <v/>
      </c>
      <c r="F38" s="24">
        <f>IF($BH38="","",INDEX(Proyectos!$G$2:$G$41,$BH38))</f>
        <v/>
      </c>
      <c r="G38" s="24">
        <f>IF($BH38="","",INDEX(Proyectos!$H$2:$H$41,$BH38))</f>
        <v/>
      </c>
      <c r="H38" s="25">
        <f>IF($BH38="","",INDEX(Proyectos!$K$2:$K$41,$BH38))</f>
        <v/>
      </c>
      <c r="I38" s="21">
        <f>IF($BH38="","",INDEX(Proyectos!$L$2:$L$41,$BH38))</f>
        <v/>
      </c>
      <c r="J38" s="26">
        <f>IF($BH38="","",INDEX(Proyectos!$V$2:$V$41,$BH38))</f>
        <v/>
      </c>
      <c r="K38" s="24">
        <f>IF($BH38="","",INDEX(Proyectos!$W$2:$W$41,$BH38))</f>
        <v/>
      </c>
      <c r="L38" s="20">
        <f>IF($BH38="","",INDEX(Proyectos!$AB$2:$AB$41,$BH38))</f>
        <v/>
      </c>
      <c r="M38" s="21">
        <f>IF($BH38="","",INDEX(Proyectos!$Y$2:$Y$41,$BH38))</f>
        <v/>
      </c>
      <c r="BH38">
        <f>IFERROR(MATCH(4,$BJ$2:$BJ$41,0),"")</f>
        <v/>
      </c>
      <c r="BJ38">
        <f>IF(AND(Proyectos!$A38&lt;&gt;"",OR(Proyectos!$H38="En riesgo",Proyectos!$H38="Bloqueado",Proyectos!$AB38&gt;0,IF(Proyectos!$V38="",FALSE,Proyectos!$V38&lt;-0.15))),BK38,"")</f>
        <v/>
      </c>
      <c r="BK38">
        <f>IF(AND(Proyectos!$A38&lt;&gt;"",OR(Proyectos!$H38="En riesgo",Proyectos!$H38="Bloqueado",Proyectos!$AB38&gt;0,IF(Proyectos!$V38="",FALSE,Proyectos!$V38&lt;-0.15))),N(BK37)+1,N(BK37))</f>
        <v/>
      </c>
      <c r="BN38">
        <f>IF(AND(Hitos!$A38&lt;&gt;"",OR(Hitos!$L38="Vencido",Hitos!$L38="Esta semana",Hitos!$L38="Próximos 30 días")),BO38,"")</f>
        <v/>
      </c>
      <c r="BO38">
        <f>IF(AND(Hitos!$A38&lt;&gt;"",OR(Hitos!$L38="Vencido",Hitos!$L38="Esta semana",Hitos!$L38="Próximos 30 días")),N(BO37)+1,N(BO37))</f>
        <v/>
      </c>
    </row>
    <row r="39" ht="17" customHeight="1">
      <c r="B39" s="24">
        <f>IF($BH39="","",INDEX(Proyectos!$A$2:$A$41,$BH39))</f>
        <v/>
      </c>
      <c r="C39" s="19">
        <f>IF($BH39="","",INDEX(Proyectos!$B$2:$B$41,$BH39))</f>
        <v/>
      </c>
      <c r="D39" s="19">
        <f>IF($BH39="","",INDEX(Proyectos!$D$2:$D$41,$BH39))</f>
        <v/>
      </c>
      <c r="E39" s="19">
        <f>IF($BH39="","",INDEX(Proyectos!$E$2:$E$41,$BH39))</f>
        <v/>
      </c>
      <c r="F39" s="24">
        <f>IF($BH39="","",INDEX(Proyectos!$G$2:$G$41,$BH39))</f>
        <v/>
      </c>
      <c r="G39" s="24">
        <f>IF($BH39="","",INDEX(Proyectos!$H$2:$H$41,$BH39))</f>
        <v/>
      </c>
      <c r="H39" s="25">
        <f>IF($BH39="","",INDEX(Proyectos!$K$2:$K$41,$BH39))</f>
        <v/>
      </c>
      <c r="I39" s="21">
        <f>IF($BH39="","",INDEX(Proyectos!$L$2:$L$41,$BH39))</f>
        <v/>
      </c>
      <c r="J39" s="26">
        <f>IF($BH39="","",INDEX(Proyectos!$V$2:$V$41,$BH39))</f>
        <v/>
      </c>
      <c r="K39" s="24">
        <f>IF($BH39="","",INDEX(Proyectos!$W$2:$W$41,$BH39))</f>
        <v/>
      </c>
      <c r="L39" s="20">
        <f>IF($BH39="","",INDEX(Proyectos!$AB$2:$AB$41,$BH39))</f>
        <v/>
      </c>
      <c r="M39" s="21">
        <f>IF($BH39="","",INDEX(Proyectos!$Y$2:$Y$41,$BH39))</f>
        <v/>
      </c>
      <c r="BH39">
        <f>IFERROR(MATCH(5,$BJ$2:$BJ$41,0),"")</f>
        <v/>
      </c>
      <c r="BJ39">
        <f>IF(AND(Proyectos!$A39&lt;&gt;"",OR(Proyectos!$H39="En riesgo",Proyectos!$H39="Bloqueado",Proyectos!$AB39&gt;0,IF(Proyectos!$V39="",FALSE,Proyectos!$V39&lt;-0.15))),BK39,"")</f>
        <v/>
      </c>
      <c r="BK39">
        <f>IF(AND(Proyectos!$A39&lt;&gt;"",OR(Proyectos!$H39="En riesgo",Proyectos!$H39="Bloqueado",Proyectos!$AB39&gt;0,IF(Proyectos!$V39="",FALSE,Proyectos!$V39&lt;-0.15))),N(BK38)+1,N(BK38))</f>
        <v/>
      </c>
      <c r="BN39">
        <f>IF(AND(Hitos!$A39&lt;&gt;"",OR(Hitos!$L39="Vencido",Hitos!$L39="Esta semana",Hitos!$L39="Próximos 30 días")),BO39,"")</f>
        <v/>
      </c>
      <c r="BO39">
        <f>IF(AND(Hitos!$A39&lt;&gt;"",OR(Hitos!$L39="Vencido",Hitos!$L39="Esta semana",Hitos!$L39="Próximos 30 días")),N(BO38)+1,N(BO38))</f>
        <v/>
      </c>
    </row>
    <row r="40" ht="17" customHeight="1">
      <c r="B40" s="24">
        <f>IF($BH40="","",INDEX(Proyectos!$A$2:$A$41,$BH40))</f>
        <v/>
      </c>
      <c r="C40" s="19">
        <f>IF($BH40="","",INDEX(Proyectos!$B$2:$B$41,$BH40))</f>
        <v/>
      </c>
      <c r="D40" s="19">
        <f>IF($BH40="","",INDEX(Proyectos!$D$2:$D$41,$BH40))</f>
        <v/>
      </c>
      <c r="E40" s="19">
        <f>IF($BH40="","",INDEX(Proyectos!$E$2:$E$41,$BH40))</f>
        <v/>
      </c>
      <c r="F40" s="24">
        <f>IF($BH40="","",INDEX(Proyectos!$G$2:$G$41,$BH40))</f>
        <v/>
      </c>
      <c r="G40" s="24">
        <f>IF($BH40="","",INDEX(Proyectos!$H$2:$H$41,$BH40))</f>
        <v/>
      </c>
      <c r="H40" s="25">
        <f>IF($BH40="","",INDEX(Proyectos!$K$2:$K$41,$BH40))</f>
        <v/>
      </c>
      <c r="I40" s="21">
        <f>IF($BH40="","",INDEX(Proyectos!$L$2:$L$41,$BH40))</f>
        <v/>
      </c>
      <c r="J40" s="26">
        <f>IF($BH40="","",INDEX(Proyectos!$V$2:$V$41,$BH40))</f>
        <v/>
      </c>
      <c r="K40" s="24">
        <f>IF($BH40="","",INDEX(Proyectos!$W$2:$W$41,$BH40))</f>
        <v/>
      </c>
      <c r="L40" s="20">
        <f>IF($BH40="","",INDEX(Proyectos!$AB$2:$AB$41,$BH40))</f>
        <v/>
      </c>
      <c r="M40" s="21">
        <f>IF($BH40="","",INDEX(Proyectos!$Y$2:$Y$41,$BH40))</f>
        <v/>
      </c>
      <c r="BH40">
        <f>IFERROR(MATCH(6,$BJ$2:$BJ$41,0),"")</f>
        <v/>
      </c>
      <c r="BJ40">
        <f>IF(AND(Proyectos!$A40&lt;&gt;"",OR(Proyectos!$H40="En riesgo",Proyectos!$H40="Bloqueado",Proyectos!$AB40&gt;0,IF(Proyectos!$V40="",FALSE,Proyectos!$V40&lt;-0.15))),BK40,"")</f>
        <v/>
      </c>
      <c r="BK40">
        <f>IF(AND(Proyectos!$A40&lt;&gt;"",OR(Proyectos!$H40="En riesgo",Proyectos!$H40="Bloqueado",Proyectos!$AB40&gt;0,IF(Proyectos!$V40="",FALSE,Proyectos!$V40&lt;-0.15))),N(BK39)+1,N(BK39))</f>
        <v/>
      </c>
      <c r="BN40">
        <f>IF(AND(Hitos!$A40&lt;&gt;"",OR(Hitos!$L40="Vencido",Hitos!$L40="Esta semana",Hitos!$L40="Próximos 30 días")),BO40,"")</f>
        <v/>
      </c>
      <c r="BO40">
        <f>IF(AND(Hitos!$A40&lt;&gt;"",OR(Hitos!$L40="Vencido",Hitos!$L40="Esta semana",Hitos!$L40="Próximos 30 días")),N(BO39)+1,N(BO39))</f>
        <v/>
      </c>
    </row>
    <row r="41" ht="17" customHeight="1">
      <c r="B41" s="24">
        <f>IF($BH41="","",INDEX(Proyectos!$A$2:$A$41,$BH41))</f>
        <v/>
      </c>
      <c r="C41" s="19">
        <f>IF($BH41="","",INDEX(Proyectos!$B$2:$B$41,$BH41))</f>
        <v/>
      </c>
      <c r="D41" s="19">
        <f>IF($BH41="","",INDEX(Proyectos!$D$2:$D$41,$BH41))</f>
        <v/>
      </c>
      <c r="E41" s="19">
        <f>IF($BH41="","",INDEX(Proyectos!$E$2:$E$41,$BH41))</f>
        <v/>
      </c>
      <c r="F41" s="24">
        <f>IF($BH41="","",INDEX(Proyectos!$G$2:$G$41,$BH41))</f>
        <v/>
      </c>
      <c r="G41" s="24">
        <f>IF($BH41="","",INDEX(Proyectos!$H$2:$H$41,$BH41))</f>
        <v/>
      </c>
      <c r="H41" s="25">
        <f>IF($BH41="","",INDEX(Proyectos!$K$2:$K$41,$BH41))</f>
        <v/>
      </c>
      <c r="I41" s="21">
        <f>IF($BH41="","",INDEX(Proyectos!$L$2:$L$41,$BH41))</f>
        <v/>
      </c>
      <c r="J41" s="26">
        <f>IF($BH41="","",INDEX(Proyectos!$V$2:$V$41,$BH41))</f>
        <v/>
      </c>
      <c r="K41" s="24">
        <f>IF($BH41="","",INDEX(Proyectos!$W$2:$W$41,$BH41))</f>
        <v/>
      </c>
      <c r="L41" s="20">
        <f>IF($BH41="","",INDEX(Proyectos!$AB$2:$AB$41,$BH41))</f>
        <v/>
      </c>
      <c r="M41" s="21">
        <f>IF($BH41="","",INDEX(Proyectos!$Y$2:$Y$41,$BH41))</f>
        <v/>
      </c>
      <c r="BH41">
        <f>IFERROR(MATCH(7,$BJ$2:$BJ$41,0),"")</f>
        <v/>
      </c>
      <c r="BJ41">
        <f>IF(AND(Proyectos!$A41&lt;&gt;"",OR(Proyectos!$H41="En riesgo",Proyectos!$H41="Bloqueado",Proyectos!$AB41&gt;0,IF(Proyectos!$V41="",FALSE,Proyectos!$V41&lt;-0.15))),BK41,"")</f>
        <v/>
      </c>
      <c r="BK41">
        <f>IF(AND(Proyectos!$A41&lt;&gt;"",OR(Proyectos!$H41="En riesgo",Proyectos!$H41="Bloqueado",Proyectos!$AB41&gt;0,IF(Proyectos!$V41="",FALSE,Proyectos!$V41&lt;-0.15))),N(BK40)+1,N(BK40))</f>
        <v/>
      </c>
      <c r="BN41">
        <f>IF(AND(Hitos!$A41&lt;&gt;"",OR(Hitos!$L41="Vencido",Hitos!$L41="Esta semana",Hitos!$L41="Próximos 30 días")),BO41,"")</f>
        <v/>
      </c>
      <c r="BO41">
        <f>IF(AND(Hitos!$A41&lt;&gt;"",OR(Hitos!$L41="Vencido",Hitos!$L41="Esta semana",Hitos!$L41="Próximos 30 días")),N(BO40)+1,N(BO40))</f>
        <v/>
      </c>
    </row>
    <row r="42" ht="17" customHeight="1">
      <c r="B42" s="24">
        <f>IF($BH42="","",INDEX(Proyectos!$A$2:$A$41,$BH42))</f>
        <v/>
      </c>
      <c r="C42" s="19">
        <f>IF($BH42="","",INDEX(Proyectos!$B$2:$B$41,$BH42))</f>
        <v/>
      </c>
      <c r="D42" s="19">
        <f>IF($BH42="","",INDEX(Proyectos!$D$2:$D$41,$BH42))</f>
        <v/>
      </c>
      <c r="E42" s="19">
        <f>IF($BH42="","",INDEX(Proyectos!$E$2:$E$41,$BH42))</f>
        <v/>
      </c>
      <c r="F42" s="24">
        <f>IF($BH42="","",INDEX(Proyectos!$G$2:$G$41,$BH42))</f>
        <v/>
      </c>
      <c r="G42" s="24">
        <f>IF($BH42="","",INDEX(Proyectos!$H$2:$H$41,$BH42))</f>
        <v/>
      </c>
      <c r="H42" s="25">
        <f>IF($BH42="","",INDEX(Proyectos!$K$2:$K$41,$BH42))</f>
        <v/>
      </c>
      <c r="I42" s="21">
        <f>IF($BH42="","",INDEX(Proyectos!$L$2:$L$41,$BH42))</f>
        <v/>
      </c>
      <c r="J42" s="26">
        <f>IF($BH42="","",INDEX(Proyectos!$V$2:$V$41,$BH42))</f>
        <v/>
      </c>
      <c r="K42" s="24">
        <f>IF($BH42="","",INDEX(Proyectos!$W$2:$W$41,$BH42))</f>
        <v/>
      </c>
      <c r="L42" s="20">
        <f>IF($BH42="","",INDEX(Proyectos!$AB$2:$AB$41,$BH42))</f>
        <v/>
      </c>
      <c r="M42" s="21">
        <f>IF($BH42="","",INDEX(Proyectos!$Y$2:$Y$41,$BH42))</f>
        <v/>
      </c>
      <c r="BH42">
        <f>IFERROR(MATCH(8,$BJ$2:$BJ$41,0),"")</f>
        <v/>
      </c>
      <c r="BN42">
        <f>IF(AND(Hitos!$A42&lt;&gt;"",OR(Hitos!$L42="Vencido",Hitos!$L42="Esta semana",Hitos!$L42="Próximos 30 días")),BO42,"")</f>
        <v/>
      </c>
      <c r="BO42">
        <f>IF(AND(Hitos!$A42&lt;&gt;"",OR(Hitos!$L42="Vencido",Hitos!$L42="Esta semana",Hitos!$L42="Próximos 30 días")),N(BO41)+1,N(BO41))</f>
        <v/>
      </c>
    </row>
    <row r="43" ht="17" customHeight="1">
      <c r="B43" s="24">
        <f>IF($BH43="","",INDEX(Proyectos!$A$2:$A$41,$BH43))</f>
        <v/>
      </c>
      <c r="C43" s="19">
        <f>IF($BH43="","",INDEX(Proyectos!$B$2:$B$41,$BH43))</f>
        <v/>
      </c>
      <c r="D43" s="19">
        <f>IF($BH43="","",INDEX(Proyectos!$D$2:$D$41,$BH43))</f>
        <v/>
      </c>
      <c r="E43" s="19">
        <f>IF($BH43="","",INDEX(Proyectos!$E$2:$E$41,$BH43))</f>
        <v/>
      </c>
      <c r="F43" s="24">
        <f>IF($BH43="","",INDEX(Proyectos!$G$2:$G$41,$BH43))</f>
        <v/>
      </c>
      <c r="G43" s="24">
        <f>IF($BH43="","",INDEX(Proyectos!$H$2:$H$41,$BH43))</f>
        <v/>
      </c>
      <c r="H43" s="25">
        <f>IF($BH43="","",INDEX(Proyectos!$K$2:$K$41,$BH43))</f>
        <v/>
      </c>
      <c r="I43" s="21">
        <f>IF($BH43="","",INDEX(Proyectos!$L$2:$L$41,$BH43))</f>
        <v/>
      </c>
      <c r="J43" s="26">
        <f>IF($BH43="","",INDEX(Proyectos!$V$2:$V$41,$BH43))</f>
        <v/>
      </c>
      <c r="K43" s="24">
        <f>IF($BH43="","",INDEX(Proyectos!$W$2:$W$41,$BH43))</f>
        <v/>
      </c>
      <c r="L43" s="20">
        <f>IF($BH43="","",INDEX(Proyectos!$AB$2:$AB$41,$BH43))</f>
        <v/>
      </c>
      <c r="M43" s="21">
        <f>IF($BH43="","",INDEX(Proyectos!$Y$2:$Y$41,$BH43))</f>
        <v/>
      </c>
      <c r="BH43">
        <f>IFERROR(MATCH(9,$BJ$2:$BJ$41,0),"")</f>
        <v/>
      </c>
      <c r="BN43">
        <f>IF(AND(Hitos!$A43&lt;&gt;"",OR(Hitos!$L43="Vencido",Hitos!$L43="Esta semana",Hitos!$L43="Próximos 30 días")),BO43,"")</f>
        <v/>
      </c>
      <c r="BO43">
        <f>IF(AND(Hitos!$A43&lt;&gt;"",OR(Hitos!$L43="Vencido",Hitos!$L43="Esta semana",Hitos!$L43="Próximos 30 días")),N(BO42)+1,N(BO42))</f>
        <v/>
      </c>
    </row>
    <row r="44" ht="17" customHeight="1">
      <c r="B44" s="24">
        <f>IF($BH44="","",INDEX(Proyectos!$A$2:$A$41,$BH44))</f>
        <v/>
      </c>
      <c r="C44" s="19">
        <f>IF($BH44="","",INDEX(Proyectos!$B$2:$B$41,$BH44))</f>
        <v/>
      </c>
      <c r="D44" s="19">
        <f>IF($BH44="","",INDEX(Proyectos!$D$2:$D$41,$BH44))</f>
        <v/>
      </c>
      <c r="E44" s="19">
        <f>IF($BH44="","",INDEX(Proyectos!$E$2:$E$41,$BH44))</f>
        <v/>
      </c>
      <c r="F44" s="24">
        <f>IF($BH44="","",INDEX(Proyectos!$G$2:$G$41,$BH44))</f>
        <v/>
      </c>
      <c r="G44" s="24">
        <f>IF($BH44="","",INDEX(Proyectos!$H$2:$H$41,$BH44))</f>
        <v/>
      </c>
      <c r="H44" s="25">
        <f>IF($BH44="","",INDEX(Proyectos!$K$2:$K$41,$BH44))</f>
        <v/>
      </c>
      <c r="I44" s="21">
        <f>IF($BH44="","",INDEX(Proyectos!$L$2:$L$41,$BH44))</f>
        <v/>
      </c>
      <c r="J44" s="26">
        <f>IF($BH44="","",INDEX(Proyectos!$V$2:$V$41,$BH44))</f>
        <v/>
      </c>
      <c r="K44" s="24">
        <f>IF($BH44="","",INDEX(Proyectos!$W$2:$W$41,$BH44))</f>
        <v/>
      </c>
      <c r="L44" s="20">
        <f>IF($BH44="","",INDEX(Proyectos!$AB$2:$AB$41,$BH44))</f>
        <v/>
      </c>
      <c r="M44" s="21">
        <f>IF($BH44="","",INDEX(Proyectos!$Y$2:$Y$41,$BH44))</f>
        <v/>
      </c>
      <c r="BH44">
        <f>IFERROR(MATCH(10,$BJ$2:$BJ$41,0),"")</f>
        <v/>
      </c>
      <c r="BN44">
        <f>IF(AND(Hitos!$A44&lt;&gt;"",OR(Hitos!$L44="Vencido",Hitos!$L44="Esta semana",Hitos!$L44="Próximos 30 días")),BO44,"")</f>
        <v/>
      </c>
      <c r="BO44">
        <f>IF(AND(Hitos!$A44&lt;&gt;"",OR(Hitos!$L44="Vencido",Hitos!$L44="Esta semana",Hitos!$L44="Próximos 30 días")),N(BO43)+1,N(BO43))</f>
        <v/>
      </c>
    </row>
    <row r="45" ht="17" customHeight="1">
      <c r="B45" s="24">
        <f>IF($BH45="","",INDEX(Proyectos!$A$2:$A$41,$BH45))</f>
        <v/>
      </c>
      <c r="C45" s="19">
        <f>IF($BH45="","",INDEX(Proyectos!$B$2:$B$41,$BH45))</f>
        <v/>
      </c>
      <c r="D45" s="19">
        <f>IF($BH45="","",INDEX(Proyectos!$D$2:$D$41,$BH45))</f>
        <v/>
      </c>
      <c r="E45" s="19">
        <f>IF($BH45="","",INDEX(Proyectos!$E$2:$E$41,$BH45))</f>
        <v/>
      </c>
      <c r="F45" s="24">
        <f>IF($BH45="","",INDEX(Proyectos!$G$2:$G$41,$BH45))</f>
        <v/>
      </c>
      <c r="G45" s="24">
        <f>IF($BH45="","",INDEX(Proyectos!$H$2:$H$41,$BH45))</f>
        <v/>
      </c>
      <c r="H45" s="25">
        <f>IF($BH45="","",INDEX(Proyectos!$K$2:$K$41,$BH45))</f>
        <v/>
      </c>
      <c r="I45" s="21">
        <f>IF($BH45="","",INDEX(Proyectos!$L$2:$L$41,$BH45))</f>
        <v/>
      </c>
      <c r="J45" s="26">
        <f>IF($BH45="","",INDEX(Proyectos!$V$2:$V$41,$BH45))</f>
        <v/>
      </c>
      <c r="K45" s="24">
        <f>IF($BH45="","",INDEX(Proyectos!$W$2:$W$41,$BH45))</f>
        <v/>
      </c>
      <c r="L45" s="20">
        <f>IF($BH45="","",INDEX(Proyectos!$AB$2:$AB$41,$BH45))</f>
        <v/>
      </c>
      <c r="M45" s="21">
        <f>IF($BH45="","",INDEX(Proyectos!$Y$2:$Y$41,$BH45))</f>
        <v/>
      </c>
      <c r="BH45">
        <f>IFERROR(MATCH(11,$BJ$2:$BJ$41,0),"")</f>
        <v/>
      </c>
      <c r="BN45">
        <f>IF(AND(Hitos!$A45&lt;&gt;"",OR(Hitos!$L45="Vencido",Hitos!$L45="Esta semana",Hitos!$L45="Próximos 30 días")),BO45,"")</f>
        <v/>
      </c>
      <c r="BO45">
        <f>IF(AND(Hitos!$A45&lt;&gt;"",OR(Hitos!$L45="Vencido",Hitos!$L45="Esta semana",Hitos!$L45="Próximos 30 días")),N(BO44)+1,N(BO44))</f>
        <v/>
      </c>
    </row>
    <row r="46" ht="17" customHeight="1">
      <c r="B46" s="24">
        <f>IF($BH46="","",INDEX(Proyectos!$A$2:$A$41,$BH46))</f>
        <v/>
      </c>
      <c r="C46" s="19">
        <f>IF($BH46="","",INDEX(Proyectos!$B$2:$B$41,$BH46))</f>
        <v/>
      </c>
      <c r="D46" s="19">
        <f>IF($BH46="","",INDEX(Proyectos!$D$2:$D$41,$BH46))</f>
        <v/>
      </c>
      <c r="E46" s="19">
        <f>IF($BH46="","",INDEX(Proyectos!$E$2:$E$41,$BH46))</f>
        <v/>
      </c>
      <c r="F46" s="24">
        <f>IF($BH46="","",INDEX(Proyectos!$G$2:$G$41,$BH46))</f>
        <v/>
      </c>
      <c r="G46" s="24">
        <f>IF($BH46="","",INDEX(Proyectos!$H$2:$H$41,$BH46))</f>
        <v/>
      </c>
      <c r="H46" s="25">
        <f>IF($BH46="","",INDEX(Proyectos!$K$2:$K$41,$BH46))</f>
        <v/>
      </c>
      <c r="I46" s="21">
        <f>IF($BH46="","",INDEX(Proyectos!$L$2:$L$41,$BH46))</f>
        <v/>
      </c>
      <c r="J46" s="26">
        <f>IF($BH46="","",INDEX(Proyectos!$V$2:$V$41,$BH46))</f>
        <v/>
      </c>
      <c r="K46" s="24">
        <f>IF($BH46="","",INDEX(Proyectos!$W$2:$W$41,$BH46))</f>
        <v/>
      </c>
      <c r="L46" s="20">
        <f>IF($BH46="","",INDEX(Proyectos!$AB$2:$AB$41,$BH46))</f>
        <v/>
      </c>
      <c r="M46" s="21">
        <f>IF($BH46="","",INDEX(Proyectos!$Y$2:$Y$41,$BH46))</f>
        <v/>
      </c>
      <c r="BH46">
        <f>IFERROR(MATCH(12,$BJ$2:$BJ$41,0),"")</f>
        <v/>
      </c>
      <c r="BN46">
        <f>IF(AND(Hitos!$A46&lt;&gt;"",OR(Hitos!$L46="Vencido",Hitos!$L46="Esta semana",Hitos!$L46="Próximos 30 días")),BO46,"")</f>
        <v/>
      </c>
      <c r="BO46">
        <f>IF(AND(Hitos!$A46&lt;&gt;"",OR(Hitos!$L46="Vencido",Hitos!$L46="Esta semana",Hitos!$L46="Próximos 30 días")),N(BO45)+1,N(BO45))</f>
        <v/>
      </c>
    </row>
    <row r="47" ht="17" customHeight="1">
      <c r="B47" s="24">
        <f>IF($BH47="","",INDEX(Proyectos!$A$2:$A$41,$BH47))</f>
        <v/>
      </c>
      <c r="C47" s="19">
        <f>IF($BH47="","",INDEX(Proyectos!$B$2:$B$41,$BH47))</f>
        <v/>
      </c>
      <c r="D47" s="19">
        <f>IF($BH47="","",INDEX(Proyectos!$D$2:$D$41,$BH47))</f>
        <v/>
      </c>
      <c r="E47" s="19">
        <f>IF($BH47="","",INDEX(Proyectos!$E$2:$E$41,$BH47))</f>
        <v/>
      </c>
      <c r="F47" s="24">
        <f>IF($BH47="","",INDEX(Proyectos!$G$2:$G$41,$BH47))</f>
        <v/>
      </c>
      <c r="G47" s="24">
        <f>IF($BH47="","",INDEX(Proyectos!$H$2:$H$41,$BH47))</f>
        <v/>
      </c>
      <c r="H47" s="25">
        <f>IF($BH47="","",INDEX(Proyectos!$K$2:$K$41,$BH47))</f>
        <v/>
      </c>
      <c r="I47" s="21">
        <f>IF($BH47="","",INDEX(Proyectos!$L$2:$L$41,$BH47))</f>
        <v/>
      </c>
      <c r="J47" s="26">
        <f>IF($BH47="","",INDEX(Proyectos!$V$2:$V$41,$BH47))</f>
        <v/>
      </c>
      <c r="K47" s="24">
        <f>IF($BH47="","",INDEX(Proyectos!$W$2:$W$41,$BH47))</f>
        <v/>
      </c>
      <c r="L47" s="20">
        <f>IF($BH47="","",INDEX(Proyectos!$AB$2:$AB$41,$BH47))</f>
        <v/>
      </c>
      <c r="M47" s="21">
        <f>IF($BH47="","",INDEX(Proyectos!$Y$2:$Y$41,$BH47))</f>
        <v/>
      </c>
      <c r="BH47">
        <f>IFERROR(MATCH(13,$BJ$2:$BJ$41,0),"")</f>
        <v/>
      </c>
      <c r="BN47">
        <f>IF(AND(Hitos!$A47&lt;&gt;"",OR(Hitos!$L47="Vencido",Hitos!$L47="Esta semana",Hitos!$L47="Próximos 30 días")),BO47,"")</f>
        <v/>
      </c>
      <c r="BO47">
        <f>IF(AND(Hitos!$A47&lt;&gt;"",OR(Hitos!$L47="Vencido",Hitos!$L47="Esta semana",Hitos!$L47="Próximos 30 días")),N(BO46)+1,N(BO46))</f>
        <v/>
      </c>
    </row>
    <row r="48" ht="17" customHeight="1">
      <c r="B48" s="24">
        <f>IF($BH48="","",INDEX(Proyectos!$A$2:$A$41,$BH48))</f>
        <v/>
      </c>
      <c r="C48" s="19">
        <f>IF($BH48="","",INDEX(Proyectos!$B$2:$B$41,$BH48))</f>
        <v/>
      </c>
      <c r="D48" s="19">
        <f>IF($BH48="","",INDEX(Proyectos!$D$2:$D$41,$BH48))</f>
        <v/>
      </c>
      <c r="E48" s="19">
        <f>IF($BH48="","",INDEX(Proyectos!$E$2:$E$41,$BH48))</f>
        <v/>
      </c>
      <c r="F48" s="24">
        <f>IF($BH48="","",INDEX(Proyectos!$G$2:$G$41,$BH48))</f>
        <v/>
      </c>
      <c r="G48" s="24">
        <f>IF($BH48="","",INDEX(Proyectos!$H$2:$H$41,$BH48))</f>
        <v/>
      </c>
      <c r="H48" s="25">
        <f>IF($BH48="","",INDEX(Proyectos!$K$2:$K$41,$BH48))</f>
        <v/>
      </c>
      <c r="I48" s="21">
        <f>IF($BH48="","",INDEX(Proyectos!$L$2:$L$41,$BH48))</f>
        <v/>
      </c>
      <c r="J48" s="26">
        <f>IF($BH48="","",INDEX(Proyectos!$V$2:$V$41,$BH48))</f>
        <v/>
      </c>
      <c r="K48" s="24">
        <f>IF($BH48="","",INDEX(Proyectos!$W$2:$W$41,$BH48))</f>
        <v/>
      </c>
      <c r="L48" s="20">
        <f>IF($BH48="","",INDEX(Proyectos!$AB$2:$AB$41,$BH48))</f>
        <v/>
      </c>
      <c r="M48" s="21">
        <f>IF($BH48="","",INDEX(Proyectos!$Y$2:$Y$41,$BH48))</f>
        <v/>
      </c>
      <c r="BH48">
        <f>IFERROR(MATCH(14,$BJ$2:$BJ$41,0),"")</f>
        <v/>
      </c>
      <c r="BN48">
        <f>IF(AND(Hitos!$A48&lt;&gt;"",OR(Hitos!$L48="Vencido",Hitos!$L48="Esta semana",Hitos!$L48="Próximos 30 días")),BO48,"")</f>
        <v/>
      </c>
      <c r="BO48">
        <f>IF(AND(Hitos!$A48&lt;&gt;"",OR(Hitos!$L48="Vencido",Hitos!$L48="Esta semana",Hitos!$L48="Próximos 30 días")),N(BO47)+1,N(BO47))</f>
        <v/>
      </c>
    </row>
    <row r="49" ht="17" customHeight="1">
      <c r="B49" s="24">
        <f>IF($BH49="","",INDEX(Proyectos!$A$2:$A$41,$BH49))</f>
        <v/>
      </c>
      <c r="C49" s="19">
        <f>IF($BH49="","",INDEX(Proyectos!$B$2:$B$41,$BH49))</f>
        <v/>
      </c>
      <c r="D49" s="19">
        <f>IF($BH49="","",INDEX(Proyectos!$D$2:$D$41,$BH49))</f>
        <v/>
      </c>
      <c r="E49" s="19">
        <f>IF($BH49="","",INDEX(Proyectos!$E$2:$E$41,$BH49))</f>
        <v/>
      </c>
      <c r="F49" s="24">
        <f>IF($BH49="","",INDEX(Proyectos!$G$2:$G$41,$BH49))</f>
        <v/>
      </c>
      <c r="G49" s="24">
        <f>IF($BH49="","",INDEX(Proyectos!$H$2:$H$41,$BH49))</f>
        <v/>
      </c>
      <c r="H49" s="25">
        <f>IF($BH49="","",INDEX(Proyectos!$K$2:$K$41,$BH49))</f>
        <v/>
      </c>
      <c r="I49" s="21">
        <f>IF($BH49="","",INDEX(Proyectos!$L$2:$L$41,$BH49))</f>
        <v/>
      </c>
      <c r="J49" s="26">
        <f>IF($BH49="","",INDEX(Proyectos!$V$2:$V$41,$BH49))</f>
        <v/>
      </c>
      <c r="K49" s="24">
        <f>IF($BH49="","",INDEX(Proyectos!$W$2:$W$41,$BH49))</f>
        <v/>
      </c>
      <c r="L49" s="20">
        <f>IF($BH49="","",INDEX(Proyectos!$AB$2:$AB$41,$BH49))</f>
        <v/>
      </c>
      <c r="M49" s="21">
        <f>IF($BH49="","",INDEX(Proyectos!$Y$2:$Y$41,$BH49))</f>
        <v/>
      </c>
      <c r="BH49">
        <f>IFERROR(MATCH(15,$BJ$2:$BJ$41,0),"")</f>
        <v/>
      </c>
      <c r="BN49">
        <f>IF(AND(Hitos!$A49&lt;&gt;"",OR(Hitos!$L49="Vencido",Hitos!$L49="Esta semana",Hitos!$L49="Próximos 30 días")),BO49,"")</f>
        <v/>
      </c>
      <c r="BO49">
        <f>IF(AND(Hitos!$A49&lt;&gt;"",OR(Hitos!$L49="Vencido",Hitos!$L49="Esta semana",Hitos!$L49="Próximos 30 días")),N(BO48)+1,N(BO48))</f>
        <v/>
      </c>
    </row>
    <row r="50" ht="17" customHeight="1">
      <c r="B50" s="24">
        <f>IF($BH50="","",INDEX(Proyectos!$A$2:$A$41,$BH50))</f>
        <v/>
      </c>
      <c r="C50" s="19">
        <f>IF($BH50="","",INDEX(Proyectos!$B$2:$B$41,$BH50))</f>
        <v/>
      </c>
      <c r="D50" s="19">
        <f>IF($BH50="","",INDEX(Proyectos!$D$2:$D$41,$BH50))</f>
        <v/>
      </c>
      <c r="E50" s="19">
        <f>IF($BH50="","",INDEX(Proyectos!$E$2:$E$41,$BH50))</f>
        <v/>
      </c>
      <c r="F50" s="24">
        <f>IF($BH50="","",INDEX(Proyectos!$G$2:$G$41,$BH50))</f>
        <v/>
      </c>
      <c r="G50" s="24">
        <f>IF($BH50="","",INDEX(Proyectos!$H$2:$H$41,$BH50))</f>
        <v/>
      </c>
      <c r="H50" s="25">
        <f>IF($BH50="","",INDEX(Proyectos!$K$2:$K$41,$BH50))</f>
        <v/>
      </c>
      <c r="I50" s="21">
        <f>IF($BH50="","",INDEX(Proyectos!$L$2:$L$41,$BH50))</f>
        <v/>
      </c>
      <c r="J50" s="26">
        <f>IF($BH50="","",INDEX(Proyectos!$V$2:$V$41,$BH50))</f>
        <v/>
      </c>
      <c r="K50" s="24">
        <f>IF($BH50="","",INDEX(Proyectos!$W$2:$W$41,$BH50))</f>
        <v/>
      </c>
      <c r="L50" s="20">
        <f>IF($BH50="","",INDEX(Proyectos!$AB$2:$AB$41,$BH50))</f>
        <v/>
      </c>
      <c r="M50" s="21">
        <f>IF($BH50="","",INDEX(Proyectos!$Y$2:$Y$41,$BH50))</f>
        <v/>
      </c>
      <c r="BH50">
        <f>IFERROR(MATCH(16,$BJ$2:$BJ$41,0),"")</f>
        <v/>
      </c>
      <c r="BN50">
        <f>IF(AND(Hitos!$A50&lt;&gt;"",OR(Hitos!$L50="Vencido",Hitos!$L50="Esta semana",Hitos!$L50="Próximos 30 días")),BO50,"")</f>
        <v/>
      </c>
      <c r="BO50">
        <f>IF(AND(Hitos!$A50&lt;&gt;"",OR(Hitos!$L50="Vencido",Hitos!$L50="Esta semana",Hitos!$L50="Próximos 30 días")),N(BO49)+1,N(BO49))</f>
        <v/>
      </c>
    </row>
    <row r="51" ht="17" customHeight="1">
      <c r="B51" s="24">
        <f>IF($BH51="","",INDEX(Proyectos!$A$2:$A$41,$BH51))</f>
        <v/>
      </c>
      <c r="C51" s="19">
        <f>IF($BH51="","",INDEX(Proyectos!$B$2:$B$41,$BH51))</f>
        <v/>
      </c>
      <c r="D51" s="19">
        <f>IF($BH51="","",INDEX(Proyectos!$D$2:$D$41,$BH51))</f>
        <v/>
      </c>
      <c r="E51" s="19">
        <f>IF($BH51="","",INDEX(Proyectos!$E$2:$E$41,$BH51))</f>
        <v/>
      </c>
      <c r="F51" s="24">
        <f>IF($BH51="","",INDEX(Proyectos!$G$2:$G$41,$BH51))</f>
        <v/>
      </c>
      <c r="G51" s="24">
        <f>IF($BH51="","",INDEX(Proyectos!$H$2:$H$41,$BH51))</f>
        <v/>
      </c>
      <c r="H51" s="25">
        <f>IF($BH51="","",INDEX(Proyectos!$K$2:$K$41,$BH51))</f>
        <v/>
      </c>
      <c r="I51" s="21">
        <f>IF($BH51="","",INDEX(Proyectos!$L$2:$L$41,$BH51))</f>
        <v/>
      </c>
      <c r="J51" s="26">
        <f>IF($BH51="","",INDEX(Proyectos!$V$2:$V$41,$BH51))</f>
        <v/>
      </c>
      <c r="K51" s="24">
        <f>IF($BH51="","",INDEX(Proyectos!$W$2:$W$41,$BH51))</f>
        <v/>
      </c>
      <c r="L51" s="20">
        <f>IF($BH51="","",INDEX(Proyectos!$AB$2:$AB$41,$BH51))</f>
        <v/>
      </c>
      <c r="M51" s="21">
        <f>IF($BH51="","",INDEX(Proyectos!$Y$2:$Y$41,$BH51))</f>
        <v/>
      </c>
      <c r="BH51">
        <f>IFERROR(MATCH(17,$BJ$2:$BJ$41,0),"")</f>
        <v/>
      </c>
      <c r="BN51">
        <f>IF(AND(Hitos!$A51&lt;&gt;"",OR(Hitos!$L51="Vencido",Hitos!$L51="Esta semana",Hitos!$L51="Próximos 30 días")),BO51,"")</f>
        <v/>
      </c>
      <c r="BO51">
        <f>IF(AND(Hitos!$A51&lt;&gt;"",OR(Hitos!$L51="Vencido",Hitos!$L51="Esta semana",Hitos!$L51="Próximos 30 días")),N(BO50)+1,N(BO50))</f>
        <v/>
      </c>
    </row>
    <row r="52" ht="17" customHeight="1">
      <c r="B52" s="24">
        <f>IF($BH52="","",INDEX(Proyectos!$A$2:$A$41,$BH52))</f>
        <v/>
      </c>
      <c r="C52" s="19">
        <f>IF($BH52="","",INDEX(Proyectos!$B$2:$B$41,$BH52))</f>
        <v/>
      </c>
      <c r="D52" s="19">
        <f>IF($BH52="","",INDEX(Proyectos!$D$2:$D$41,$BH52))</f>
        <v/>
      </c>
      <c r="E52" s="19">
        <f>IF($BH52="","",INDEX(Proyectos!$E$2:$E$41,$BH52))</f>
        <v/>
      </c>
      <c r="F52" s="24">
        <f>IF($BH52="","",INDEX(Proyectos!$G$2:$G$41,$BH52))</f>
        <v/>
      </c>
      <c r="G52" s="24">
        <f>IF($BH52="","",INDEX(Proyectos!$H$2:$H$41,$BH52))</f>
        <v/>
      </c>
      <c r="H52" s="25">
        <f>IF($BH52="","",INDEX(Proyectos!$K$2:$K$41,$BH52))</f>
        <v/>
      </c>
      <c r="I52" s="21">
        <f>IF($BH52="","",INDEX(Proyectos!$L$2:$L$41,$BH52))</f>
        <v/>
      </c>
      <c r="J52" s="26">
        <f>IF($BH52="","",INDEX(Proyectos!$V$2:$V$41,$BH52))</f>
        <v/>
      </c>
      <c r="K52" s="24">
        <f>IF($BH52="","",INDEX(Proyectos!$W$2:$W$41,$BH52))</f>
        <v/>
      </c>
      <c r="L52" s="20">
        <f>IF($BH52="","",INDEX(Proyectos!$AB$2:$AB$41,$BH52))</f>
        <v/>
      </c>
      <c r="M52" s="21">
        <f>IF($BH52="","",INDEX(Proyectos!$Y$2:$Y$41,$BH52))</f>
        <v/>
      </c>
      <c r="BH52">
        <f>IFERROR(MATCH(18,$BJ$2:$BJ$41,0),"")</f>
        <v/>
      </c>
      <c r="BN52">
        <f>IF(AND(Hitos!$A52&lt;&gt;"",OR(Hitos!$L52="Vencido",Hitos!$L52="Esta semana",Hitos!$L52="Próximos 30 días")),BO52,"")</f>
        <v/>
      </c>
      <c r="BO52">
        <f>IF(AND(Hitos!$A52&lt;&gt;"",OR(Hitos!$L52="Vencido",Hitos!$L52="Esta semana",Hitos!$L52="Próximos 30 días")),N(BO51)+1,N(BO51))</f>
        <v/>
      </c>
    </row>
    <row r="53" ht="17" customHeight="1">
      <c r="B53" s="24">
        <f>IF($BH53="","",INDEX(Proyectos!$A$2:$A$41,$BH53))</f>
        <v/>
      </c>
      <c r="C53" s="19">
        <f>IF($BH53="","",INDEX(Proyectos!$B$2:$B$41,$BH53))</f>
        <v/>
      </c>
      <c r="D53" s="19">
        <f>IF($BH53="","",INDEX(Proyectos!$D$2:$D$41,$BH53))</f>
        <v/>
      </c>
      <c r="E53" s="19">
        <f>IF($BH53="","",INDEX(Proyectos!$E$2:$E$41,$BH53))</f>
        <v/>
      </c>
      <c r="F53" s="24">
        <f>IF($BH53="","",INDEX(Proyectos!$G$2:$G$41,$BH53))</f>
        <v/>
      </c>
      <c r="G53" s="24">
        <f>IF($BH53="","",INDEX(Proyectos!$H$2:$H$41,$BH53))</f>
        <v/>
      </c>
      <c r="H53" s="25">
        <f>IF($BH53="","",INDEX(Proyectos!$K$2:$K$41,$BH53))</f>
        <v/>
      </c>
      <c r="I53" s="21">
        <f>IF($BH53="","",INDEX(Proyectos!$L$2:$L$41,$BH53))</f>
        <v/>
      </c>
      <c r="J53" s="26">
        <f>IF($BH53="","",INDEX(Proyectos!$V$2:$V$41,$BH53))</f>
        <v/>
      </c>
      <c r="K53" s="24">
        <f>IF($BH53="","",INDEX(Proyectos!$W$2:$W$41,$BH53))</f>
        <v/>
      </c>
      <c r="L53" s="20">
        <f>IF($BH53="","",INDEX(Proyectos!$AB$2:$AB$41,$BH53))</f>
        <v/>
      </c>
      <c r="M53" s="21">
        <f>IF($BH53="","",INDEX(Proyectos!$Y$2:$Y$41,$BH53))</f>
        <v/>
      </c>
      <c r="BH53">
        <f>IFERROR(MATCH(19,$BJ$2:$BJ$41,0),"")</f>
        <v/>
      </c>
      <c r="BN53">
        <f>IF(AND(Hitos!$A53&lt;&gt;"",OR(Hitos!$L53="Vencido",Hitos!$L53="Esta semana",Hitos!$L53="Próximos 30 días")),BO53,"")</f>
        <v/>
      </c>
      <c r="BO53">
        <f>IF(AND(Hitos!$A53&lt;&gt;"",OR(Hitos!$L53="Vencido",Hitos!$L53="Esta semana",Hitos!$L53="Próximos 30 días")),N(BO52)+1,N(BO52))</f>
        <v/>
      </c>
    </row>
    <row r="54" ht="17" customHeight="1">
      <c r="B54" s="24">
        <f>IF($BH54="","",INDEX(Proyectos!$A$2:$A$41,$BH54))</f>
        <v/>
      </c>
      <c r="C54" s="19">
        <f>IF($BH54="","",INDEX(Proyectos!$B$2:$B$41,$BH54))</f>
        <v/>
      </c>
      <c r="D54" s="19">
        <f>IF($BH54="","",INDEX(Proyectos!$D$2:$D$41,$BH54))</f>
        <v/>
      </c>
      <c r="E54" s="19">
        <f>IF($BH54="","",INDEX(Proyectos!$E$2:$E$41,$BH54))</f>
        <v/>
      </c>
      <c r="F54" s="24">
        <f>IF($BH54="","",INDEX(Proyectos!$G$2:$G$41,$BH54))</f>
        <v/>
      </c>
      <c r="G54" s="24">
        <f>IF($BH54="","",INDEX(Proyectos!$H$2:$H$41,$BH54))</f>
        <v/>
      </c>
      <c r="H54" s="25">
        <f>IF($BH54="","",INDEX(Proyectos!$K$2:$K$41,$BH54))</f>
        <v/>
      </c>
      <c r="I54" s="21">
        <f>IF($BH54="","",INDEX(Proyectos!$L$2:$L$41,$BH54))</f>
        <v/>
      </c>
      <c r="J54" s="26">
        <f>IF($BH54="","",INDEX(Proyectos!$V$2:$V$41,$BH54))</f>
        <v/>
      </c>
      <c r="K54" s="24">
        <f>IF($BH54="","",INDEX(Proyectos!$W$2:$W$41,$BH54))</f>
        <v/>
      </c>
      <c r="L54" s="20">
        <f>IF($BH54="","",INDEX(Proyectos!$AB$2:$AB$41,$BH54))</f>
        <v/>
      </c>
      <c r="M54" s="21">
        <f>IF($BH54="","",INDEX(Proyectos!$Y$2:$Y$41,$BH54))</f>
        <v/>
      </c>
      <c r="BH54">
        <f>IFERROR(MATCH(20,$BJ$2:$BJ$41,0),"")</f>
        <v/>
      </c>
      <c r="BN54">
        <f>IF(AND(Hitos!$A54&lt;&gt;"",OR(Hitos!$L54="Vencido",Hitos!$L54="Esta semana",Hitos!$L54="Próximos 30 días")),BO54,"")</f>
        <v/>
      </c>
      <c r="BO54">
        <f>IF(AND(Hitos!$A54&lt;&gt;"",OR(Hitos!$L54="Vencido",Hitos!$L54="Esta semana",Hitos!$L54="Próximos 30 días")),N(BO53)+1,N(BO53))</f>
        <v/>
      </c>
    </row>
    <row r="55">
      <c r="BN55">
        <f>IF(AND(Hitos!$A55&lt;&gt;"",OR(Hitos!$L55="Vencido",Hitos!$L55="Esta semana",Hitos!$L55="Próximos 30 días")),BO55,"")</f>
        <v/>
      </c>
      <c r="BO55">
        <f>IF(AND(Hitos!$A55&lt;&gt;"",OR(Hitos!$L55="Vencido",Hitos!$L55="Esta semana",Hitos!$L55="Próximos 30 días")),N(BO54)+1,N(BO54))</f>
        <v/>
      </c>
    </row>
    <row r="56">
      <c r="B56" s="5" t="inlineStr">
        <is>
          <t>HITOS VENCIDOS Y DE LOS PRÓXIMOS 30 DÍAS</t>
        </is>
      </c>
      <c r="BN56">
        <f>IF(AND(Hitos!$A56&lt;&gt;"",OR(Hitos!$L56="Vencido",Hitos!$L56="Esta semana",Hitos!$L56="Próximos 30 días")),BO56,"")</f>
        <v/>
      </c>
      <c r="BO56">
        <f>IF(AND(Hitos!$A56&lt;&gt;"",OR(Hitos!$L56="Vencido",Hitos!$L56="Esta semana",Hitos!$L56="Próximos 30 días")),N(BO55)+1,N(BO55))</f>
        <v/>
      </c>
    </row>
    <row r="57" ht="34" customHeight="1">
      <c r="B57" s="18" t="inlineStr">
        <is>
          <t>Fecha objetivo</t>
        </is>
      </c>
      <c r="C57" s="18" t="inlineStr">
        <is>
          <t>Alerta</t>
        </is>
      </c>
      <c r="D57" s="18" t="inlineStr">
        <is>
          <t>Hito</t>
        </is>
      </c>
      <c r="E57" s="18" t="inlineStr">
        <is>
          <t>Proyecto</t>
        </is>
      </c>
      <c r="F57" s="18" t="inlineStr">
        <is>
          <t>Subárea</t>
        </is>
      </c>
      <c r="G57" s="18" t="inlineStr">
        <is>
          <t>Responsable</t>
        </is>
      </c>
      <c r="H57" s="18" t="inlineStr">
        <is>
          <t>Estado</t>
        </is>
      </c>
      <c r="BN57">
        <f>IF(AND(Hitos!$A57&lt;&gt;"",OR(Hitos!$L57="Vencido",Hitos!$L57="Esta semana",Hitos!$L57="Próximos 30 días")),BO57,"")</f>
        <v/>
      </c>
      <c r="BO57">
        <f>IF(AND(Hitos!$A57&lt;&gt;"",OR(Hitos!$L57="Vencido",Hitos!$L57="Esta semana",Hitos!$L57="Próximos 30 días")),N(BO56)+1,N(BO56))</f>
        <v/>
      </c>
    </row>
    <row r="58" ht="17" customHeight="1">
      <c r="B58" s="25">
        <f>IF($BL58="","",INDEX(Hitos!$E$2:$E$81,$BL58))</f>
        <v/>
      </c>
      <c r="C58" s="24">
        <f>IF($BL58="","",INDEX(Hitos!$L$2:$L$81,$BL58))</f>
        <v/>
      </c>
      <c r="D58" s="19">
        <f>IF($BL58="","",INDEX(Hitos!$C$2:$C$81,$BL58))</f>
        <v/>
      </c>
      <c r="E58" s="19">
        <f>IF($BL58="","",INDEX(Hitos!$H$2:$H$81,$BL58))</f>
        <v/>
      </c>
      <c r="F58" s="19">
        <f>IF($BL58="","",INDEX(Hitos!$J$2:$J$81,$BL58))</f>
        <v/>
      </c>
      <c r="G58" s="19">
        <f>IF($BL58="","",INDEX(Hitos!$D$2:$D$81,$BL58))</f>
        <v/>
      </c>
      <c r="H58" s="24">
        <f>IF($BL58="","",INDEX(Hitos!$F$2:$F$81,$BL58))</f>
        <v/>
      </c>
      <c r="BL58">
        <f>IFERROR(MATCH(1,$BN$2:$BN$81,0),"")</f>
        <v/>
      </c>
      <c r="BN58">
        <f>IF(AND(Hitos!$A58&lt;&gt;"",OR(Hitos!$L58="Vencido",Hitos!$L58="Esta semana",Hitos!$L58="Próximos 30 días")),BO58,"")</f>
        <v/>
      </c>
      <c r="BO58">
        <f>IF(AND(Hitos!$A58&lt;&gt;"",OR(Hitos!$L58="Vencido",Hitos!$L58="Esta semana",Hitos!$L58="Próximos 30 días")),N(BO57)+1,N(BO57))</f>
        <v/>
      </c>
    </row>
    <row r="59" ht="17" customHeight="1">
      <c r="B59" s="25">
        <f>IF($BL59="","",INDEX(Hitos!$E$2:$E$81,$BL59))</f>
        <v/>
      </c>
      <c r="C59" s="24">
        <f>IF($BL59="","",INDEX(Hitos!$L$2:$L$81,$BL59))</f>
        <v/>
      </c>
      <c r="D59" s="19">
        <f>IF($BL59="","",INDEX(Hitos!$C$2:$C$81,$BL59))</f>
        <v/>
      </c>
      <c r="E59" s="19">
        <f>IF($BL59="","",INDEX(Hitos!$H$2:$H$81,$BL59))</f>
        <v/>
      </c>
      <c r="F59" s="19">
        <f>IF($BL59="","",INDEX(Hitos!$J$2:$J$81,$BL59))</f>
        <v/>
      </c>
      <c r="G59" s="19">
        <f>IF($BL59="","",INDEX(Hitos!$D$2:$D$81,$BL59))</f>
        <v/>
      </c>
      <c r="H59" s="24">
        <f>IF($BL59="","",INDEX(Hitos!$F$2:$F$81,$BL59))</f>
        <v/>
      </c>
      <c r="BL59">
        <f>IFERROR(MATCH(2,$BN$2:$BN$81,0),"")</f>
        <v/>
      </c>
      <c r="BN59">
        <f>IF(AND(Hitos!$A59&lt;&gt;"",OR(Hitos!$L59="Vencido",Hitos!$L59="Esta semana",Hitos!$L59="Próximos 30 días")),BO59,"")</f>
        <v/>
      </c>
      <c r="BO59">
        <f>IF(AND(Hitos!$A59&lt;&gt;"",OR(Hitos!$L59="Vencido",Hitos!$L59="Esta semana",Hitos!$L59="Próximos 30 días")),N(BO58)+1,N(BO58))</f>
        <v/>
      </c>
    </row>
    <row r="60" ht="17" customHeight="1">
      <c r="B60" s="25">
        <f>IF($BL60="","",INDEX(Hitos!$E$2:$E$81,$BL60))</f>
        <v/>
      </c>
      <c r="C60" s="24">
        <f>IF($BL60="","",INDEX(Hitos!$L$2:$L$81,$BL60))</f>
        <v/>
      </c>
      <c r="D60" s="19">
        <f>IF($BL60="","",INDEX(Hitos!$C$2:$C$81,$BL60))</f>
        <v/>
      </c>
      <c r="E60" s="19">
        <f>IF($BL60="","",INDEX(Hitos!$H$2:$H$81,$BL60))</f>
        <v/>
      </c>
      <c r="F60" s="19">
        <f>IF($BL60="","",INDEX(Hitos!$J$2:$J$81,$BL60))</f>
        <v/>
      </c>
      <c r="G60" s="19">
        <f>IF($BL60="","",INDEX(Hitos!$D$2:$D$81,$BL60))</f>
        <v/>
      </c>
      <c r="H60" s="24">
        <f>IF($BL60="","",INDEX(Hitos!$F$2:$F$81,$BL60))</f>
        <v/>
      </c>
      <c r="BL60">
        <f>IFERROR(MATCH(3,$BN$2:$BN$81,0),"")</f>
        <v/>
      </c>
      <c r="BN60">
        <f>IF(AND(Hitos!$A60&lt;&gt;"",OR(Hitos!$L60="Vencido",Hitos!$L60="Esta semana",Hitos!$L60="Próximos 30 días")),BO60,"")</f>
        <v/>
      </c>
      <c r="BO60">
        <f>IF(AND(Hitos!$A60&lt;&gt;"",OR(Hitos!$L60="Vencido",Hitos!$L60="Esta semana",Hitos!$L60="Próximos 30 días")),N(BO59)+1,N(BO59))</f>
        <v/>
      </c>
    </row>
    <row r="61" ht="17" customHeight="1">
      <c r="B61" s="25">
        <f>IF($BL61="","",INDEX(Hitos!$E$2:$E$81,$BL61))</f>
        <v/>
      </c>
      <c r="C61" s="24">
        <f>IF($BL61="","",INDEX(Hitos!$L$2:$L$81,$BL61))</f>
        <v/>
      </c>
      <c r="D61" s="19">
        <f>IF($BL61="","",INDEX(Hitos!$C$2:$C$81,$BL61))</f>
        <v/>
      </c>
      <c r="E61" s="19">
        <f>IF($BL61="","",INDEX(Hitos!$H$2:$H$81,$BL61))</f>
        <v/>
      </c>
      <c r="F61" s="19">
        <f>IF($BL61="","",INDEX(Hitos!$J$2:$J$81,$BL61))</f>
        <v/>
      </c>
      <c r="G61" s="19">
        <f>IF($BL61="","",INDEX(Hitos!$D$2:$D$81,$BL61))</f>
        <v/>
      </c>
      <c r="H61" s="24">
        <f>IF($BL61="","",INDEX(Hitos!$F$2:$F$81,$BL61))</f>
        <v/>
      </c>
      <c r="BL61">
        <f>IFERROR(MATCH(4,$BN$2:$BN$81,0),"")</f>
        <v/>
      </c>
      <c r="BN61">
        <f>IF(AND(Hitos!$A61&lt;&gt;"",OR(Hitos!$L61="Vencido",Hitos!$L61="Esta semana",Hitos!$L61="Próximos 30 días")),BO61,"")</f>
        <v/>
      </c>
      <c r="BO61">
        <f>IF(AND(Hitos!$A61&lt;&gt;"",OR(Hitos!$L61="Vencido",Hitos!$L61="Esta semana",Hitos!$L61="Próximos 30 días")),N(BO60)+1,N(BO60))</f>
        <v/>
      </c>
    </row>
    <row r="62" ht="17" customHeight="1">
      <c r="B62" s="25">
        <f>IF($BL62="","",INDEX(Hitos!$E$2:$E$81,$BL62))</f>
        <v/>
      </c>
      <c r="C62" s="24">
        <f>IF($BL62="","",INDEX(Hitos!$L$2:$L$81,$BL62))</f>
        <v/>
      </c>
      <c r="D62" s="19">
        <f>IF($BL62="","",INDEX(Hitos!$C$2:$C$81,$BL62))</f>
        <v/>
      </c>
      <c r="E62" s="19">
        <f>IF($BL62="","",INDEX(Hitos!$H$2:$H$81,$BL62))</f>
        <v/>
      </c>
      <c r="F62" s="19">
        <f>IF($BL62="","",INDEX(Hitos!$J$2:$J$81,$BL62))</f>
        <v/>
      </c>
      <c r="G62" s="19">
        <f>IF($BL62="","",INDEX(Hitos!$D$2:$D$81,$BL62))</f>
        <v/>
      </c>
      <c r="H62" s="24">
        <f>IF($BL62="","",INDEX(Hitos!$F$2:$F$81,$BL62))</f>
        <v/>
      </c>
      <c r="BL62">
        <f>IFERROR(MATCH(5,$BN$2:$BN$81,0),"")</f>
        <v/>
      </c>
      <c r="BN62">
        <f>IF(AND(Hitos!$A62&lt;&gt;"",OR(Hitos!$L62="Vencido",Hitos!$L62="Esta semana",Hitos!$L62="Próximos 30 días")),BO62,"")</f>
        <v/>
      </c>
      <c r="BO62">
        <f>IF(AND(Hitos!$A62&lt;&gt;"",OR(Hitos!$L62="Vencido",Hitos!$L62="Esta semana",Hitos!$L62="Próximos 30 días")),N(BO61)+1,N(BO61))</f>
        <v/>
      </c>
    </row>
    <row r="63" ht="17" customHeight="1">
      <c r="B63" s="25">
        <f>IF($BL63="","",INDEX(Hitos!$E$2:$E$81,$BL63))</f>
        <v/>
      </c>
      <c r="C63" s="24">
        <f>IF($BL63="","",INDEX(Hitos!$L$2:$L$81,$BL63))</f>
        <v/>
      </c>
      <c r="D63" s="19">
        <f>IF($BL63="","",INDEX(Hitos!$C$2:$C$81,$BL63))</f>
        <v/>
      </c>
      <c r="E63" s="19">
        <f>IF($BL63="","",INDEX(Hitos!$H$2:$H$81,$BL63))</f>
        <v/>
      </c>
      <c r="F63" s="19">
        <f>IF($BL63="","",INDEX(Hitos!$J$2:$J$81,$BL63))</f>
        <v/>
      </c>
      <c r="G63" s="19">
        <f>IF($BL63="","",INDEX(Hitos!$D$2:$D$81,$BL63))</f>
        <v/>
      </c>
      <c r="H63" s="24">
        <f>IF($BL63="","",INDEX(Hitos!$F$2:$F$81,$BL63))</f>
        <v/>
      </c>
      <c r="BL63">
        <f>IFERROR(MATCH(6,$BN$2:$BN$81,0),"")</f>
        <v/>
      </c>
      <c r="BN63">
        <f>IF(AND(Hitos!$A63&lt;&gt;"",OR(Hitos!$L63="Vencido",Hitos!$L63="Esta semana",Hitos!$L63="Próximos 30 días")),BO63,"")</f>
        <v/>
      </c>
      <c r="BO63">
        <f>IF(AND(Hitos!$A63&lt;&gt;"",OR(Hitos!$L63="Vencido",Hitos!$L63="Esta semana",Hitos!$L63="Próximos 30 días")),N(BO62)+1,N(BO62))</f>
        <v/>
      </c>
    </row>
    <row r="64" ht="17" customHeight="1">
      <c r="B64" s="25">
        <f>IF($BL64="","",INDEX(Hitos!$E$2:$E$81,$BL64))</f>
        <v/>
      </c>
      <c r="C64" s="24">
        <f>IF($BL64="","",INDEX(Hitos!$L$2:$L$81,$BL64))</f>
        <v/>
      </c>
      <c r="D64" s="19">
        <f>IF($BL64="","",INDEX(Hitos!$C$2:$C$81,$BL64))</f>
        <v/>
      </c>
      <c r="E64" s="19">
        <f>IF($BL64="","",INDEX(Hitos!$H$2:$H$81,$BL64))</f>
        <v/>
      </c>
      <c r="F64" s="19">
        <f>IF($BL64="","",INDEX(Hitos!$J$2:$J$81,$BL64))</f>
        <v/>
      </c>
      <c r="G64" s="19">
        <f>IF($BL64="","",INDEX(Hitos!$D$2:$D$81,$BL64))</f>
        <v/>
      </c>
      <c r="H64" s="24">
        <f>IF($BL64="","",INDEX(Hitos!$F$2:$F$81,$BL64))</f>
        <v/>
      </c>
      <c r="BL64">
        <f>IFERROR(MATCH(7,$BN$2:$BN$81,0),"")</f>
        <v/>
      </c>
      <c r="BN64">
        <f>IF(AND(Hitos!$A64&lt;&gt;"",OR(Hitos!$L64="Vencido",Hitos!$L64="Esta semana",Hitos!$L64="Próximos 30 días")),BO64,"")</f>
        <v/>
      </c>
      <c r="BO64">
        <f>IF(AND(Hitos!$A64&lt;&gt;"",OR(Hitos!$L64="Vencido",Hitos!$L64="Esta semana",Hitos!$L64="Próximos 30 días")),N(BO63)+1,N(BO63))</f>
        <v/>
      </c>
    </row>
    <row r="65" ht="17" customHeight="1">
      <c r="B65" s="25">
        <f>IF($BL65="","",INDEX(Hitos!$E$2:$E$81,$BL65))</f>
        <v/>
      </c>
      <c r="C65" s="24">
        <f>IF($BL65="","",INDEX(Hitos!$L$2:$L$81,$BL65))</f>
        <v/>
      </c>
      <c r="D65" s="19">
        <f>IF($BL65="","",INDEX(Hitos!$C$2:$C$81,$BL65))</f>
        <v/>
      </c>
      <c r="E65" s="19">
        <f>IF($BL65="","",INDEX(Hitos!$H$2:$H$81,$BL65))</f>
        <v/>
      </c>
      <c r="F65" s="19">
        <f>IF($BL65="","",INDEX(Hitos!$J$2:$J$81,$BL65))</f>
        <v/>
      </c>
      <c r="G65" s="19">
        <f>IF($BL65="","",INDEX(Hitos!$D$2:$D$81,$BL65))</f>
        <v/>
      </c>
      <c r="H65" s="24">
        <f>IF($BL65="","",INDEX(Hitos!$F$2:$F$81,$BL65))</f>
        <v/>
      </c>
      <c r="BL65">
        <f>IFERROR(MATCH(8,$BN$2:$BN$81,0),"")</f>
        <v/>
      </c>
      <c r="BN65">
        <f>IF(AND(Hitos!$A65&lt;&gt;"",OR(Hitos!$L65="Vencido",Hitos!$L65="Esta semana",Hitos!$L65="Próximos 30 días")),BO65,"")</f>
        <v/>
      </c>
      <c r="BO65">
        <f>IF(AND(Hitos!$A65&lt;&gt;"",OR(Hitos!$L65="Vencido",Hitos!$L65="Esta semana",Hitos!$L65="Próximos 30 días")),N(BO64)+1,N(BO64))</f>
        <v/>
      </c>
    </row>
    <row r="66" ht="17" customHeight="1">
      <c r="B66" s="25">
        <f>IF($BL66="","",INDEX(Hitos!$E$2:$E$81,$BL66))</f>
        <v/>
      </c>
      <c r="C66" s="24">
        <f>IF($BL66="","",INDEX(Hitos!$L$2:$L$81,$BL66))</f>
        <v/>
      </c>
      <c r="D66" s="19">
        <f>IF($BL66="","",INDEX(Hitos!$C$2:$C$81,$BL66))</f>
        <v/>
      </c>
      <c r="E66" s="19">
        <f>IF($BL66="","",INDEX(Hitos!$H$2:$H$81,$BL66))</f>
        <v/>
      </c>
      <c r="F66" s="19">
        <f>IF($BL66="","",INDEX(Hitos!$J$2:$J$81,$BL66))</f>
        <v/>
      </c>
      <c r="G66" s="19">
        <f>IF($BL66="","",INDEX(Hitos!$D$2:$D$81,$BL66))</f>
        <v/>
      </c>
      <c r="H66" s="24">
        <f>IF($BL66="","",INDEX(Hitos!$F$2:$F$81,$BL66))</f>
        <v/>
      </c>
      <c r="BL66">
        <f>IFERROR(MATCH(9,$BN$2:$BN$81,0),"")</f>
        <v/>
      </c>
      <c r="BN66">
        <f>IF(AND(Hitos!$A66&lt;&gt;"",OR(Hitos!$L66="Vencido",Hitos!$L66="Esta semana",Hitos!$L66="Próximos 30 días")),BO66,"")</f>
        <v/>
      </c>
      <c r="BO66">
        <f>IF(AND(Hitos!$A66&lt;&gt;"",OR(Hitos!$L66="Vencido",Hitos!$L66="Esta semana",Hitos!$L66="Próximos 30 días")),N(BO65)+1,N(BO65))</f>
        <v/>
      </c>
    </row>
    <row r="67" ht="17" customHeight="1">
      <c r="B67" s="25">
        <f>IF($BL67="","",INDEX(Hitos!$E$2:$E$81,$BL67))</f>
        <v/>
      </c>
      <c r="C67" s="24">
        <f>IF($BL67="","",INDEX(Hitos!$L$2:$L$81,$BL67))</f>
        <v/>
      </c>
      <c r="D67" s="19">
        <f>IF($BL67="","",INDEX(Hitos!$C$2:$C$81,$BL67))</f>
        <v/>
      </c>
      <c r="E67" s="19">
        <f>IF($BL67="","",INDEX(Hitos!$H$2:$H$81,$BL67))</f>
        <v/>
      </c>
      <c r="F67" s="19">
        <f>IF($BL67="","",INDEX(Hitos!$J$2:$J$81,$BL67))</f>
        <v/>
      </c>
      <c r="G67" s="19">
        <f>IF($BL67="","",INDEX(Hitos!$D$2:$D$81,$BL67))</f>
        <v/>
      </c>
      <c r="H67" s="24">
        <f>IF($BL67="","",INDEX(Hitos!$F$2:$F$81,$BL67))</f>
        <v/>
      </c>
      <c r="BL67">
        <f>IFERROR(MATCH(10,$BN$2:$BN$81,0),"")</f>
        <v/>
      </c>
      <c r="BN67">
        <f>IF(AND(Hitos!$A67&lt;&gt;"",OR(Hitos!$L67="Vencido",Hitos!$L67="Esta semana",Hitos!$L67="Próximos 30 días")),BO67,"")</f>
        <v/>
      </c>
      <c r="BO67">
        <f>IF(AND(Hitos!$A67&lt;&gt;"",OR(Hitos!$L67="Vencido",Hitos!$L67="Esta semana",Hitos!$L67="Próximos 30 días")),N(BO66)+1,N(BO66))</f>
        <v/>
      </c>
    </row>
    <row r="68" ht="17" customHeight="1">
      <c r="B68" s="25">
        <f>IF($BL68="","",INDEX(Hitos!$E$2:$E$81,$BL68))</f>
        <v/>
      </c>
      <c r="C68" s="24">
        <f>IF($BL68="","",INDEX(Hitos!$L$2:$L$81,$BL68))</f>
        <v/>
      </c>
      <c r="D68" s="19">
        <f>IF($BL68="","",INDEX(Hitos!$C$2:$C$81,$BL68))</f>
        <v/>
      </c>
      <c r="E68" s="19">
        <f>IF($BL68="","",INDEX(Hitos!$H$2:$H$81,$BL68))</f>
        <v/>
      </c>
      <c r="F68" s="19">
        <f>IF($BL68="","",INDEX(Hitos!$J$2:$J$81,$BL68))</f>
        <v/>
      </c>
      <c r="G68" s="19">
        <f>IF($BL68="","",INDEX(Hitos!$D$2:$D$81,$BL68))</f>
        <v/>
      </c>
      <c r="H68" s="24">
        <f>IF($BL68="","",INDEX(Hitos!$F$2:$F$81,$BL68))</f>
        <v/>
      </c>
      <c r="BL68">
        <f>IFERROR(MATCH(11,$BN$2:$BN$81,0),"")</f>
        <v/>
      </c>
      <c r="BN68">
        <f>IF(AND(Hitos!$A68&lt;&gt;"",OR(Hitos!$L68="Vencido",Hitos!$L68="Esta semana",Hitos!$L68="Próximos 30 días")),BO68,"")</f>
        <v/>
      </c>
      <c r="BO68">
        <f>IF(AND(Hitos!$A68&lt;&gt;"",OR(Hitos!$L68="Vencido",Hitos!$L68="Esta semana",Hitos!$L68="Próximos 30 días")),N(BO67)+1,N(BO67))</f>
        <v/>
      </c>
    </row>
    <row r="69" ht="17" customHeight="1">
      <c r="B69" s="25">
        <f>IF($BL69="","",INDEX(Hitos!$E$2:$E$81,$BL69))</f>
        <v/>
      </c>
      <c r="C69" s="24">
        <f>IF($BL69="","",INDEX(Hitos!$L$2:$L$81,$BL69))</f>
        <v/>
      </c>
      <c r="D69" s="19">
        <f>IF($BL69="","",INDEX(Hitos!$C$2:$C$81,$BL69))</f>
        <v/>
      </c>
      <c r="E69" s="19">
        <f>IF($BL69="","",INDEX(Hitos!$H$2:$H$81,$BL69))</f>
        <v/>
      </c>
      <c r="F69" s="19">
        <f>IF($BL69="","",INDEX(Hitos!$J$2:$J$81,$BL69))</f>
        <v/>
      </c>
      <c r="G69" s="19">
        <f>IF($BL69="","",INDEX(Hitos!$D$2:$D$81,$BL69))</f>
        <v/>
      </c>
      <c r="H69" s="24">
        <f>IF($BL69="","",INDEX(Hitos!$F$2:$F$81,$BL69))</f>
        <v/>
      </c>
      <c r="BL69">
        <f>IFERROR(MATCH(12,$BN$2:$BN$81,0),"")</f>
        <v/>
      </c>
      <c r="BN69">
        <f>IF(AND(Hitos!$A69&lt;&gt;"",OR(Hitos!$L69="Vencido",Hitos!$L69="Esta semana",Hitos!$L69="Próximos 30 días")),BO69,"")</f>
        <v/>
      </c>
      <c r="BO69">
        <f>IF(AND(Hitos!$A69&lt;&gt;"",OR(Hitos!$L69="Vencido",Hitos!$L69="Esta semana",Hitos!$L69="Próximos 30 días")),N(BO68)+1,N(BO68))</f>
        <v/>
      </c>
    </row>
    <row r="70" ht="17" customHeight="1">
      <c r="B70" s="25">
        <f>IF($BL70="","",INDEX(Hitos!$E$2:$E$81,$BL70))</f>
        <v/>
      </c>
      <c r="C70" s="24">
        <f>IF($BL70="","",INDEX(Hitos!$L$2:$L$81,$BL70))</f>
        <v/>
      </c>
      <c r="D70" s="19">
        <f>IF($BL70="","",INDEX(Hitos!$C$2:$C$81,$BL70))</f>
        <v/>
      </c>
      <c r="E70" s="19">
        <f>IF($BL70="","",INDEX(Hitos!$H$2:$H$81,$BL70))</f>
        <v/>
      </c>
      <c r="F70" s="19">
        <f>IF($BL70="","",INDEX(Hitos!$J$2:$J$81,$BL70))</f>
        <v/>
      </c>
      <c r="G70" s="19">
        <f>IF($BL70="","",INDEX(Hitos!$D$2:$D$81,$BL70))</f>
        <v/>
      </c>
      <c r="H70" s="24">
        <f>IF($BL70="","",INDEX(Hitos!$F$2:$F$81,$BL70))</f>
        <v/>
      </c>
      <c r="BL70">
        <f>IFERROR(MATCH(13,$BN$2:$BN$81,0),"")</f>
        <v/>
      </c>
      <c r="BN70">
        <f>IF(AND(Hitos!$A70&lt;&gt;"",OR(Hitos!$L70="Vencido",Hitos!$L70="Esta semana",Hitos!$L70="Próximos 30 días")),BO70,"")</f>
        <v/>
      </c>
      <c r="BO70">
        <f>IF(AND(Hitos!$A70&lt;&gt;"",OR(Hitos!$L70="Vencido",Hitos!$L70="Esta semana",Hitos!$L70="Próximos 30 días")),N(BO69)+1,N(BO69))</f>
        <v/>
      </c>
    </row>
    <row r="71" ht="17" customHeight="1">
      <c r="B71" s="25">
        <f>IF($BL71="","",INDEX(Hitos!$E$2:$E$81,$BL71))</f>
        <v/>
      </c>
      <c r="C71" s="24">
        <f>IF($BL71="","",INDEX(Hitos!$L$2:$L$81,$BL71))</f>
        <v/>
      </c>
      <c r="D71" s="19">
        <f>IF($BL71="","",INDEX(Hitos!$C$2:$C$81,$BL71))</f>
        <v/>
      </c>
      <c r="E71" s="19">
        <f>IF($BL71="","",INDEX(Hitos!$H$2:$H$81,$BL71))</f>
        <v/>
      </c>
      <c r="F71" s="19">
        <f>IF($BL71="","",INDEX(Hitos!$J$2:$J$81,$BL71))</f>
        <v/>
      </c>
      <c r="G71" s="19">
        <f>IF($BL71="","",INDEX(Hitos!$D$2:$D$81,$BL71))</f>
        <v/>
      </c>
      <c r="H71" s="24">
        <f>IF($BL71="","",INDEX(Hitos!$F$2:$F$81,$BL71))</f>
        <v/>
      </c>
      <c r="BL71">
        <f>IFERROR(MATCH(14,$BN$2:$BN$81,0),"")</f>
        <v/>
      </c>
      <c r="BN71">
        <f>IF(AND(Hitos!$A71&lt;&gt;"",OR(Hitos!$L71="Vencido",Hitos!$L71="Esta semana",Hitos!$L71="Próximos 30 días")),BO71,"")</f>
        <v/>
      </c>
      <c r="BO71">
        <f>IF(AND(Hitos!$A71&lt;&gt;"",OR(Hitos!$L71="Vencido",Hitos!$L71="Esta semana",Hitos!$L71="Próximos 30 días")),N(BO70)+1,N(BO70))</f>
        <v/>
      </c>
    </row>
    <row r="72" ht="17" customHeight="1">
      <c r="B72" s="25">
        <f>IF($BL72="","",INDEX(Hitos!$E$2:$E$81,$BL72))</f>
        <v/>
      </c>
      <c r="C72" s="24">
        <f>IF($BL72="","",INDEX(Hitos!$L$2:$L$81,$BL72))</f>
        <v/>
      </c>
      <c r="D72" s="19">
        <f>IF($BL72="","",INDEX(Hitos!$C$2:$C$81,$BL72))</f>
        <v/>
      </c>
      <c r="E72" s="19">
        <f>IF($BL72="","",INDEX(Hitos!$H$2:$H$81,$BL72))</f>
        <v/>
      </c>
      <c r="F72" s="19">
        <f>IF($BL72="","",INDEX(Hitos!$J$2:$J$81,$BL72))</f>
        <v/>
      </c>
      <c r="G72" s="19">
        <f>IF($BL72="","",INDEX(Hitos!$D$2:$D$81,$BL72))</f>
        <v/>
      </c>
      <c r="H72" s="24">
        <f>IF($BL72="","",INDEX(Hitos!$F$2:$F$81,$BL72))</f>
        <v/>
      </c>
      <c r="BL72">
        <f>IFERROR(MATCH(15,$BN$2:$BN$81,0),"")</f>
        <v/>
      </c>
      <c r="BN72">
        <f>IF(AND(Hitos!$A72&lt;&gt;"",OR(Hitos!$L72="Vencido",Hitos!$L72="Esta semana",Hitos!$L72="Próximos 30 días")),BO72,"")</f>
        <v/>
      </c>
      <c r="BO72">
        <f>IF(AND(Hitos!$A72&lt;&gt;"",OR(Hitos!$L72="Vencido",Hitos!$L72="Esta semana",Hitos!$L72="Próximos 30 días")),N(BO71)+1,N(BO71))</f>
        <v/>
      </c>
    </row>
    <row r="73" ht="17" customHeight="1">
      <c r="B73" s="25">
        <f>IF($BL73="","",INDEX(Hitos!$E$2:$E$81,$BL73))</f>
        <v/>
      </c>
      <c r="C73" s="24">
        <f>IF($BL73="","",INDEX(Hitos!$L$2:$L$81,$BL73))</f>
        <v/>
      </c>
      <c r="D73" s="19">
        <f>IF($BL73="","",INDEX(Hitos!$C$2:$C$81,$BL73))</f>
        <v/>
      </c>
      <c r="E73" s="19">
        <f>IF($BL73="","",INDEX(Hitos!$H$2:$H$81,$BL73))</f>
        <v/>
      </c>
      <c r="F73" s="19">
        <f>IF($BL73="","",INDEX(Hitos!$J$2:$J$81,$BL73))</f>
        <v/>
      </c>
      <c r="G73" s="19">
        <f>IF($BL73="","",INDEX(Hitos!$D$2:$D$81,$BL73))</f>
        <v/>
      </c>
      <c r="H73" s="24">
        <f>IF($BL73="","",INDEX(Hitos!$F$2:$F$81,$BL73))</f>
        <v/>
      </c>
      <c r="BL73">
        <f>IFERROR(MATCH(16,$BN$2:$BN$81,0),"")</f>
        <v/>
      </c>
      <c r="BN73">
        <f>IF(AND(Hitos!$A73&lt;&gt;"",OR(Hitos!$L73="Vencido",Hitos!$L73="Esta semana",Hitos!$L73="Próximos 30 días")),BO73,"")</f>
        <v/>
      </c>
      <c r="BO73">
        <f>IF(AND(Hitos!$A73&lt;&gt;"",OR(Hitos!$L73="Vencido",Hitos!$L73="Esta semana",Hitos!$L73="Próximos 30 días")),N(BO72)+1,N(BO72))</f>
        <v/>
      </c>
    </row>
    <row r="74" ht="17" customHeight="1">
      <c r="B74" s="25">
        <f>IF($BL74="","",INDEX(Hitos!$E$2:$E$81,$BL74))</f>
        <v/>
      </c>
      <c r="C74" s="24">
        <f>IF($BL74="","",INDEX(Hitos!$L$2:$L$81,$BL74))</f>
        <v/>
      </c>
      <c r="D74" s="19">
        <f>IF($BL74="","",INDEX(Hitos!$C$2:$C$81,$BL74))</f>
        <v/>
      </c>
      <c r="E74" s="19">
        <f>IF($BL74="","",INDEX(Hitos!$H$2:$H$81,$BL74))</f>
        <v/>
      </c>
      <c r="F74" s="19">
        <f>IF($BL74="","",INDEX(Hitos!$J$2:$J$81,$BL74))</f>
        <v/>
      </c>
      <c r="G74" s="19">
        <f>IF($BL74="","",INDEX(Hitos!$D$2:$D$81,$BL74))</f>
        <v/>
      </c>
      <c r="H74" s="24">
        <f>IF($BL74="","",INDEX(Hitos!$F$2:$F$81,$BL74))</f>
        <v/>
      </c>
      <c r="BL74">
        <f>IFERROR(MATCH(17,$BN$2:$BN$81,0),"")</f>
        <v/>
      </c>
      <c r="BN74">
        <f>IF(AND(Hitos!$A74&lt;&gt;"",OR(Hitos!$L74="Vencido",Hitos!$L74="Esta semana",Hitos!$L74="Próximos 30 días")),BO74,"")</f>
        <v/>
      </c>
      <c r="BO74">
        <f>IF(AND(Hitos!$A74&lt;&gt;"",OR(Hitos!$L74="Vencido",Hitos!$L74="Esta semana",Hitos!$L74="Próximos 30 días")),N(BO73)+1,N(BO73))</f>
        <v/>
      </c>
    </row>
    <row r="75" ht="17" customHeight="1">
      <c r="B75" s="25">
        <f>IF($BL75="","",INDEX(Hitos!$E$2:$E$81,$BL75))</f>
        <v/>
      </c>
      <c r="C75" s="24">
        <f>IF($BL75="","",INDEX(Hitos!$L$2:$L$81,$BL75))</f>
        <v/>
      </c>
      <c r="D75" s="19">
        <f>IF($BL75="","",INDEX(Hitos!$C$2:$C$81,$BL75))</f>
        <v/>
      </c>
      <c r="E75" s="19">
        <f>IF($BL75="","",INDEX(Hitos!$H$2:$H$81,$BL75))</f>
        <v/>
      </c>
      <c r="F75" s="19">
        <f>IF($BL75="","",INDEX(Hitos!$J$2:$J$81,$BL75))</f>
        <v/>
      </c>
      <c r="G75" s="19">
        <f>IF($BL75="","",INDEX(Hitos!$D$2:$D$81,$BL75))</f>
        <v/>
      </c>
      <c r="H75" s="24">
        <f>IF($BL75="","",INDEX(Hitos!$F$2:$F$81,$BL75))</f>
        <v/>
      </c>
      <c r="BL75">
        <f>IFERROR(MATCH(18,$BN$2:$BN$81,0),"")</f>
        <v/>
      </c>
      <c r="BN75">
        <f>IF(AND(Hitos!$A75&lt;&gt;"",OR(Hitos!$L75="Vencido",Hitos!$L75="Esta semana",Hitos!$L75="Próximos 30 días")),BO75,"")</f>
        <v/>
      </c>
      <c r="BO75">
        <f>IF(AND(Hitos!$A75&lt;&gt;"",OR(Hitos!$L75="Vencido",Hitos!$L75="Esta semana",Hitos!$L75="Próximos 30 días")),N(BO74)+1,N(BO74))</f>
        <v/>
      </c>
    </row>
    <row r="76" ht="17" customHeight="1">
      <c r="B76" s="25">
        <f>IF($BL76="","",INDEX(Hitos!$E$2:$E$81,$BL76))</f>
        <v/>
      </c>
      <c r="C76" s="24">
        <f>IF($BL76="","",INDEX(Hitos!$L$2:$L$81,$BL76))</f>
        <v/>
      </c>
      <c r="D76" s="19">
        <f>IF($BL76="","",INDEX(Hitos!$C$2:$C$81,$BL76))</f>
        <v/>
      </c>
      <c r="E76" s="19">
        <f>IF($BL76="","",INDEX(Hitos!$H$2:$H$81,$BL76))</f>
        <v/>
      </c>
      <c r="F76" s="19">
        <f>IF($BL76="","",INDEX(Hitos!$J$2:$J$81,$BL76))</f>
        <v/>
      </c>
      <c r="G76" s="19">
        <f>IF($BL76="","",INDEX(Hitos!$D$2:$D$81,$BL76))</f>
        <v/>
      </c>
      <c r="H76" s="24">
        <f>IF($BL76="","",INDEX(Hitos!$F$2:$F$81,$BL76))</f>
        <v/>
      </c>
      <c r="BL76">
        <f>IFERROR(MATCH(19,$BN$2:$BN$81,0),"")</f>
        <v/>
      </c>
      <c r="BN76">
        <f>IF(AND(Hitos!$A76&lt;&gt;"",OR(Hitos!$L76="Vencido",Hitos!$L76="Esta semana",Hitos!$L76="Próximos 30 días")),BO76,"")</f>
        <v/>
      </c>
      <c r="BO76">
        <f>IF(AND(Hitos!$A76&lt;&gt;"",OR(Hitos!$L76="Vencido",Hitos!$L76="Esta semana",Hitos!$L76="Próximos 30 días")),N(BO75)+1,N(BO75))</f>
        <v/>
      </c>
    </row>
    <row r="77" ht="17" customHeight="1">
      <c r="B77" s="25">
        <f>IF($BL77="","",INDEX(Hitos!$E$2:$E$81,$BL77))</f>
        <v/>
      </c>
      <c r="C77" s="24">
        <f>IF($BL77="","",INDEX(Hitos!$L$2:$L$81,$BL77))</f>
        <v/>
      </c>
      <c r="D77" s="19">
        <f>IF($BL77="","",INDEX(Hitos!$C$2:$C$81,$BL77))</f>
        <v/>
      </c>
      <c r="E77" s="19">
        <f>IF($BL77="","",INDEX(Hitos!$H$2:$H$81,$BL77))</f>
        <v/>
      </c>
      <c r="F77" s="19">
        <f>IF($BL77="","",INDEX(Hitos!$J$2:$J$81,$BL77))</f>
        <v/>
      </c>
      <c r="G77" s="19">
        <f>IF($BL77="","",INDEX(Hitos!$D$2:$D$81,$BL77))</f>
        <v/>
      </c>
      <c r="H77" s="24">
        <f>IF($BL77="","",INDEX(Hitos!$F$2:$F$81,$BL77))</f>
        <v/>
      </c>
      <c r="BL77">
        <f>IFERROR(MATCH(20,$BN$2:$BN$81,0),"")</f>
        <v/>
      </c>
      <c r="BN77">
        <f>IF(AND(Hitos!$A77&lt;&gt;"",OR(Hitos!$L77="Vencido",Hitos!$L77="Esta semana",Hitos!$L77="Próximos 30 días")),BO77,"")</f>
        <v/>
      </c>
      <c r="BO77">
        <f>IF(AND(Hitos!$A77&lt;&gt;"",OR(Hitos!$L77="Vencido",Hitos!$L77="Esta semana",Hitos!$L77="Próximos 30 días")),N(BO76)+1,N(BO76))</f>
        <v/>
      </c>
    </row>
    <row r="78" ht="17" customHeight="1">
      <c r="B78" s="25">
        <f>IF($BL78="","",INDEX(Hitos!$E$2:$E$81,$BL78))</f>
        <v/>
      </c>
      <c r="C78" s="24">
        <f>IF($BL78="","",INDEX(Hitos!$L$2:$L$81,$BL78))</f>
        <v/>
      </c>
      <c r="D78" s="19">
        <f>IF($BL78="","",INDEX(Hitos!$C$2:$C$81,$BL78))</f>
        <v/>
      </c>
      <c r="E78" s="19">
        <f>IF($BL78="","",INDEX(Hitos!$H$2:$H$81,$BL78))</f>
        <v/>
      </c>
      <c r="F78" s="19">
        <f>IF($BL78="","",INDEX(Hitos!$J$2:$J$81,$BL78))</f>
        <v/>
      </c>
      <c r="G78" s="19">
        <f>IF($BL78="","",INDEX(Hitos!$D$2:$D$81,$BL78))</f>
        <v/>
      </c>
      <c r="H78" s="24">
        <f>IF($BL78="","",INDEX(Hitos!$F$2:$F$81,$BL78))</f>
        <v/>
      </c>
      <c r="BL78">
        <f>IFERROR(MATCH(21,$BN$2:$BN$81,0),"")</f>
        <v/>
      </c>
      <c r="BN78">
        <f>IF(AND(Hitos!$A78&lt;&gt;"",OR(Hitos!$L78="Vencido",Hitos!$L78="Esta semana",Hitos!$L78="Próximos 30 días")),BO78,"")</f>
        <v/>
      </c>
      <c r="BO78">
        <f>IF(AND(Hitos!$A78&lt;&gt;"",OR(Hitos!$L78="Vencido",Hitos!$L78="Esta semana",Hitos!$L78="Próximos 30 días")),N(BO77)+1,N(BO77))</f>
        <v/>
      </c>
    </row>
    <row r="79" ht="17" customHeight="1">
      <c r="B79" s="25">
        <f>IF($BL79="","",INDEX(Hitos!$E$2:$E$81,$BL79))</f>
        <v/>
      </c>
      <c r="C79" s="24">
        <f>IF($BL79="","",INDEX(Hitos!$L$2:$L$81,$BL79))</f>
        <v/>
      </c>
      <c r="D79" s="19">
        <f>IF($BL79="","",INDEX(Hitos!$C$2:$C$81,$BL79))</f>
        <v/>
      </c>
      <c r="E79" s="19">
        <f>IF($BL79="","",INDEX(Hitos!$H$2:$H$81,$BL79))</f>
        <v/>
      </c>
      <c r="F79" s="19">
        <f>IF($BL79="","",INDEX(Hitos!$J$2:$J$81,$BL79))</f>
        <v/>
      </c>
      <c r="G79" s="19">
        <f>IF($BL79="","",INDEX(Hitos!$D$2:$D$81,$BL79))</f>
        <v/>
      </c>
      <c r="H79" s="24">
        <f>IF($BL79="","",INDEX(Hitos!$F$2:$F$81,$BL79))</f>
        <v/>
      </c>
      <c r="BL79">
        <f>IFERROR(MATCH(22,$BN$2:$BN$81,0),"")</f>
        <v/>
      </c>
      <c r="BN79">
        <f>IF(AND(Hitos!$A79&lt;&gt;"",OR(Hitos!$L79="Vencido",Hitos!$L79="Esta semana",Hitos!$L79="Próximos 30 días")),BO79,"")</f>
        <v/>
      </c>
      <c r="BO79">
        <f>IF(AND(Hitos!$A79&lt;&gt;"",OR(Hitos!$L79="Vencido",Hitos!$L79="Esta semana",Hitos!$L79="Próximos 30 días")),N(BO78)+1,N(BO78))</f>
        <v/>
      </c>
    </row>
    <row r="80" ht="17" customHeight="1">
      <c r="B80" s="25">
        <f>IF($BL80="","",INDEX(Hitos!$E$2:$E$81,$BL80))</f>
        <v/>
      </c>
      <c r="C80" s="24">
        <f>IF($BL80="","",INDEX(Hitos!$L$2:$L$81,$BL80))</f>
        <v/>
      </c>
      <c r="D80" s="19">
        <f>IF($BL80="","",INDEX(Hitos!$C$2:$C$81,$BL80))</f>
        <v/>
      </c>
      <c r="E80" s="19">
        <f>IF($BL80="","",INDEX(Hitos!$H$2:$H$81,$BL80))</f>
        <v/>
      </c>
      <c r="F80" s="19">
        <f>IF($BL80="","",INDEX(Hitos!$J$2:$J$81,$BL80))</f>
        <v/>
      </c>
      <c r="G80" s="19">
        <f>IF($BL80="","",INDEX(Hitos!$D$2:$D$81,$BL80))</f>
        <v/>
      </c>
      <c r="H80" s="24">
        <f>IF($BL80="","",INDEX(Hitos!$F$2:$F$81,$BL80))</f>
        <v/>
      </c>
      <c r="BL80">
        <f>IFERROR(MATCH(23,$BN$2:$BN$81,0),"")</f>
        <v/>
      </c>
      <c r="BN80">
        <f>IF(AND(Hitos!$A80&lt;&gt;"",OR(Hitos!$L80="Vencido",Hitos!$L80="Esta semana",Hitos!$L80="Próximos 30 días")),BO80,"")</f>
        <v/>
      </c>
      <c r="BO80">
        <f>IF(AND(Hitos!$A80&lt;&gt;"",OR(Hitos!$L80="Vencido",Hitos!$L80="Esta semana",Hitos!$L80="Próximos 30 días")),N(BO79)+1,N(BO79))</f>
        <v/>
      </c>
    </row>
    <row r="81" ht="17" customHeight="1">
      <c r="B81" s="25">
        <f>IF($BL81="","",INDEX(Hitos!$E$2:$E$81,$BL81))</f>
        <v/>
      </c>
      <c r="C81" s="24">
        <f>IF($BL81="","",INDEX(Hitos!$L$2:$L$81,$BL81))</f>
        <v/>
      </c>
      <c r="D81" s="19">
        <f>IF($BL81="","",INDEX(Hitos!$C$2:$C$81,$BL81))</f>
        <v/>
      </c>
      <c r="E81" s="19">
        <f>IF($BL81="","",INDEX(Hitos!$H$2:$H$81,$BL81))</f>
        <v/>
      </c>
      <c r="F81" s="19">
        <f>IF($BL81="","",INDEX(Hitos!$J$2:$J$81,$BL81))</f>
        <v/>
      </c>
      <c r="G81" s="19">
        <f>IF($BL81="","",INDEX(Hitos!$D$2:$D$81,$BL81))</f>
        <v/>
      </c>
      <c r="H81" s="24">
        <f>IF($BL81="","",INDEX(Hitos!$F$2:$F$81,$BL81))</f>
        <v/>
      </c>
      <c r="BL81">
        <f>IFERROR(MATCH(24,$BN$2:$BN$81,0),"")</f>
        <v/>
      </c>
      <c r="BN81">
        <f>IF(AND(Hitos!$A81&lt;&gt;"",OR(Hitos!$L81="Vencido",Hitos!$L81="Esta semana",Hitos!$L81="Próximos 30 días")),BO81,"")</f>
        <v/>
      </c>
      <c r="BO81">
        <f>IF(AND(Hitos!$A81&lt;&gt;"",OR(Hitos!$L81="Vencido",Hitos!$L81="Esta semana",Hitos!$L81="Próximos 30 días")),N(BO80)+1,N(BO80))</f>
        <v/>
      </c>
    </row>
    <row r="82" ht="17" customHeight="1">
      <c r="B82" s="25">
        <f>IF($BL82="","",INDEX(Hitos!$E$2:$E$81,$BL82))</f>
        <v/>
      </c>
      <c r="C82" s="24">
        <f>IF($BL82="","",INDEX(Hitos!$L$2:$L$81,$BL82))</f>
        <v/>
      </c>
      <c r="D82" s="19">
        <f>IF($BL82="","",INDEX(Hitos!$C$2:$C$81,$BL82))</f>
        <v/>
      </c>
      <c r="E82" s="19">
        <f>IF($BL82="","",INDEX(Hitos!$H$2:$H$81,$BL82))</f>
        <v/>
      </c>
      <c r="F82" s="19">
        <f>IF($BL82="","",INDEX(Hitos!$J$2:$J$81,$BL82))</f>
        <v/>
      </c>
      <c r="G82" s="19">
        <f>IF($BL82="","",INDEX(Hitos!$D$2:$D$81,$BL82))</f>
        <v/>
      </c>
      <c r="H82" s="24">
        <f>IF($BL82="","",INDEX(Hitos!$F$2:$F$81,$BL82))</f>
        <v/>
      </c>
      <c r="BL82">
        <f>IFERROR(MATCH(25,$BN$2:$BN$81,0),"")</f>
        <v/>
      </c>
    </row>
  </sheetData>
  <conditionalFormatting sqref="B12:B17">
    <cfRule type="cellIs" priority="1" operator="equal" dxfId="0">
      <formula>"Backlog"</formula>
    </cfRule>
    <cfRule type="cellIs" priority="2" operator="equal" dxfId="1">
      <formula>"En curso"</formula>
    </cfRule>
    <cfRule type="cellIs" priority="3" operator="equal" dxfId="2">
      <formula>"En riesgo"</formula>
    </cfRule>
    <cfRule type="cellIs" priority="4" operator="equal" dxfId="3">
      <formula>"Bloqueado"</formula>
    </cfRule>
    <cfRule type="cellIs" priority="5" operator="equal" dxfId="4">
      <formula>"Completado"</formula>
    </cfRule>
    <cfRule type="cellIs" priority="6" operator="equal" dxfId="0">
      <formula>"Cancelado"</formula>
    </cfRule>
  </conditionalFormatting>
  <conditionalFormatting sqref="I21">
    <cfRule type="cellIs" priority="7" operator="greaterThan" dxfId="3">
      <formula>0</formula>
    </cfRule>
  </conditionalFormatting>
  <conditionalFormatting sqref="J21">
    <cfRule type="cellIs" priority="8" operator="greaterThan" dxfId="3">
      <formula>0</formula>
    </cfRule>
  </conditionalFormatting>
  <conditionalFormatting sqref="J25">
    <cfRule type="cellIs" priority="9" operator="greaterThan" dxfId="3">
      <formula>0</formula>
    </cfRule>
  </conditionalFormatting>
  <conditionalFormatting sqref="K25">
    <cfRule type="cellIs" priority="10" operator="greaterThan" dxfId="3">
      <formula>0</formula>
    </cfRule>
  </conditionalFormatting>
  <conditionalFormatting sqref="J26">
    <cfRule type="cellIs" priority="11" operator="greaterThan" dxfId="3">
      <formula>0</formula>
    </cfRule>
  </conditionalFormatting>
  <conditionalFormatting sqref="K26">
    <cfRule type="cellIs" priority="12" operator="greaterThan" dxfId="3">
      <formula>0</formula>
    </cfRule>
  </conditionalFormatting>
  <conditionalFormatting sqref="J27">
    <cfRule type="cellIs" priority="13" operator="greaterThan" dxfId="3">
      <formula>0</formula>
    </cfRule>
  </conditionalFormatting>
  <conditionalFormatting sqref="K27">
    <cfRule type="cellIs" priority="14" operator="greaterThan" dxfId="3">
      <formula>0</formula>
    </cfRule>
  </conditionalFormatting>
  <conditionalFormatting sqref="J28">
    <cfRule type="cellIs" priority="15" operator="greaterThan" dxfId="3">
      <formula>0</formula>
    </cfRule>
  </conditionalFormatting>
  <conditionalFormatting sqref="K28">
    <cfRule type="cellIs" priority="16" operator="greaterThan" dxfId="3">
      <formula>0</formula>
    </cfRule>
  </conditionalFormatting>
  <conditionalFormatting sqref="J29">
    <cfRule type="cellIs" priority="17" operator="greaterThan" dxfId="3">
      <formula>0</formula>
    </cfRule>
  </conditionalFormatting>
  <conditionalFormatting sqref="K29">
    <cfRule type="cellIs" priority="18" operator="greaterThan" dxfId="3">
      <formula>0</formula>
    </cfRule>
  </conditionalFormatting>
  <conditionalFormatting sqref="J30">
    <cfRule type="cellIs" priority="19" operator="greaterThan" dxfId="3">
      <formula>0</formula>
    </cfRule>
  </conditionalFormatting>
  <conditionalFormatting sqref="K30">
    <cfRule type="cellIs" priority="20" operator="greaterThan" dxfId="3">
      <formula>0</formula>
    </cfRule>
  </conditionalFormatting>
  <conditionalFormatting sqref="J31">
    <cfRule type="cellIs" priority="21" operator="greaterThan" dxfId="3">
      <formula>0</formula>
    </cfRule>
  </conditionalFormatting>
  <conditionalFormatting sqref="K31">
    <cfRule type="cellIs" priority="22" operator="greaterThan" dxfId="3">
      <formula>0</formula>
    </cfRule>
  </conditionalFormatting>
  <conditionalFormatting sqref="G35:G54">
    <cfRule type="cellIs" priority="23" operator="equal" dxfId="0">
      <formula>"Backlog"</formula>
    </cfRule>
    <cfRule type="cellIs" priority="24" operator="equal" dxfId="1">
      <formula>"En curso"</formula>
    </cfRule>
    <cfRule type="cellIs" priority="25" operator="equal" dxfId="2">
      <formula>"En riesgo"</formula>
    </cfRule>
    <cfRule type="cellIs" priority="26" operator="equal" dxfId="3">
      <formula>"Bloqueado"</formula>
    </cfRule>
    <cfRule type="cellIs" priority="27" operator="equal" dxfId="4">
      <formula>"Completado"</formula>
    </cfRule>
    <cfRule type="cellIs" priority="28" operator="equal" dxfId="0">
      <formula>"Cancelado"</formula>
    </cfRule>
  </conditionalFormatting>
  <conditionalFormatting sqref="K35:K54">
    <cfRule type="cellIs" priority="29" operator="equal" dxfId="3">
      <formula>"Vencido"</formula>
    </cfRule>
    <cfRule type="cellIs" priority="30" operator="equal" dxfId="2">
      <formula>"Desviado"</formula>
    </cfRule>
    <cfRule type="cellIs" priority="31" operator="equal" dxfId="2">
      <formula>"Inminente"</formula>
    </cfRule>
    <cfRule type="cellIs" priority="32" operator="equal" dxfId="4">
      <formula>"En plazo"</formula>
    </cfRule>
  </conditionalFormatting>
  <conditionalFormatting sqref="C58:C82">
    <cfRule type="cellIs" priority="33" operator="equal" dxfId="3">
      <formula>"Vencido"</formula>
    </cfRule>
    <cfRule type="cellIs" priority="34" operator="equal" dxfId="2">
      <formula>"Esta semana"</formula>
    </cfRule>
    <cfRule type="cellIs" priority="35" operator="equal" dxfId="1">
      <formula>"Próximos 30 días"</formula>
    </cfRule>
    <cfRule type="cellIs" priority="36" operator="equal" dxfId="4">
      <formula>"En plazo"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F2976"/>
    <outlinePr summaryBelow="1" summaryRight="1"/>
    <pageSetUpPr/>
  </sheetPr>
  <dimension ref="B2:BS129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36" customWidth="1" min="3" max="3"/>
    <col width="20" customWidth="1" min="4" max="4"/>
    <col width="16" customWidth="1" min="5" max="5"/>
    <col width="12" customWidth="1" min="6" max="6"/>
    <col width="13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2" customWidth="1" min="13" max="13"/>
    <col width="14" customWidth="1" min="14" max="14"/>
    <col width="13" customWidth="1" min="15" max="15"/>
    <col width="11" customWidth="1" min="16" max="16"/>
    <col width="11" customWidth="1" min="17" max="17"/>
    <col width="13" customWidth="1" min="18" max="18"/>
    <col hidden="1" width="3" customWidth="1" min="60" max="60"/>
    <col hidden="1" width="3" customWidth="1" min="62" max="62"/>
    <col hidden="1" width="3" customWidth="1" min="63" max="63"/>
    <col hidden="1" width="3" customWidth="1" min="64" max="64"/>
    <col hidden="1" width="3" customWidth="1" min="66" max="66"/>
    <col hidden="1" width="3" customWidth="1" min="67" max="67"/>
    <col hidden="1" width="3" customWidth="1" min="68" max="68"/>
    <col hidden="1" width="3" customWidth="1" min="70" max="70"/>
    <col hidden="1" width="3" customWidth="1" min="71" max="71"/>
  </cols>
  <sheetData>
    <row r="2">
      <c r="B2" s="1" t="inlineStr">
        <is>
          <t>Zoom por departamento</t>
        </is>
      </c>
      <c r="BJ2">
        <f>IF(AND(Proyectos!$A2&lt;&gt;"",OR($C$5="(Todos)",Proyectos!$C2=$C$5),OR($C$6="(Todas)",Proyectos!$D2=$C$6),OR($C$7="(Todos)",Proyectos!$H2=$C$7)),BK2,"")</f>
        <v/>
      </c>
      <c r="BK2">
        <f>IF(AND(Proyectos!$A2&lt;&gt;"",OR($C$5="(Todos)",Proyectos!$C2=$C$5),OR($C$6="(Todas)",Proyectos!$D2=$C$6),OR($C$7="(Todos)",Proyectos!$H2=$C$7)),N(BK1)+1,N(BK1))</f>
        <v/>
      </c>
      <c r="BN2">
        <f>IF(AND(KPIs!$A2&lt;&gt;"",OR($C$5="(Todos)",KPIs!$L2=$C$5),OR($C$6="(Todas)",KPIs!$M2=$C$6)),BO2,"")</f>
        <v/>
      </c>
      <c r="BO2">
        <f>IF(AND(KPIs!$A2&lt;&gt;"",OR($C$5="(Todos)",KPIs!$L2=$C$5),OR($C$6="(Todas)",KPIs!$M2=$C$6)),N(BO1)+1,N(BO1))</f>
        <v/>
      </c>
      <c r="BR2">
        <f>IF(AND(Hitos!$A2&lt;&gt;"",OR($C$5="(Todos)",Hitos!$I2=$C$5),OR($C$6="(Todas)",Hitos!$J2=$C$6),OR(Hitos!$L2="Vencido",Hitos!$L2="Esta semana",Hitos!$L2="Próximos 30 días")),BS2,"")</f>
        <v/>
      </c>
      <c r="BS2">
        <f>IF(AND(Hitos!$A2&lt;&gt;"",OR($C$5="(Todos)",Hitos!$I2=$C$5),OR($C$6="(Todas)",Hitos!$J2=$C$6),OR(Hitos!$L2="Vencido",Hitos!$L2="Esta semana",Hitos!$L2="Próximos 30 días")),N(BS1)+1,N(BS1))</f>
        <v/>
      </c>
    </row>
    <row r="3">
      <c r="B3" s="12" t="inlineStr">
        <is>
          <t>Elige departamento, subárea y estado en los desplegables: las tres tablas de abajo y las tarjetas se recalculan solas.</t>
        </is>
      </c>
      <c r="BJ3">
        <f>IF(AND(Proyectos!$A3&lt;&gt;"",OR($C$5="(Todos)",Proyectos!$C3=$C$5),OR($C$6="(Todas)",Proyectos!$D3=$C$6),OR($C$7="(Todos)",Proyectos!$H3=$C$7)),BK3,"")</f>
        <v/>
      </c>
      <c r="BK3">
        <f>IF(AND(Proyectos!$A3&lt;&gt;"",OR($C$5="(Todos)",Proyectos!$C3=$C$5),OR($C$6="(Todas)",Proyectos!$D3=$C$6),OR($C$7="(Todos)",Proyectos!$H3=$C$7)),N(BK2)+1,N(BK2))</f>
        <v/>
      </c>
      <c r="BN3">
        <f>IF(AND(KPIs!$A3&lt;&gt;"",OR($C$5="(Todos)",KPIs!$L3=$C$5),OR($C$6="(Todas)",KPIs!$M3=$C$6)),BO3,"")</f>
        <v/>
      </c>
      <c r="BO3">
        <f>IF(AND(KPIs!$A3&lt;&gt;"",OR($C$5="(Todos)",KPIs!$L3=$C$5),OR($C$6="(Todas)",KPIs!$M3=$C$6)),N(BO2)+1,N(BO2))</f>
        <v/>
      </c>
      <c r="BR3">
        <f>IF(AND(Hitos!$A3&lt;&gt;"",OR($C$5="(Todos)",Hitos!$I3=$C$5),OR($C$6="(Todas)",Hitos!$J3=$C$6),OR(Hitos!$L3="Vencido",Hitos!$L3="Esta semana",Hitos!$L3="Próximos 30 días")),BS3,"")</f>
        <v/>
      </c>
      <c r="BS3">
        <f>IF(AND(Hitos!$A3&lt;&gt;"",OR($C$5="(Todos)",Hitos!$I3=$C$5),OR($C$6="(Todas)",Hitos!$J3=$C$6),OR(Hitos!$L3="Vencido",Hitos!$L3="Esta semana",Hitos!$L3="Próximos 30 días")),N(BS2)+1,N(BS2))</f>
        <v/>
      </c>
    </row>
    <row r="4">
      <c r="BJ4">
        <f>IF(AND(Proyectos!$A4&lt;&gt;"",OR($C$5="(Todos)",Proyectos!$C4=$C$5),OR($C$6="(Todas)",Proyectos!$D4=$C$6),OR($C$7="(Todos)",Proyectos!$H4=$C$7)),BK4,"")</f>
        <v/>
      </c>
      <c r="BK4">
        <f>IF(AND(Proyectos!$A4&lt;&gt;"",OR($C$5="(Todos)",Proyectos!$C4=$C$5),OR($C$6="(Todas)",Proyectos!$D4=$C$6),OR($C$7="(Todos)",Proyectos!$H4=$C$7)),N(BK3)+1,N(BK3))</f>
        <v/>
      </c>
      <c r="BN4">
        <f>IF(AND(KPIs!$A4&lt;&gt;"",OR($C$5="(Todos)",KPIs!$L4=$C$5),OR($C$6="(Todas)",KPIs!$M4=$C$6)),BO4,"")</f>
        <v/>
      </c>
      <c r="BO4">
        <f>IF(AND(KPIs!$A4&lt;&gt;"",OR($C$5="(Todos)",KPIs!$L4=$C$5),OR($C$6="(Todas)",KPIs!$M4=$C$6)),N(BO3)+1,N(BO3))</f>
        <v/>
      </c>
      <c r="BR4">
        <f>IF(AND(Hitos!$A4&lt;&gt;"",OR($C$5="(Todos)",Hitos!$I4=$C$5),OR($C$6="(Todas)",Hitos!$J4=$C$6),OR(Hitos!$L4="Vencido",Hitos!$L4="Esta semana",Hitos!$L4="Próximos 30 días")),BS4,"")</f>
        <v/>
      </c>
      <c r="BS4">
        <f>IF(AND(Hitos!$A4&lt;&gt;"",OR($C$5="(Todos)",Hitos!$I4=$C$5),OR($C$6="(Todas)",Hitos!$J4=$C$6),OR(Hitos!$L4="Vencido",Hitos!$L4="Esta semana",Hitos!$L4="Próximos 30 días")),N(BS3)+1,N(BS3))</f>
        <v/>
      </c>
    </row>
    <row r="5" ht="20" customHeight="1">
      <c r="B5" s="27" t="inlineStr">
        <is>
          <t>Departamento</t>
        </is>
      </c>
      <c r="C5" s="28" t="inlineStr">
        <is>
          <t>(Todos)</t>
        </is>
      </c>
      <c r="D5" s="29" t="n"/>
      <c r="E5" s="30" t="n"/>
      <c r="G5" s="23" t="inlineStr">
        <is>
          <t>Celdas amarillas = filtros editables. El resto de la hoja es fórmula.</t>
        </is>
      </c>
      <c r="BJ5">
        <f>IF(AND(Proyectos!$A5&lt;&gt;"",OR($C$5="(Todos)",Proyectos!$C5=$C$5),OR($C$6="(Todas)",Proyectos!$D5=$C$6),OR($C$7="(Todos)",Proyectos!$H5=$C$7)),BK5,"")</f>
        <v/>
      </c>
      <c r="BK5">
        <f>IF(AND(Proyectos!$A5&lt;&gt;"",OR($C$5="(Todos)",Proyectos!$C5=$C$5),OR($C$6="(Todas)",Proyectos!$D5=$C$6),OR($C$7="(Todos)",Proyectos!$H5=$C$7)),N(BK4)+1,N(BK4))</f>
        <v/>
      </c>
      <c r="BN5">
        <f>IF(AND(KPIs!$A5&lt;&gt;"",OR($C$5="(Todos)",KPIs!$L5=$C$5),OR($C$6="(Todas)",KPIs!$M5=$C$6)),BO5,"")</f>
        <v/>
      </c>
      <c r="BO5">
        <f>IF(AND(KPIs!$A5&lt;&gt;"",OR($C$5="(Todos)",KPIs!$L5=$C$5),OR($C$6="(Todas)",KPIs!$M5=$C$6)),N(BO4)+1,N(BO4))</f>
        <v/>
      </c>
      <c r="BR5">
        <f>IF(AND(Hitos!$A5&lt;&gt;"",OR($C$5="(Todos)",Hitos!$I5=$C$5),OR($C$6="(Todas)",Hitos!$J5=$C$6),OR(Hitos!$L5="Vencido",Hitos!$L5="Esta semana",Hitos!$L5="Próximos 30 días")),BS5,"")</f>
        <v/>
      </c>
      <c r="BS5">
        <f>IF(AND(Hitos!$A5&lt;&gt;"",OR($C$5="(Todos)",Hitos!$I5=$C$5),OR($C$6="(Todas)",Hitos!$J5=$C$6),OR(Hitos!$L5="Vencido",Hitos!$L5="Esta semana",Hitos!$L5="Próximos 30 días")),N(BS4)+1,N(BS4))</f>
        <v/>
      </c>
    </row>
    <row r="6" ht="20" customHeight="1">
      <c r="B6" s="27" t="inlineStr">
        <is>
          <t>Subárea</t>
        </is>
      </c>
      <c r="C6" s="28" t="inlineStr">
        <is>
          <t>(Todas)</t>
        </is>
      </c>
      <c r="D6" s="29" t="n"/>
      <c r="E6" s="30" t="n"/>
      <c r="BJ6">
        <f>IF(AND(Proyectos!$A6&lt;&gt;"",OR($C$5="(Todos)",Proyectos!$C6=$C$5),OR($C$6="(Todas)",Proyectos!$D6=$C$6),OR($C$7="(Todos)",Proyectos!$H6=$C$7)),BK6,"")</f>
        <v/>
      </c>
      <c r="BK6">
        <f>IF(AND(Proyectos!$A6&lt;&gt;"",OR($C$5="(Todos)",Proyectos!$C6=$C$5),OR($C$6="(Todas)",Proyectos!$D6=$C$6),OR($C$7="(Todos)",Proyectos!$H6=$C$7)),N(BK5)+1,N(BK5))</f>
        <v/>
      </c>
      <c r="BN6">
        <f>IF(AND(KPIs!$A6&lt;&gt;"",OR($C$5="(Todos)",KPIs!$L6=$C$5),OR($C$6="(Todas)",KPIs!$M6=$C$6)),BO6,"")</f>
        <v/>
      </c>
      <c r="BO6">
        <f>IF(AND(KPIs!$A6&lt;&gt;"",OR($C$5="(Todos)",KPIs!$L6=$C$5),OR($C$6="(Todas)",KPIs!$M6=$C$6)),N(BO5)+1,N(BO5))</f>
        <v/>
      </c>
      <c r="BR6">
        <f>IF(AND(Hitos!$A6&lt;&gt;"",OR($C$5="(Todos)",Hitos!$I6=$C$5),OR($C$6="(Todas)",Hitos!$J6=$C$6),OR(Hitos!$L6="Vencido",Hitos!$L6="Esta semana",Hitos!$L6="Próximos 30 días")),BS6,"")</f>
        <v/>
      </c>
      <c r="BS6">
        <f>IF(AND(Hitos!$A6&lt;&gt;"",OR($C$5="(Todos)",Hitos!$I6=$C$5),OR($C$6="(Todas)",Hitos!$J6=$C$6),OR(Hitos!$L6="Vencido",Hitos!$L6="Esta semana",Hitos!$L6="Próximos 30 días")),N(BS5)+1,N(BS5))</f>
        <v/>
      </c>
    </row>
    <row r="7" ht="20" customHeight="1">
      <c r="B7" s="27" t="inlineStr">
        <is>
          <t>Estado</t>
        </is>
      </c>
      <c r="C7" s="28" t="inlineStr">
        <is>
          <t>(Todos)</t>
        </is>
      </c>
      <c r="D7" s="29" t="n"/>
      <c r="E7" s="30" t="n"/>
      <c r="BJ7">
        <f>IF(AND(Proyectos!$A7&lt;&gt;"",OR($C$5="(Todos)",Proyectos!$C7=$C$5),OR($C$6="(Todas)",Proyectos!$D7=$C$6),OR($C$7="(Todos)",Proyectos!$H7=$C$7)),BK7,"")</f>
        <v/>
      </c>
      <c r="BK7">
        <f>IF(AND(Proyectos!$A7&lt;&gt;"",OR($C$5="(Todos)",Proyectos!$C7=$C$5),OR($C$6="(Todas)",Proyectos!$D7=$C$6),OR($C$7="(Todos)",Proyectos!$H7=$C$7)),N(BK6)+1,N(BK6))</f>
        <v/>
      </c>
      <c r="BN7">
        <f>IF(AND(KPIs!$A7&lt;&gt;"",OR($C$5="(Todos)",KPIs!$L7=$C$5),OR($C$6="(Todas)",KPIs!$M7=$C$6)),BO7,"")</f>
        <v/>
      </c>
      <c r="BO7">
        <f>IF(AND(KPIs!$A7&lt;&gt;"",OR($C$5="(Todos)",KPIs!$L7=$C$5),OR($C$6="(Todas)",KPIs!$M7=$C$6)),N(BO6)+1,N(BO6))</f>
        <v/>
      </c>
      <c r="BR7">
        <f>IF(AND(Hitos!$A7&lt;&gt;"",OR($C$5="(Todos)",Hitos!$I7=$C$5),OR($C$6="(Todas)",Hitos!$J7=$C$6),OR(Hitos!$L7="Vencido",Hitos!$L7="Esta semana",Hitos!$L7="Próximos 30 días")),BS7,"")</f>
        <v/>
      </c>
      <c r="BS7">
        <f>IF(AND(Hitos!$A7&lt;&gt;"",OR($C$5="(Todos)",Hitos!$I7=$C$5),OR($C$6="(Todas)",Hitos!$J7=$C$6),OR(Hitos!$L7="Vencido",Hitos!$L7="Esta semana",Hitos!$L7="Próximos 30 días")),N(BS6)+1,N(BS6))</f>
        <v/>
      </c>
    </row>
    <row r="8">
      <c r="BJ8">
        <f>IF(AND(Proyectos!$A8&lt;&gt;"",OR($C$5="(Todos)",Proyectos!$C8=$C$5),OR($C$6="(Todas)",Proyectos!$D8=$C$6),OR($C$7="(Todos)",Proyectos!$H8=$C$7)),BK8,"")</f>
        <v/>
      </c>
      <c r="BK8">
        <f>IF(AND(Proyectos!$A8&lt;&gt;"",OR($C$5="(Todos)",Proyectos!$C8=$C$5),OR($C$6="(Todas)",Proyectos!$D8=$C$6),OR($C$7="(Todos)",Proyectos!$H8=$C$7)),N(BK7)+1,N(BK7))</f>
        <v/>
      </c>
      <c r="BN8">
        <f>IF(AND(KPIs!$A8&lt;&gt;"",OR($C$5="(Todos)",KPIs!$L8=$C$5),OR($C$6="(Todas)",KPIs!$M8=$C$6)),BO8,"")</f>
        <v/>
      </c>
      <c r="BO8">
        <f>IF(AND(KPIs!$A8&lt;&gt;"",OR($C$5="(Todos)",KPIs!$L8=$C$5),OR($C$6="(Todas)",KPIs!$M8=$C$6)),N(BO7)+1,N(BO7))</f>
        <v/>
      </c>
      <c r="BR8">
        <f>IF(AND(Hitos!$A8&lt;&gt;"",OR($C$5="(Todos)",Hitos!$I8=$C$5),OR($C$6="(Todas)",Hitos!$J8=$C$6),OR(Hitos!$L8="Vencido",Hitos!$L8="Esta semana",Hitos!$L8="Próximos 30 días")),BS8,"")</f>
        <v/>
      </c>
      <c r="BS8">
        <f>IF(AND(Hitos!$A8&lt;&gt;"",OR($C$5="(Todos)",Hitos!$I8=$C$5),OR($C$6="(Todas)",Hitos!$J8=$C$6),OR(Hitos!$L8="Vencido",Hitos!$L8="Esta semana",Hitos!$L8="Próximos 30 días")),N(BS7)+1,N(BS7))</f>
        <v/>
      </c>
    </row>
    <row r="9" ht="26" customHeight="1">
      <c r="B9" s="14" t="inlineStr">
        <is>
          <t>Proyectos en el filtro</t>
        </is>
      </c>
      <c r="C9" s="14" t="inlineStr">
        <is>
          <t>Activos</t>
        </is>
      </c>
      <c r="D9" s="14" t="inlineStr">
        <is>
          <t>En riesgo o bloqueados</t>
        </is>
      </c>
      <c r="E9" s="14" t="inlineStr">
        <is>
          <t>Avance medio</t>
        </is>
      </c>
      <c r="F9" s="14" t="inlineStr">
        <is>
          <t>Presupuesto</t>
        </is>
      </c>
      <c r="G9" s="14" t="inlineStr">
        <is>
          <t>Gasto</t>
        </is>
      </c>
      <c r="H9" s="14" t="inlineStr">
        <is>
          <t>% consumido</t>
        </is>
      </c>
      <c r="I9" s="14" t="inlineStr">
        <is>
          <t>Hitos vencidos</t>
        </is>
      </c>
      <c r="J9" s="14" t="inlineStr">
        <is>
          <t>KPIs en crítico</t>
        </is>
      </c>
      <c r="BJ9">
        <f>IF(AND(Proyectos!$A9&lt;&gt;"",OR($C$5="(Todos)",Proyectos!$C9=$C$5),OR($C$6="(Todas)",Proyectos!$D9=$C$6),OR($C$7="(Todos)",Proyectos!$H9=$C$7)),BK9,"")</f>
        <v/>
      </c>
      <c r="BK9">
        <f>IF(AND(Proyectos!$A9&lt;&gt;"",OR($C$5="(Todos)",Proyectos!$C9=$C$5),OR($C$6="(Todas)",Proyectos!$D9=$C$6),OR($C$7="(Todos)",Proyectos!$H9=$C$7)),N(BK8)+1,N(BK8))</f>
        <v/>
      </c>
      <c r="BN9">
        <f>IF(AND(KPIs!$A9&lt;&gt;"",OR($C$5="(Todos)",KPIs!$L9=$C$5),OR($C$6="(Todas)",KPIs!$M9=$C$6)),BO9,"")</f>
        <v/>
      </c>
      <c r="BO9">
        <f>IF(AND(KPIs!$A9&lt;&gt;"",OR($C$5="(Todos)",KPIs!$L9=$C$5),OR($C$6="(Todas)",KPIs!$M9=$C$6)),N(BO8)+1,N(BO8))</f>
        <v/>
      </c>
      <c r="BR9">
        <f>IF(AND(Hitos!$A9&lt;&gt;"",OR($C$5="(Todos)",Hitos!$I9=$C$5),OR($C$6="(Todas)",Hitos!$J9=$C$6),OR(Hitos!$L9="Vencido",Hitos!$L9="Esta semana",Hitos!$L9="Próximos 30 días")),BS9,"")</f>
        <v/>
      </c>
      <c r="BS9">
        <f>IF(AND(Hitos!$A9&lt;&gt;"",OR($C$5="(Todos)",Hitos!$I9=$C$5),OR($C$6="(Todas)",Hitos!$J9=$C$6),OR(Hitos!$L9="Vencido",Hitos!$L9="Esta semana",Hitos!$L9="Próximos 30 días")),N(BS8)+1,N(BS8))</f>
        <v/>
      </c>
    </row>
    <row r="10" ht="30" customHeight="1">
      <c r="B10" s="15">
        <f>SUMPRODUCT((Proyectos!$A$2:$A$41&lt;&gt;"")*(($C$5="(Todos)")+(Proyectos!$C$2:$C$41=$C$5)&gt;0)*(($C$6="(Todas)")+(Proyectos!$D$2:$D$41=$C$6)&gt;0)*(($C$7="(Todos)")+(Proyectos!$H$2:$H$41=$C$7)&gt;0))</f>
        <v/>
      </c>
      <c r="C10" s="15">
        <f>SUMPRODUCT((Proyectos!$A$2:$A$41&lt;&gt;"")*(($C$5="(Todos)")+(Proyectos!$C$2:$C$41=$C$5)&gt;0)*(($C$6="(Todas)")+(Proyectos!$D$2:$D$41=$C$6)&gt;0)*(($C$7="(Todos)")+(Proyectos!$H$2:$H$41=$C$7)&gt;0)*(((Proyectos!$H$2:$H$41="En curso")+(Proyectos!$H$2:$H$41="En riesgo")+(Proyectos!$H$2:$H$41="Bloqueado"))&gt;0))</f>
        <v/>
      </c>
      <c r="D10" s="15">
        <f>SUMPRODUCT((Proyectos!$A$2:$A$41&lt;&gt;"")*(($C$5="(Todos)")+(Proyectos!$C$2:$C$41=$C$5)&gt;0)*(($C$6="(Todas)")+(Proyectos!$D$2:$D$41=$C$6)&gt;0)*(($C$7="(Todos)")+(Proyectos!$H$2:$H$41=$C$7)&gt;0)*(((Proyectos!$H$2:$H$41="En riesgo")+(Proyectos!$H$2:$H$41="Bloqueado"))&gt;0))</f>
        <v/>
      </c>
      <c r="E10" s="16">
        <f>IFERROR(SUMPRODUCT((Proyectos!$A$2:$A$41&lt;&gt;"")*(($C$5="(Todos)")+(Proyectos!$C$2:$C$41=$C$5)&gt;0)*(($C$6="(Todas)")+(Proyectos!$D$2:$D$41=$C$6)&gt;0)*(($C$7="(Todos)")+(Proyectos!$H$2:$H$41=$C$7)&gt;0)*Proyectos!$L$2:$L$41)/SUMPRODUCT((Proyectos!$A$2:$A$41&lt;&gt;"")*(($C$5="(Todos)")+(Proyectos!$C$2:$C$41=$C$5)&gt;0)*(($C$6="(Todas)")+(Proyectos!$D$2:$D$41=$C$6)&gt;0)*(($C$7="(Todos)")+(Proyectos!$H$2:$H$41=$C$7)&gt;0)),"")</f>
        <v/>
      </c>
      <c r="F10" s="17">
        <f>SUMPRODUCT((Proyectos!$A$2:$A$41&lt;&gt;"")*(($C$5="(Todos)")+(Proyectos!$C$2:$C$41=$C$5)&gt;0)*(($C$6="(Todas)")+(Proyectos!$D$2:$D$41=$C$6)&gt;0)*(($C$7="(Todos)")+(Proyectos!$H$2:$H$41=$C$7)&gt;0)*Proyectos!$N$2:$N$41)</f>
        <v/>
      </c>
      <c r="G10" s="17">
        <f>SUMPRODUCT((Proyectos!$A$2:$A$41&lt;&gt;"")*(($C$5="(Todos)")+(Proyectos!$C$2:$C$41=$C$5)&gt;0)*(($C$6="(Todas)")+(Proyectos!$D$2:$D$41=$C$6)&gt;0)*(($C$7="(Todos)")+(Proyectos!$H$2:$H$41=$C$7)&gt;0)*Proyectos!$O$2:$O$41)</f>
        <v/>
      </c>
      <c r="H10" s="16">
        <f>IFERROR(SUMPRODUCT((Proyectos!$A$2:$A$41&lt;&gt;"")*(($C$5="(Todos)")+(Proyectos!$C$2:$C$41=$C$5)&gt;0)*(($C$6="(Todas)")+(Proyectos!$D$2:$D$41=$C$6)&gt;0)*(($C$7="(Todos)")+(Proyectos!$H$2:$H$41=$C$7)&gt;0)*Proyectos!$O$2:$O$41)/SUMPRODUCT((Proyectos!$A$2:$A$41&lt;&gt;"")*(($C$5="(Todos)")+(Proyectos!$C$2:$C$41=$C$5)&gt;0)*(($C$6="(Todas)")+(Proyectos!$D$2:$D$41=$C$6)&gt;0)*(($C$7="(Todos)")+(Proyectos!$H$2:$H$41=$C$7)&gt;0)*Proyectos!$N$2:$N$41),"")</f>
        <v/>
      </c>
      <c r="I10" s="15">
        <f>SUMPRODUCT((Hitos!$A$2:$A$81&lt;&gt;"")*(($C$5="(Todos)")+(Hitos!$I$2:$I$81=$C$5)&gt;0)*(($C$6="(Todas)")+(Hitos!$J$2:$J$81=$C$6)&gt;0)*(Hitos!$E$2:$E$81&lt;&gt;"")*(Hitos!$E$2:$E$81&lt;TODAY())*(Hitos!$F$2:$F$81&lt;&gt;"Completado")*(Hitos!$F$2:$F$81&lt;&gt;"Cancelado"))</f>
        <v/>
      </c>
      <c r="J10" s="15">
        <f>SUMPRODUCT((KPIs!$A$2:$A$71&lt;&gt;"")*(($C$5="(Todos)")+(KPIs!$L$2:$L$71=$C$5)&gt;0)*(($C$6="(Todas)")+(KPIs!$M$2:$M$71=$C$6)&gt;0)*(KPIs!$O$2:$O$71="Crítico"))</f>
        <v/>
      </c>
      <c r="BJ10">
        <f>IF(AND(Proyectos!$A10&lt;&gt;"",OR($C$5="(Todos)",Proyectos!$C10=$C$5),OR($C$6="(Todas)",Proyectos!$D10=$C$6),OR($C$7="(Todos)",Proyectos!$H10=$C$7)),BK10,"")</f>
        <v/>
      </c>
      <c r="BK10">
        <f>IF(AND(Proyectos!$A10&lt;&gt;"",OR($C$5="(Todos)",Proyectos!$C10=$C$5),OR($C$6="(Todas)",Proyectos!$D10=$C$6),OR($C$7="(Todos)",Proyectos!$H10=$C$7)),N(BK9)+1,N(BK9))</f>
        <v/>
      </c>
      <c r="BN10">
        <f>IF(AND(KPIs!$A10&lt;&gt;"",OR($C$5="(Todos)",KPIs!$L10=$C$5),OR($C$6="(Todas)",KPIs!$M10=$C$6)),BO10,"")</f>
        <v/>
      </c>
      <c r="BO10">
        <f>IF(AND(KPIs!$A10&lt;&gt;"",OR($C$5="(Todos)",KPIs!$L10=$C$5),OR($C$6="(Todas)",KPIs!$M10=$C$6)),N(BO9)+1,N(BO9))</f>
        <v/>
      </c>
      <c r="BR10">
        <f>IF(AND(Hitos!$A10&lt;&gt;"",OR($C$5="(Todos)",Hitos!$I10=$C$5),OR($C$6="(Todas)",Hitos!$J10=$C$6),OR(Hitos!$L10="Vencido",Hitos!$L10="Esta semana",Hitos!$L10="Próximos 30 días")),BS10,"")</f>
        <v/>
      </c>
      <c r="BS10">
        <f>IF(AND(Hitos!$A10&lt;&gt;"",OR($C$5="(Todos)",Hitos!$I10=$C$5),OR($C$6="(Todas)",Hitos!$J10=$C$6),OR(Hitos!$L10="Vencido",Hitos!$L10="Esta semana",Hitos!$L10="Próximos 30 días")),N(BS9)+1,N(BS9))</f>
        <v/>
      </c>
    </row>
    <row r="11">
      <c r="BJ11">
        <f>IF(AND(Proyectos!$A11&lt;&gt;"",OR($C$5="(Todos)",Proyectos!$C11=$C$5),OR($C$6="(Todas)",Proyectos!$D11=$C$6),OR($C$7="(Todos)",Proyectos!$H11=$C$7)),BK11,"")</f>
        <v/>
      </c>
      <c r="BK11">
        <f>IF(AND(Proyectos!$A11&lt;&gt;"",OR($C$5="(Todos)",Proyectos!$C11=$C$5),OR($C$6="(Todas)",Proyectos!$D11=$C$6),OR($C$7="(Todos)",Proyectos!$H11=$C$7)),N(BK10)+1,N(BK10))</f>
        <v/>
      </c>
      <c r="BN11">
        <f>IF(AND(KPIs!$A11&lt;&gt;"",OR($C$5="(Todos)",KPIs!$L11=$C$5),OR($C$6="(Todas)",KPIs!$M11=$C$6)),BO11,"")</f>
        <v/>
      </c>
      <c r="BO11">
        <f>IF(AND(KPIs!$A11&lt;&gt;"",OR($C$5="(Todos)",KPIs!$L11=$C$5),OR($C$6="(Todas)",KPIs!$M11=$C$6)),N(BO10)+1,N(BO10))</f>
        <v/>
      </c>
      <c r="BR11">
        <f>IF(AND(Hitos!$A11&lt;&gt;"",OR($C$5="(Todos)",Hitos!$I11=$C$5),OR($C$6="(Todas)",Hitos!$J11=$C$6),OR(Hitos!$L11="Vencido",Hitos!$L11="Esta semana",Hitos!$L11="Próximos 30 días")),BS11,"")</f>
        <v/>
      </c>
      <c r="BS11">
        <f>IF(AND(Hitos!$A11&lt;&gt;"",OR($C$5="(Todos)",Hitos!$I11=$C$5),OR($C$6="(Todas)",Hitos!$J11=$C$6),OR(Hitos!$L11="Vencido",Hitos!$L11="Esta semana",Hitos!$L11="Próximos 30 días")),N(BS10)+1,N(BS10))</f>
        <v/>
      </c>
    </row>
    <row r="12">
      <c r="B12" s="5" t="inlineStr">
        <is>
          <t>PROYECTOS DEL FILTRO</t>
        </is>
      </c>
      <c r="BJ12">
        <f>IF(AND(Proyectos!$A12&lt;&gt;"",OR($C$5="(Todos)",Proyectos!$C12=$C$5),OR($C$6="(Todas)",Proyectos!$D12=$C$6),OR($C$7="(Todos)",Proyectos!$H12=$C$7)),BK12,"")</f>
        <v/>
      </c>
      <c r="BK12">
        <f>IF(AND(Proyectos!$A12&lt;&gt;"",OR($C$5="(Todos)",Proyectos!$C12=$C$5),OR($C$6="(Todas)",Proyectos!$D12=$C$6),OR($C$7="(Todos)",Proyectos!$H12=$C$7)),N(BK11)+1,N(BK11))</f>
        <v/>
      </c>
      <c r="BN12">
        <f>IF(AND(KPIs!$A12&lt;&gt;"",OR($C$5="(Todos)",KPIs!$L12=$C$5),OR($C$6="(Todas)",KPIs!$M12=$C$6)),BO12,"")</f>
        <v/>
      </c>
      <c r="BO12">
        <f>IF(AND(KPIs!$A12&lt;&gt;"",OR($C$5="(Todos)",KPIs!$L12=$C$5),OR($C$6="(Todas)",KPIs!$M12=$C$6)),N(BO11)+1,N(BO11))</f>
        <v/>
      </c>
      <c r="BR12">
        <f>IF(AND(Hitos!$A12&lt;&gt;"",OR($C$5="(Todos)",Hitos!$I12=$C$5),OR($C$6="(Todas)",Hitos!$J12=$C$6),OR(Hitos!$L12="Vencido",Hitos!$L12="Esta semana",Hitos!$L12="Próximos 30 días")),BS12,"")</f>
        <v/>
      </c>
      <c r="BS12">
        <f>IF(AND(Hitos!$A12&lt;&gt;"",OR($C$5="(Todos)",Hitos!$I12=$C$5),OR($C$6="(Todas)",Hitos!$J12=$C$6),OR(Hitos!$L12="Vencido",Hitos!$L12="Esta semana",Hitos!$L12="Próximos 30 días")),N(BS11)+1,N(BS11))</f>
        <v/>
      </c>
    </row>
    <row r="13" ht="34" customHeight="1">
      <c r="B13" s="18" t="inlineStr">
        <is>
          <t>ID</t>
        </is>
      </c>
      <c r="C13" s="18" t="inlineStr">
        <is>
          <t>Proyecto</t>
        </is>
      </c>
      <c r="D13" s="18" t="inlineStr">
        <is>
          <t>Subárea</t>
        </is>
      </c>
      <c r="E13" s="18" t="inlineStr">
        <is>
          <t>Owner</t>
        </is>
      </c>
      <c r="F13" s="18" t="inlineStr">
        <is>
          <t>Prioridad</t>
        </is>
      </c>
      <c r="G13" s="18" t="inlineStr">
        <is>
          <t>Estado</t>
        </is>
      </c>
      <c r="H13" s="18" t="inlineStr">
        <is>
          <t>Fase</t>
        </is>
      </c>
      <c r="I13" s="18" t="inlineStr">
        <is>
          <t>Fin previsto</t>
        </is>
      </c>
      <c r="J13" s="18" t="inlineStr">
        <is>
          <t>Avance</t>
        </is>
      </c>
      <c r="K13" s="18" t="inlineStr">
        <is>
          <t>Esperado</t>
        </is>
      </c>
      <c r="L13" s="18" t="inlineStr">
        <is>
          <t>Desviación</t>
        </is>
      </c>
      <c r="M13" s="18" t="inlineStr">
        <is>
          <t>Semáforo</t>
        </is>
      </c>
      <c r="N13" s="18" t="inlineStr">
        <is>
          <t>Presupuesto €</t>
        </is>
      </c>
      <c r="O13" s="18" t="inlineStr">
        <is>
          <t>Gasto €</t>
        </is>
      </c>
      <c r="P13" s="18" t="inlineStr">
        <is>
          <t>% ppto</t>
        </is>
      </c>
      <c r="Q13" s="18" t="inlineStr">
        <is>
          <t>% KPIs</t>
        </is>
      </c>
      <c r="R13" s="18" t="inlineStr">
        <is>
          <t>Hitos vencidos</t>
        </is>
      </c>
      <c r="BJ13">
        <f>IF(AND(Proyectos!$A13&lt;&gt;"",OR($C$5="(Todos)",Proyectos!$C13=$C$5),OR($C$6="(Todas)",Proyectos!$D13=$C$6),OR($C$7="(Todos)",Proyectos!$H13=$C$7)),BK13,"")</f>
        <v/>
      </c>
      <c r="BK13">
        <f>IF(AND(Proyectos!$A13&lt;&gt;"",OR($C$5="(Todos)",Proyectos!$C13=$C$5),OR($C$6="(Todas)",Proyectos!$D13=$C$6),OR($C$7="(Todos)",Proyectos!$H13=$C$7)),N(BK12)+1,N(BK12))</f>
        <v/>
      </c>
      <c r="BN13">
        <f>IF(AND(KPIs!$A13&lt;&gt;"",OR($C$5="(Todos)",KPIs!$L13=$C$5),OR($C$6="(Todas)",KPIs!$M13=$C$6)),BO13,"")</f>
        <v/>
      </c>
      <c r="BO13">
        <f>IF(AND(KPIs!$A13&lt;&gt;"",OR($C$5="(Todos)",KPIs!$L13=$C$5),OR($C$6="(Todas)",KPIs!$M13=$C$6)),N(BO12)+1,N(BO12))</f>
        <v/>
      </c>
      <c r="BR13">
        <f>IF(AND(Hitos!$A13&lt;&gt;"",OR($C$5="(Todos)",Hitos!$I13=$C$5),OR($C$6="(Todas)",Hitos!$J13=$C$6),OR(Hitos!$L13="Vencido",Hitos!$L13="Esta semana",Hitos!$L13="Próximos 30 días")),BS13,"")</f>
        <v/>
      </c>
      <c r="BS13">
        <f>IF(AND(Hitos!$A13&lt;&gt;"",OR($C$5="(Todos)",Hitos!$I13=$C$5),OR($C$6="(Todas)",Hitos!$J13=$C$6),OR(Hitos!$L13="Vencido",Hitos!$L13="Esta semana",Hitos!$L13="Próximos 30 días")),N(BS12)+1,N(BS12))</f>
        <v/>
      </c>
    </row>
    <row r="14" ht="17" customHeight="1">
      <c r="B14" s="24">
        <f>IF($BH14="","",INDEX(Proyectos!$A$2:$A$41,$BH14))</f>
        <v/>
      </c>
      <c r="C14" s="19">
        <f>IF($BH14="","",INDEX(Proyectos!$B$2:$B$41,$BH14))</f>
        <v/>
      </c>
      <c r="D14" s="19">
        <f>IF($BH14="","",INDEX(Proyectos!$D$2:$D$41,$BH14))</f>
        <v/>
      </c>
      <c r="E14" s="19">
        <f>IF($BH14="","",INDEX(Proyectos!$E$2:$E$41,$BH14))</f>
        <v/>
      </c>
      <c r="F14" s="24">
        <f>IF($BH14="","",INDEX(Proyectos!$G$2:$G$41,$BH14))</f>
        <v/>
      </c>
      <c r="G14" s="24">
        <f>IF($BH14="","",INDEX(Proyectos!$H$2:$H$41,$BH14))</f>
        <v/>
      </c>
      <c r="H14" s="24">
        <f>IF($BH14="","",INDEX(Proyectos!$I$2:$I$41,$BH14))</f>
        <v/>
      </c>
      <c r="I14" s="25">
        <f>IF($BH14="","",INDEX(Proyectos!$K$2:$K$41,$BH14))</f>
        <v/>
      </c>
      <c r="J14" s="21">
        <f>IF($BH14="","",INDEX(Proyectos!$L$2:$L$41,$BH14))</f>
        <v/>
      </c>
      <c r="K14" s="21">
        <f>IF($BH14="","",INDEX(Proyectos!$U$2:$U$41,$BH14))</f>
        <v/>
      </c>
      <c r="L14" s="26">
        <f>IF($BH14="","",INDEX(Proyectos!$V$2:$V$41,$BH14))</f>
        <v/>
      </c>
      <c r="M14" s="24">
        <f>IF($BH14="","",INDEX(Proyectos!$W$2:$W$41,$BH14))</f>
        <v/>
      </c>
      <c r="N14" s="31">
        <f>IF($BH14="","",INDEX(Proyectos!$N$2:$N$41,$BH14))</f>
        <v/>
      </c>
      <c r="O14" s="31">
        <f>IF($BH14="","",INDEX(Proyectos!$O$2:$O$41,$BH14))</f>
        <v/>
      </c>
      <c r="P14" s="21">
        <f>IF($BH14="","",INDEX(Proyectos!$S$2:$S$41,$BH14))</f>
        <v/>
      </c>
      <c r="Q14" s="21">
        <f>IF($BH14="","",INDEX(Proyectos!$Y$2:$Y$41,$BH14))</f>
        <v/>
      </c>
      <c r="R14" s="20">
        <f>IF($BH14="","",INDEX(Proyectos!$AB$2:$AB$41,$BH14))</f>
        <v/>
      </c>
      <c r="BH14">
        <f>IFERROR(MATCH(1,$BJ$2:$BJ$41,0),"")</f>
        <v/>
      </c>
      <c r="BJ14">
        <f>IF(AND(Proyectos!$A14&lt;&gt;"",OR($C$5="(Todos)",Proyectos!$C14=$C$5),OR($C$6="(Todas)",Proyectos!$D14=$C$6),OR($C$7="(Todos)",Proyectos!$H14=$C$7)),BK14,"")</f>
        <v/>
      </c>
      <c r="BK14">
        <f>IF(AND(Proyectos!$A14&lt;&gt;"",OR($C$5="(Todos)",Proyectos!$C14=$C$5),OR($C$6="(Todas)",Proyectos!$D14=$C$6),OR($C$7="(Todos)",Proyectos!$H14=$C$7)),N(BK13)+1,N(BK13))</f>
        <v/>
      </c>
      <c r="BN14">
        <f>IF(AND(KPIs!$A14&lt;&gt;"",OR($C$5="(Todos)",KPIs!$L14=$C$5),OR($C$6="(Todas)",KPIs!$M14=$C$6)),BO14,"")</f>
        <v/>
      </c>
      <c r="BO14">
        <f>IF(AND(KPIs!$A14&lt;&gt;"",OR($C$5="(Todos)",KPIs!$L14=$C$5),OR($C$6="(Todas)",KPIs!$M14=$C$6)),N(BO13)+1,N(BO13))</f>
        <v/>
      </c>
      <c r="BR14">
        <f>IF(AND(Hitos!$A14&lt;&gt;"",OR($C$5="(Todos)",Hitos!$I14=$C$5),OR($C$6="(Todas)",Hitos!$J14=$C$6),OR(Hitos!$L14="Vencido",Hitos!$L14="Esta semana",Hitos!$L14="Próximos 30 días")),BS14,"")</f>
        <v/>
      </c>
      <c r="BS14">
        <f>IF(AND(Hitos!$A14&lt;&gt;"",OR($C$5="(Todos)",Hitos!$I14=$C$5),OR($C$6="(Todas)",Hitos!$J14=$C$6),OR(Hitos!$L14="Vencido",Hitos!$L14="Esta semana",Hitos!$L14="Próximos 30 días")),N(BS13)+1,N(BS13))</f>
        <v/>
      </c>
    </row>
    <row r="15" ht="17" customHeight="1">
      <c r="B15" s="24">
        <f>IF($BH15="","",INDEX(Proyectos!$A$2:$A$41,$BH15))</f>
        <v/>
      </c>
      <c r="C15" s="19">
        <f>IF($BH15="","",INDEX(Proyectos!$B$2:$B$41,$BH15))</f>
        <v/>
      </c>
      <c r="D15" s="19">
        <f>IF($BH15="","",INDEX(Proyectos!$D$2:$D$41,$BH15))</f>
        <v/>
      </c>
      <c r="E15" s="19">
        <f>IF($BH15="","",INDEX(Proyectos!$E$2:$E$41,$BH15))</f>
        <v/>
      </c>
      <c r="F15" s="24">
        <f>IF($BH15="","",INDEX(Proyectos!$G$2:$G$41,$BH15))</f>
        <v/>
      </c>
      <c r="G15" s="24">
        <f>IF($BH15="","",INDEX(Proyectos!$H$2:$H$41,$BH15))</f>
        <v/>
      </c>
      <c r="H15" s="24">
        <f>IF($BH15="","",INDEX(Proyectos!$I$2:$I$41,$BH15))</f>
        <v/>
      </c>
      <c r="I15" s="25">
        <f>IF($BH15="","",INDEX(Proyectos!$K$2:$K$41,$BH15))</f>
        <v/>
      </c>
      <c r="J15" s="21">
        <f>IF($BH15="","",INDEX(Proyectos!$L$2:$L$41,$BH15))</f>
        <v/>
      </c>
      <c r="K15" s="21">
        <f>IF($BH15="","",INDEX(Proyectos!$U$2:$U$41,$BH15))</f>
        <v/>
      </c>
      <c r="L15" s="26">
        <f>IF($BH15="","",INDEX(Proyectos!$V$2:$V$41,$BH15))</f>
        <v/>
      </c>
      <c r="M15" s="24">
        <f>IF($BH15="","",INDEX(Proyectos!$W$2:$W$41,$BH15))</f>
        <v/>
      </c>
      <c r="N15" s="31">
        <f>IF($BH15="","",INDEX(Proyectos!$N$2:$N$41,$BH15))</f>
        <v/>
      </c>
      <c r="O15" s="31">
        <f>IF($BH15="","",INDEX(Proyectos!$O$2:$O$41,$BH15))</f>
        <v/>
      </c>
      <c r="P15" s="21">
        <f>IF($BH15="","",INDEX(Proyectos!$S$2:$S$41,$BH15))</f>
        <v/>
      </c>
      <c r="Q15" s="21">
        <f>IF($BH15="","",INDEX(Proyectos!$Y$2:$Y$41,$BH15))</f>
        <v/>
      </c>
      <c r="R15" s="20">
        <f>IF($BH15="","",INDEX(Proyectos!$AB$2:$AB$41,$BH15))</f>
        <v/>
      </c>
      <c r="BH15">
        <f>IFERROR(MATCH(2,$BJ$2:$BJ$41,0),"")</f>
        <v/>
      </c>
      <c r="BJ15">
        <f>IF(AND(Proyectos!$A15&lt;&gt;"",OR($C$5="(Todos)",Proyectos!$C15=$C$5),OR($C$6="(Todas)",Proyectos!$D15=$C$6),OR($C$7="(Todos)",Proyectos!$H15=$C$7)),BK15,"")</f>
        <v/>
      </c>
      <c r="BK15">
        <f>IF(AND(Proyectos!$A15&lt;&gt;"",OR($C$5="(Todos)",Proyectos!$C15=$C$5),OR($C$6="(Todas)",Proyectos!$D15=$C$6),OR($C$7="(Todos)",Proyectos!$H15=$C$7)),N(BK14)+1,N(BK14))</f>
        <v/>
      </c>
      <c r="BN15">
        <f>IF(AND(KPIs!$A15&lt;&gt;"",OR($C$5="(Todos)",KPIs!$L15=$C$5),OR($C$6="(Todas)",KPIs!$M15=$C$6)),BO15,"")</f>
        <v/>
      </c>
      <c r="BO15">
        <f>IF(AND(KPIs!$A15&lt;&gt;"",OR($C$5="(Todos)",KPIs!$L15=$C$5),OR($C$6="(Todas)",KPIs!$M15=$C$6)),N(BO14)+1,N(BO14))</f>
        <v/>
      </c>
      <c r="BR15">
        <f>IF(AND(Hitos!$A15&lt;&gt;"",OR($C$5="(Todos)",Hitos!$I15=$C$5),OR($C$6="(Todas)",Hitos!$J15=$C$6),OR(Hitos!$L15="Vencido",Hitos!$L15="Esta semana",Hitos!$L15="Próximos 30 días")),BS15,"")</f>
        <v/>
      </c>
      <c r="BS15">
        <f>IF(AND(Hitos!$A15&lt;&gt;"",OR($C$5="(Todos)",Hitos!$I15=$C$5),OR($C$6="(Todas)",Hitos!$J15=$C$6),OR(Hitos!$L15="Vencido",Hitos!$L15="Esta semana",Hitos!$L15="Próximos 30 días")),N(BS14)+1,N(BS14))</f>
        <v/>
      </c>
    </row>
    <row r="16" ht="17" customHeight="1">
      <c r="B16" s="24">
        <f>IF($BH16="","",INDEX(Proyectos!$A$2:$A$41,$BH16))</f>
        <v/>
      </c>
      <c r="C16" s="19">
        <f>IF($BH16="","",INDEX(Proyectos!$B$2:$B$41,$BH16))</f>
        <v/>
      </c>
      <c r="D16" s="19">
        <f>IF($BH16="","",INDEX(Proyectos!$D$2:$D$41,$BH16))</f>
        <v/>
      </c>
      <c r="E16" s="19">
        <f>IF($BH16="","",INDEX(Proyectos!$E$2:$E$41,$BH16))</f>
        <v/>
      </c>
      <c r="F16" s="24">
        <f>IF($BH16="","",INDEX(Proyectos!$G$2:$G$41,$BH16))</f>
        <v/>
      </c>
      <c r="G16" s="24">
        <f>IF($BH16="","",INDEX(Proyectos!$H$2:$H$41,$BH16))</f>
        <v/>
      </c>
      <c r="H16" s="24">
        <f>IF($BH16="","",INDEX(Proyectos!$I$2:$I$41,$BH16))</f>
        <v/>
      </c>
      <c r="I16" s="25">
        <f>IF($BH16="","",INDEX(Proyectos!$K$2:$K$41,$BH16))</f>
        <v/>
      </c>
      <c r="J16" s="21">
        <f>IF($BH16="","",INDEX(Proyectos!$L$2:$L$41,$BH16))</f>
        <v/>
      </c>
      <c r="K16" s="21">
        <f>IF($BH16="","",INDEX(Proyectos!$U$2:$U$41,$BH16))</f>
        <v/>
      </c>
      <c r="L16" s="26">
        <f>IF($BH16="","",INDEX(Proyectos!$V$2:$V$41,$BH16))</f>
        <v/>
      </c>
      <c r="M16" s="24">
        <f>IF($BH16="","",INDEX(Proyectos!$W$2:$W$41,$BH16))</f>
        <v/>
      </c>
      <c r="N16" s="31">
        <f>IF($BH16="","",INDEX(Proyectos!$N$2:$N$41,$BH16))</f>
        <v/>
      </c>
      <c r="O16" s="31">
        <f>IF($BH16="","",INDEX(Proyectos!$O$2:$O$41,$BH16))</f>
        <v/>
      </c>
      <c r="P16" s="21">
        <f>IF($BH16="","",INDEX(Proyectos!$S$2:$S$41,$BH16))</f>
        <v/>
      </c>
      <c r="Q16" s="21">
        <f>IF($BH16="","",INDEX(Proyectos!$Y$2:$Y$41,$BH16))</f>
        <v/>
      </c>
      <c r="R16" s="20">
        <f>IF($BH16="","",INDEX(Proyectos!$AB$2:$AB$41,$BH16))</f>
        <v/>
      </c>
      <c r="BH16">
        <f>IFERROR(MATCH(3,$BJ$2:$BJ$41,0),"")</f>
        <v/>
      </c>
      <c r="BJ16">
        <f>IF(AND(Proyectos!$A16&lt;&gt;"",OR($C$5="(Todos)",Proyectos!$C16=$C$5),OR($C$6="(Todas)",Proyectos!$D16=$C$6),OR($C$7="(Todos)",Proyectos!$H16=$C$7)),BK16,"")</f>
        <v/>
      </c>
      <c r="BK16">
        <f>IF(AND(Proyectos!$A16&lt;&gt;"",OR($C$5="(Todos)",Proyectos!$C16=$C$5),OR($C$6="(Todas)",Proyectos!$D16=$C$6),OR($C$7="(Todos)",Proyectos!$H16=$C$7)),N(BK15)+1,N(BK15))</f>
        <v/>
      </c>
      <c r="BN16">
        <f>IF(AND(KPIs!$A16&lt;&gt;"",OR($C$5="(Todos)",KPIs!$L16=$C$5),OR($C$6="(Todas)",KPIs!$M16=$C$6)),BO16,"")</f>
        <v/>
      </c>
      <c r="BO16">
        <f>IF(AND(KPIs!$A16&lt;&gt;"",OR($C$5="(Todos)",KPIs!$L16=$C$5),OR($C$6="(Todas)",KPIs!$M16=$C$6)),N(BO15)+1,N(BO15))</f>
        <v/>
      </c>
      <c r="BR16">
        <f>IF(AND(Hitos!$A16&lt;&gt;"",OR($C$5="(Todos)",Hitos!$I16=$C$5),OR($C$6="(Todas)",Hitos!$J16=$C$6),OR(Hitos!$L16="Vencido",Hitos!$L16="Esta semana",Hitos!$L16="Próximos 30 días")),BS16,"")</f>
        <v/>
      </c>
      <c r="BS16">
        <f>IF(AND(Hitos!$A16&lt;&gt;"",OR($C$5="(Todos)",Hitos!$I16=$C$5),OR($C$6="(Todas)",Hitos!$J16=$C$6),OR(Hitos!$L16="Vencido",Hitos!$L16="Esta semana",Hitos!$L16="Próximos 30 días")),N(BS15)+1,N(BS15))</f>
        <v/>
      </c>
    </row>
    <row r="17" ht="17" customHeight="1">
      <c r="B17" s="24">
        <f>IF($BH17="","",INDEX(Proyectos!$A$2:$A$41,$BH17))</f>
        <v/>
      </c>
      <c r="C17" s="19">
        <f>IF($BH17="","",INDEX(Proyectos!$B$2:$B$41,$BH17))</f>
        <v/>
      </c>
      <c r="D17" s="19">
        <f>IF($BH17="","",INDEX(Proyectos!$D$2:$D$41,$BH17))</f>
        <v/>
      </c>
      <c r="E17" s="19">
        <f>IF($BH17="","",INDEX(Proyectos!$E$2:$E$41,$BH17))</f>
        <v/>
      </c>
      <c r="F17" s="24">
        <f>IF($BH17="","",INDEX(Proyectos!$G$2:$G$41,$BH17))</f>
        <v/>
      </c>
      <c r="G17" s="24">
        <f>IF($BH17="","",INDEX(Proyectos!$H$2:$H$41,$BH17))</f>
        <v/>
      </c>
      <c r="H17" s="24">
        <f>IF($BH17="","",INDEX(Proyectos!$I$2:$I$41,$BH17))</f>
        <v/>
      </c>
      <c r="I17" s="25">
        <f>IF($BH17="","",INDEX(Proyectos!$K$2:$K$41,$BH17))</f>
        <v/>
      </c>
      <c r="J17" s="21">
        <f>IF($BH17="","",INDEX(Proyectos!$L$2:$L$41,$BH17))</f>
        <v/>
      </c>
      <c r="K17" s="21">
        <f>IF($BH17="","",INDEX(Proyectos!$U$2:$U$41,$BH17))</f>
        <v/>
      </c>
      <c r="L17" s="26">
        <f>IF($BH17="","",INDEX(Proyectos!$V$2:$V$41,$BH17))</f>
        <v/>
      </c>
      <c r="M17" s="24">
        <f>IF($BH17="","",INDEX(Proyectos!$W$2:$W$41,$BH17))</f>
        <v/>
      </c>
      <c r="N17" s="31">
        <f>IF($BH17="","",INDEX(Proyectos!$N$2:$N$41,$BH17))</f>
        <v/>
      </c>
      <c r="O17" s="31">
        <f>IF($BH17="","",INDEX(Proyectos!$O$2:$O$41,$BH17))</f>
        <v/>
      </c>
      <c r="P17" s="21">
        <f>IF($BH17="","",INDEX(Proyectos!$S$2:$S$41,$BH17))</f>
        <v/>
      </c>
      <c r="Q17" s="21">
        <f>IF($BH17="","",INDEX(Proyectos!$Y$2:$Y$41,$BH17))</f>
        <v/>
      </c>
      <c r="R17" s="20">
        <f>IF($BH17="","",INDEX(Proyectos!$AB$2:$AB$41,$BH17))</f>
        <v/>
      </c>
      <c r="BH17">
        <f>IFERROR(MATCH(4,$BJ$2:$BJ$41,0),"")</f>
        <v/>
      </c>
      <c r="BJ17">
        <f>IF(AND(Proyectos!$A17&lt;&gt;"",OR($C$5="(Todos)",Proyectos!$C17=$C$5),OR($C$6="(Todas)",Proyectos!$D17=$C$6),OR($C$7="(Todos)",Proyectos!$H17=$C$7)),BK17,"")</f>
        <v/>
      </c>
      <c r="BK17">
        <f>IF(AND(Proyectos!$A17&lt;&gt;"",OR($C$5="(Todos)",Proyectos!$C17=$C$5),OR($C$6="(Todas)",Proyectos!$D17=$C$6),OR($C$7="(Todos)",Proyectos!$H17=$C$7)),N(BK16)+1,N(BK16))</f>
        <v/>
      </c>
      <c r="BN17">
        <f>IF(AND(KPIs!$A17&lt;&gt;"",OR($C$5="(Todos)",KPIs!$L17=$C$5),OR($C$6="(Todas)",KPIs!$M17=$C$6)),BO17,"")</f>
        <v/>
      </c>
      <c r="BO17">
        <f>IF(AND(KPIs!$A17&lt;&gt;"",OR($C$5="(Todos)",KPIs!$L17=$C$5),OR($C$6="(Todas)",KPIs!$M17=$C$6)),N(BO16)+1,N(BO16))</f>
        <v/>
      </c>
      <c r="BR17">
        <f>IF(AND(Hitos!$A17&lt;&gt;"",OR($C$5="(Todos)",Hitos!$I17=$C$5),OR($C$6="(Todas)",Hitos!$J17=$C$6),OR(Hitos!$L17="Vencido",Hitos!$L17="Esta semana",Hitos!$L17="Próximos 30 días")),BS17,"")</f>
        <v/>
      </c>
      <c r="BS17">
        <f>IF(AND(Hitos!$A17&lt;&gt;"",OR($C$5="(Todos)",Hitos!$I17=$C$5),OR($C$6="(Todas)",Hitos!$J17=$C$6),OR(Hitos!$L17="Vencido",Hitos!$L17="Esta semana",Hitos!$L17="Próximos 30 días")),N(BS16)+1,N(BS16))</f>
        <v/>
      </c>
    </row>
    <row r="18" ht="17" customHeight="1">
      <c r="B18" s="24">
        <f>IF($BH18="","",INDEX(Proyectos!$A$2:$A$41,$BH18))</f>
        <v/>
      </c>
      <c r="C18" s="19">
        <f>IF($BH18="","",INDEX(Proyectos!$B$2:$B$41,$BH18))</f>
        <v/>
      </c>
      <c r="D18" s="19">
        <f>IF($BH18="","",INDEX(Proyectos!$D$2:$D$41,$BH18))</f>
        <v/>
      </c>
      <c r="E18" s="19">
        <f>IF($BH18="","",INDEX(Proyectos!$E$2:$E$41,$BH18))</f>
        <v/>
      </c>
      <c r="F18" s="24">
        <f>IF($BH18="","",INDEX(Proyectos!$G$2:$G$41,$BH18))</f>
        <v/>
      </c>
      <c r="G18" s="24">
        <f>IF($BH18="","",INDEX(Proyectos!$H$2:$H$41,$BH18))</f>
        <v/>
      </c>
      <c r="H18" s="24">
        <f>IF($BH18="","",INDEX(Proyectos!$I$2:$I$41,$BH18))</f>
        <v/>
      </c>
      <c r="I18" s="25">
        <f>IF($BH18="","",INDEX(Proyectos!$K$2:$K$41,$BH18))</f>
        <v/>
      </c>
      <c r="J18" s="21">
        <f>IF($BH18="","",INDEX(Proyectos!$L$2:$L$41,$BH18))</f>
        <v/>
      </c>
      <c r="K18" s="21">
        <f>IF($BH18="","",INDEX(Proyectos!$U$2:$U$41,$BH18))</f>
        <v/>
      </c>
      <c r="L18" s="26">
        <f>IF($BH18="","",INDEX(Proyectos!$V$2:$V$41,$BH18))</f>
        <v/>
      </c>
      <c r="M18" s="24">
        <f>IF($BH18="","",INDEX(Proyectos!$W$2:$W$41,$BH18))</f>
        <v/>
      </c>
      <c r="N18" s="31">
        <f>IF($BH18="","",INDEX(Proyectos!$N$2:$N$41,$BH18))</f>
        <v/>
      </c>
      <c r="O18" s="31">
        <f>IF($BH18="","",INDEX(Proyectos!$O$2:$O$41,$BH18))</f>
        <v/>
      </c>
      <c r="P18" s="21">
        <f>IF($BH18="","",INDEX(Proyectos!$S$2:$S$41,$BH18))</f>
        <v/>
      </c>
      <c r="Q18" s="21">
        <f>IF($BH18="","",INDEX(Proyectos!$Y$2:$Y$41,$BH18))</f>
        <v/>
      </c>
      <c r="R18" s="20">
        <f>IF($BH18="","",INDEX(Proyectos!$AB$2:$AB$41,$BH18))</f>
        <v/>
      </c>
      <c r="BH18">
        <f>IFERROR(MATCH(5,$BJ$2:$BJ$41,0),"")</f>
        <v/>
      </c>
      <c r="BJ18">
        <f>IF(AND(Proyectos!$A18&lt;&gt;"",OR($C$5="(Todos)",Proyectos!$C18=$C$5),OR($C$6="(Todas)",Proyectos!$D18=$C$6),OR($C$7="(Todos)",Proyectos!$H18=$C$7)),BK18,"")</f>
        <v/>
      </c>
      <c r="BK18">
        <f>IF(AND(Proyectos!$A18&lt;&gt;"",OR($C$5="(Todos)",Proyectos!$C18=$C$5),OR($C$6="(Todas)",Proyectos!$D18=$C$6),OR($C$7="(Todos)",Proyectos!$H18=$C$7)),N(BK17)+1,N(BK17))</f>
        <v/>
      </c>
      <c r="BN18">
        <f>IF(AND(KPIs!$A18&lt;&gt;"",OR($C$5="(Todos)",KPIs!$L18=$C$5),OR($C$6="(Todas)",KPIs!$M18=$C$6)),BO18,"")</f>
        <v/>
      </c>
      <c r="BO18">
        <f>IF(AND(KPIs!$A18&lt;&gt;"",OR($C$5="(Todos)",KPIs!$L18=$C$5),OR($C$6="(Todas)",KPIs!$M18=$C$6)),N(BO17)+1,N(BO17))</f>
        <v/>
      </c>
      <c r="BR18">
        <f>IF(AND(Hitos!$A18&lt;&gt;"",OR($C$5="(Todos)",Hitos!$I18=$C$5),OR($C$6="(Todas)",Hitos!$J18=$C$6),OR(Hitos!$L18="Vencido",Hitos!$L18="Esta semana",Hitos!$L18="Próximos 30 días")),BS18,"")</f>
        <v/>
      </c>
      <c r="BS18">
        <f>IF(AND(Hitos!$A18&lt;&gt;"",OR($C$5="(Todos)",Hitos!$I18=$C$5),OR($C$6="(Todas)",Hitos!$J18=$C$6),OR(Hitos!$L18="Vencido",Hitos!$L18="Esta semana",Hitos!$L18="Próximos 30 días")),N(BS17)+1,N(BS17))</f>
        <v/>
      </c>
    </row>
    <row r="19" ht="17" customHeight="1">
      <c r="B19" s="24">
        <f>IF($BH19="","",INDEX(Proyectos!$A$2:$A$41,$BH19))</f>
        <v/>
      </c>
      <c r="C19" s="19">
        <f>IF($BH19="","",INDEX(Proyectos!$B$2:$B$41,$BH19))</f>
        <v/>
      </c>
      <c r="D19" s="19">
        <f>IF($BH19="","",INDEX(Proyectos!$D$2:$D$41,$BH19))</f>
        <v/>
      </c>
      <c r="E19" s="19">
        <f>IF($BH19="","",INDEX(Proyectos!$E$2:$E$41,$BH19))</f>
        <v/>
      </c>
      <c r="F19" s="24">
        <f>IF($BH19="","",INDEX(Proyectos!$G$2:$G$41,$BH19))</f>
        <v/>
      </c>
      <c r="G19" s="24">
        <f>IF($BH19="","",INDEX(Proyectos!$H$2:$H$41,$BH19))</f>
        <v/>
      </c>
      <c r="H19" s="24">
        <f>IF($BH19="","",INDEX(Proyectos!$I$2:$I$41,$BH19))</f>
        <v/>
      </c>
      <c r="I19" s="25">
        <f>IF($BH19="","",INDEX(Proyectos!$K$2:$K$41,$BH19))</f>
        <v/>
      </c>
      <c r="J19" s="21">
        <f>IF($BH19="","",INDEX(Proyectos!$L$2:$L$41,$BH19))</f>
        <v/>
      </c>
      <c r="K19" s="21">
        <f>IF($BH19="","",INDEX(Proyectos!$U$2:$U$41,$BH19))</f>
        <v/>
      </c>
      <c r="L19" s="26">
        <f>IF($BH19="","",INDEX(Proyectos!$V$2:$V$41,$BH19))</f>
        <v/>
      </c>
      <c r="M19" s="24">
        <f>IF($BH19="","",INDEX(Proyectos!$W$2:$W$41,$BH19))</f>
        <v/>
      </c>
      <c r="N19" s="31">
        <f>IF($BH19="","",INDEX(Proyectos!$N$2:$N$41,$BH19))</f>
        <v/>
      </c>
      <c r="O19" s="31">
        <f>IF($BH19="","",INDEX(Proyectos!$O$2:$O$41,$BH19))</f>
        <v/>
      </c>
      <c r="P19" s="21">
        <f>IF($BH19="","",INDEX(Proyectos!$S$2:$S$41,$BH19))</f>
        <v/>
      </c>
      <c r="Q19" s="21">
        <f>IF($BH19="","",INDEX(Proyectos!$Y$2:$Y$41,$BH19))</f>
        <v/>
      </c>
      <c r="R19" s="20">
        <f>IF($BH19="","",INDEX(Proyectos!$AB$2:$AB$41,$BH19))</f>
        <v/>
      </c>
      <c r="BH19">
        <f>IFERROR(MATCH(6,$BJ$2:$BJ$41,0),"")</f>
        <v/>
      </c>
      <c r="BJ19">
        <f>IF(AND(Proyectos!$A19&lt;&gt;"",OR($C$5="(Todos)",Proyectos!$C19=$C$5),OR($C$6="(Todas)",Proyectos!$D19=$C$6),OR($C$7="(Todos)",Proyectos!$H19=$C$7)),BK19,"")</f>
        <v/>
      </c>
      <c r="BK19">
        <f>IF(AND(Proyectos!$A19&lt;&gt;"",OR($C$5="(Todos)",Proyectos!$C19=$C$5),OR($C$6="(Todas)",Proyectos!$D19=$C$6),OR($C$7="(Todos)",Proyectos!$H19=$C$7)),N(BK18)+1,N(BK18))</f>
        <v/>
      </c>
      <c r="BN19">
        <f>IF(AND(KPIs!$A19&lt;&gt;"",OR($C$5="(Todos)",KPIs!$L19=$C$5),OR($C$6="(Todas)",KPIs!$M19=$C$6)),BO19,"")</f>
        <v/>
      </c>
      <c r="BO19">
        <f>IF(AND(KPIs!$A19&lt;&gt;"",OR($C$5="(Todos)",KPIs!$L19=$C$5),OR($C$6="(Todas)",KPIs!$M19=$C$6)),N(BO18)+1,N(BO18))</f>
        <v/>
      </c>
      <c r="BR19">
        <f>IF(AND(Hitos!$A19&lt;&gt;"",OR($C$5="(Todos)",Hitos!$I19=$C$5),OR($C$6="(Todas)",Hitos!$J19=$C$6),OR(Hitos!$L19="Vencido",Hitos!$L19="Esta semana",Hitos!$L19="Próximos 30 días")),BS19,"")</f>
        <v/>
      </c>
      <c r="BS19">
        <f>IF(AND(Hitos!$A19&lt;&gt;"",OR($C$5="(Todos)",Hitos!$I19=$C$5),OR($C$6="(Todas)",Hitos!$J19=$C$6),OR(Hitos!$L19="Vencido",Hitos!$L19="Esta semana",Hitos!$L19="Próximos 30 días")),N(BS18)+1,N(BS18))</f>
        <v/>
      </c>
    </row>
    <row r="20" ht="17" customHeight="1">
      <c r="B20" s="24">
        <f>IF($BH20="","",INDEX(Proyectos!$A$2:$A$41,$BH20))</f>
        <v/>
      </c>
      <c r="C20" s="19">
        <f>IF($BH20="","",INDEX(Proyectos!$B$2:$B$41,$BH20))</f>
        <v/>
      </c>
      <c r="D20" s="19">
        <f>IF($BH20="","",INDEX(Proyectos!$D$2:$D$41,$BH20))</f>
        <v/>
      </c>
      <c r="E20" s="19">
        <f>IF($BH20="","",INDEX(Proyectos!$E$2:$E$41,$BH20))</f>
        <v/>
      </c>
      <c r="F20" s="24">
        <f>IF($BH20="","",INDEX(Proyectos!$G$2:$G$41,$BH20))</f>
        <v/>
      </c>
      <c r="G20" s="24">
        <f>IF($BH20="","",INDEX(Proyectos!$H$2:$H$41,$BH20))</f>
        <v/>
      </c>
      <c r="H20" s="24">
        <f>IF($BH20="","",INDEX(Proyectos!$I$2:$I$41,$BH20))</f>
        <v/>
      </c>
      <c r="I20" s="25">
        <f>IF($BH20="","",INDEX(Proyectos!$K$2:$K$41,$BH20))</f>
        <v/>
      </c>
      <c r="J20" s="21">
        <f>IF($BH20="","",INDEX(Proyectos!$L$2:$L$41,$BH20))</f>
        <v/>
      </c>
      <c r="K20" s="21">
        <f>IF($BH20="","",INDEX(Proyectos!$U$2:$U$41,$BH20))</f>
        <v/>
      </c>
      <c r="L20" s="26">
        <f>IF($BH20="","",INDEX(Proyectos!$V$2:$V$41,$BH20))</f>
        <v/>
      </c>
      <c r="M20" s="24">
        <f>IF($BH20="","",INDEX(Proyectos!$W$2:$W$41,$BH20))</f>
        <v/>
      </c>
      <c r="N20" s="31">
        <f>IF($BH20="","",INDEX(Proyectos!$N$2:$N$41,$BH20))</f>
        <v/>
      </c>
      <c r="O20" s="31">
        <f>IF($BH20="","",INDEX(Proyectos!$O$2:$O$41,$BH20))</f>
        <v/>
      </c>
      <c r="P20" s="21">
        <f>IF($BH20="","",INDEX(Proyectos!$S$2:$S$41,$BH20))</f>
        <v/>
      </c>
      <c r="Q20" s="21">
        <f>IF($BH20="","",INDEX(Proyectos!$Y$2:$Y$41,$BH20))</f>
        <v/>
      </c>
      <c r="R20" s="20">
        <f>IF($BH20="","",INDEX(Proyectos!$AB$2:$AB$41,$BH20))</f>
        <v/>
      </c>
      <c r="BH20">
        <f>IFERROR(MATCH(7,$BJ$2:$BJ$41,0),"")</f>
        <v/>
      </c>
      <c r="BJ20">
        <f>IF(AND(Proyectos!$A20&lt;&gt;"",OR($C$5="(Todos)",Proyectos!$C20=$C$5),OR($C$6="(Todas)",Proyectos!$D20=$C$6),OR($C$7="(Todos)",Proyectos!$H20=$C$7)),BK20,"")</f>
        <v/>
      </c>
      <c r="BK20">
        <f>IF(AND(Proyectos!$A20&lt;&gt;"",OR($C$5="(Todos)",Proyectos!$C20=$C$5),OR($C$6="(Todas)",Proyectos!$D20=$C$6),OR($C$7="(Todos)",Proyectos!$H20=$C$7)),N(BK19)+1,N(BK19))</f>
        <v/>
      </c>
      <c r="BN20">
        <f>IF(AND(KPIs!$A20&lt;&gt;"",OR($C$5="(Todos)",KPIs!$L20=$C$5),OR($C$6="(Todas)",KPIs!$M20=$C$6)),BO20,"")</f>
        <v/>
      </c>
      <c r="BO20">
        <f>IF(AND(KPIs!$A20&lt;&gt;"",OR($C$5="(Todos)",KPIs!$L20=$C$5),OR($C$6="(Todas)",KPIs!$M20=$C$6)),N(BO19)+1,N(BO19))</f>
        <v/>
      </c>
      <c r="BR20">
        <f>IF(AND(Hitos!$A20&lt;&gt;"",OR($C$5="(Todos)",Hitos!$I20=$C$5),OR($C$6="(Todas)",Hitos!$J20=$C$6),OR(Hitos!$L20="Vencido",Hitos!$L20="Esta semana",Hitos!$L20="Próximos 30 días")),BS20,"")</f>
        <v/>
      </c>
      <c r="BS20">
        <f>IF(AND(Hitos!$A20&lt;&gt;"",OR($C$5="(Todos)",Hitos!$I20=$C$5),OR($C$6="(Todas)",Hitos!$J20=$C$6),OR(Hitos!$L20="Vencido",Hitos!$L20="Esta semana",Hitos!$L20="Próximos 30 días")),N(BS19)+1,N(BS19))</f>
        <v/>
      </c>
    </row>
    <row r="21" ht="17" customHeight="1">
      <c r="B21" s="24">
        <f>IF($BH21="","",INDEX(Proyectos!$A$2:$A$41,$BH21))</f>
        <v/>
      </c>
      <c r="C21" s="19">
        <f>IF($BH21="","",INDEX(Proyectos!$B$2:$B$41,$BH21))</f>
        <v/>
      </c>
      <c r="D21" s="19">
        <f>IF($BH21="","",INDEX(Proyectos!$D$2:$D$41,$BH21))</f>
        <v/>
      </c>
      <c r="E21" s="19">
        <f>IF($BH21="","",INDEX(Proyectos!$E$2:$E$41,$BH21))</f>
        <v/>
      </c>
      <c r="F21" s="24">
        <f>IF($BH21="","",INDEX(Proyectos!$G$2:$G$41,$BH21))</f>
        <v/>
      </c>
      <c r="G21" s="24">
        <f>IF($BH21="","",INDEX(Proyectos!$H$2:$H$41,$BH21))</f>
        <v/>
      </c>
      <c r="H21" s="24">
        <f>IF($BH21="","",INDEX(Proyectos!$I$2:$I$41,$BH21))</f>
        <v/>
      </c>
      <c r="I21" s="25">
        <f>IF($BH21="","",INDEX(Proyectos!$K$2:$K$41,$BH21))</f>
        <v/>
      </c>
      <c r="J21" s="21">
        <f>IF($BH21="","",INDEX(Proyectos!$L$2:$L$41,$BH21))</f>
        <v/>
      </c>
      <c r="K21" s="21">
        <f>IF($BH21="","",INDEX(Proyectos!$U$2:$U$41,$BH21))</f>
        <v/>
      </c>
      <c r="L21" s="26">
        <f>IF($BH21="","",INDEX(Proyectos!$V$2:$V$41,$BH21))</f>
        <v/>
      </c>
      <c r="M21" s="24">
        <f>IF($BH21="","",INDEX(Proyectos!$W$2:$W$41,$BH21))</f>
        <v/>
      </c>
      <c r="N21" s="31">
        <f>IF($BH21="","",INDEX(Proyectos!$N$2:$N$41,$BH21))</f>
        <v/>
      </c>
      <c r="O21" s="31">
        <f>IF($BH21="","",INDEX(Proyectos!$O$2:$O$41,$BH21))</f>
        <v/>
      </c>
      <c r="P21" s="21">
        <f>IF($BH21="","",INDEX(Proyectos!$S$2:$S$41,$BH21))</f>
        <v/>
      </c>
      <c r="Q21" s="21">
        <f>IF($BH21="","",INDEX(Proyectos!$Y$2:$Y$41,$BH21))</f>
        <v/>
      </c>
      <c r="R21" s="20">
        <f>IF($BH21="","",INDEX(Proyectos!$AB$2:$AB$41,$BH21))</f>
        <v/>
      </c>
      <c r="BH21">
        <f>IFERROR(MATCH(8,$BJ$2:$BJ$41,0),"")</f>
        <v/>
      </c>
      <c r="BJ21">
        <f>IF(AND(Proyectos!$A21&lt;&gt;"",OR($C$5="(Todos)",Proyectos!$C21=$C$5),OR($C$6="(Todas)",Proyectos!$D21=$C$6),OR($C$7="(Todos)",Proyectos!$H21=$C$7)),BK21,"")</f>
        <v/>
      </c>
      <c r="BK21">
        <f>IF(AND(Proyectos!$A21&lt;&gt;"",OR($C$5="(Todos)",Proyectos!$C21=$C$5),OR($C$6="(Todas)",Proyectos!$D21=$C$6),OR($C$7="(Todos)",Proyectos!$H21=$C$7)),N(BK20)+1,N(BK20))</f>
        <v/>
      </c>
      <c r="BN21">
        <f>IF(AND(KPIs!$A21&lt;&gt;"",OR($C$5="(Todos)",KPIs!$L21=$C$5),OR($C$6="(Todas)",KPIs!$M21=$C$6)),BO21,"")</f>
        <v/>
      </c>
      <c r="BO21">
        <f>IF(AND(KPIs!$A21&lt;&gt;"",OR($C$5="(Todos)",KPIs!$L21=$C$5),OR($C$6="(Todas)",KPIs!$M21=$C$6)),N(BO20)+1,N(BO20))</f>
        <v/>
      </c>
      <c r="BR21">
        <f>IF(AND(Hitos!$A21&lt;&gt;"",OR($C$5="(Todos)",Hitos!$I21=$C$5),OR($C$6="(Todas)",Hitos!$J21=$C$6),OR(Hitos!$L21="Vencido",Hitos!$L21="Esta semana",Hitos!$L21="Próximos 30 días")),BS21,"")</f>
        <v/>
      </c>
      <c r="BS21">
        <f>IF(AND(Hitos!$A21&lt;&gt;"",OR($C$5="(Todos)",Hitos!$I21=$C$5),OR($C$6="(Todas)",Hitos!$J21=$C$6),OR(Hitos!$L21="Vencido",Hitos!$L21="Esta semana",Hitos!$L21="Próximos 30 días")),N(BS20)+1,N(BS20))</f>
        <v/>
      </c>
    </row>
    <row r="22" ht="17" customHeight="1">
      <c r="B22" s="24">
        <f>IF($BH22="","",INDEX(Proyectos!$A$2:$A$41,$BH22))</f>
        <v/>
      </c>
      <c r="C22" s="19">
        <f>IF($BH22="","",INDEX(Proyectos!$B$2:$B$41,$BH22))</f>
        <v/>
      </c>
      <c r="D22" s="19">
        <f>IF($BH22="","",INDEX(Proyectos!$D$2:$D$41,$BH22))</f>
        <v/>
      </c>
      <c r="E22" s="19">
        <f>IF($BH22="","",INDEX(Proyectos!$E$2:$E$41,$BH22))</f>
        <v/>
      </c>
      <c r="F22" s="24">
        <f>IF($BH22="","",INDEX(Proyectos!$G$2:$G$41,$BH22))</f>
        <v/>
      </c>
      <c r="G22" s="24">
        <f>IF($BH22="","",INDEX(Proyectos!$H$2:$H$41,$BH22))</f>
        <v/>
      </c>
      <c r="H22" s="24">
        <f>IF($BH22="","",INDEX(Proyectos!$I$2:$I$41,$BH22))</f>
        <v/>
      </c>
      <c r="I22" s="25">
        <f>IF($BH22="","",INDEX(Proyectos!$K$2:$K$41,$BH22))</f>
        <v/>
      </c>
      <c r="J22" s="21">
        <f>IF($BH22="","",INDEX(Proyectos!$L$2:$L$41,$BH22))</f>
        <v/>
      </c>
      <c r="K22" s="21">
        <f>IF($BH22="","",INDEX(Proyectos!$U$2:$U$41,$BH22))</f>
        <v/>
      </c>
      <c r="L22" s="26">
        <f>IF($BH22="","",INDEX(Proyectos!$V$2:$V$41,$BH22))</f>
        <v/>
      </c>
      <c r="M22" s="24">
        <f>IF($BH22="","",INDEX(Proyectos!$W$2:$W$41,$BH22))</f>
        <v/>
      </c>
      <c r="N22" s="31">
        <f>IF($BH22="","",INDEX(Proyectos!$N$2:$N$41,$BH22))</f>
        <v/>
      </c>
      <c r="O22" s="31">
        <f>IF($BH22="","",INDEX(Proyectos!$O$2:$O$41,$BH22))</f>
        <v/>
      </c>
      <c r="P22" s="21">
        <f>IF($BH22="","",INDEX(Proyectos!$S$2:$S$41,$BH22))</f>
        <v/>
      </c>
      <c r="Q22" s="21">
        <f>IF($BH22="","",INDEX(Proyectos!$Y$2:$Y$41,$BH22))</f>
        <v/>
      </c>
      <c r="R22" s="20">
        <f>IF($BH22="","",INDEX(Proyectos!$AB$2:$AB$41,$BH22))</f>
        <v/>
      </c>
      <c r="BH22">
        <f>IFERROR(MATCH(9,$BJ$2:$BJ$41,0),"")</f>
        <v/>
      </c>
      <c r="BJ22">
        <f>IF(AND(Proyectos!$A22&lt;&gt;"",OR($C$5="(Todos)",Proyectos!$C22=$C$5),OR($C$6="(Todas)",Proyectos!$D22=$C$6),OR($C$7="(Todos)",Proyectos!$H22=$C$7)),BK22,"")</f>
        <v/>
      </c>
      <c r="BK22">
        <f>IF(AND(Proyectos!$A22&lt;&gt;"",OR($C$5="(Todos)",Proyectos!$C22=$C$5),OR($C$6="(Todas)",Proyectos!$D22=$C$6),OR($C$7="(Todos)",Proyectos!$H22=$C$7)),N(BK21)+1,N(BK21))</f>
        <v/>
      </c>
      <c r="BN22">
        <f>IF(AND(KPIs!$A22&lt;&gt;"",OR($C$5="(Todos)",KPIs!$L22=$C$5),OR($C$6="(Todas)",KPIs!$M22=$C$6)),BO22,"")</f>
        <v/>
      </c>
      <c r="BO22">
        <f>IF(AND(KPIs!$A22&lt;&gt;"",OR($C$5="(Todos)",KPIs!$L22=$C$5),OR($C$6="(Todas)",KPIs!$M22=$C$6)),N(BO21)+1,N(BO21))</f>
        <v/>
      </c>
      <c r="BR22">
        <f>IF(AND(Hitos!$A22&lt;&gt;"",OR($C$5="(Todos)",Hitos!$I22=$C$5),OR($C$6="(Todas)",Hitos!$J22=$C$6),OR(Hitos!$L22="Vencido",Hitos!$L22="Esta semana",Hitos!$L22="Próximos 30 días")),BS22,"")</f>
        <v/>
      </c>
      <c r="BS22">
        <f>IF(AND(Hitos!$A22&lt;&gt;"",OR($C$5="(Todos)",Hitos!$I22=$C$5),OR($C$6="(Todas)",Hitos!$J22=$C$6),OR(Hitos!$L22="Vencido",Hitos!$L22="Esta semana",Hitos!$L22="Próximos 30 días")),N(BS21)+1,N(BS21))</f>
        <v/>
      </c>
    </row>
    <row r="23" ht="17" customHeight="1">
      <c r="B23" s="24">
        <f>IF($BH23="","",INDEX(Proyectos!$A$2:$A$41,$BH23))</f>
        <v/>
      </c>
      <c r="C23" s="19">
        <f>IF($BH23="","",INDEX(Proyectos!$B$2:$B$41,$BH23))</f>
        <v/>
      </c>
      <c r="D23" s="19">
        <f>IF($BH23="","",INDEX(Proyectos!$D$2:$D$41,$BH23))</f>
        <v/>
      </c>
      <c r="E23" s="19">
        <f>IF($BH23="","",INDEX(Proyectos!$E$2:$E$41,$BH23))</f>
        <v/>
      </c>
      <c r="F23" s="24">
        <f>IF($BH23="","",INDEX(Proyectos!$G$2:$G$41,$BH23))</f>
        <v/>
      </c>
      <c r="G23" s="24">
        <f>IF($BH23="","",INDEX(Proyectos!$H$2:$H$41,$BH23))</f>
        <v/>
      </c>
      <c r="H23" s="24">
        <f>IF($BH23="","",INDEX(Proyectos!$I$2:$I$41,$BH23))</f>
        <v/>
      </c>
      <c r="I23" s="25">
        <f>IF($BH23="","",INDEX(Proyectos!$K$2:$K$41,$BH23))</f>
        <v/>
      </c>
      <c r="J23" s="21">
        <f>IF($BH23="","",INDEX(Proyectos!$L$2:$L$41,$BH23))</f>
        <v/>
      </c>
      <c r="K23" s="21">
        <f>IF($BH23="","",INDEX(Proyectos!$U$2:$U$41,$BH23))</f>
        <v/>
      </c>
      <c r="L23" s="26">
        <f>IF($BH23="","",INDEX(Proyectos!$V$2:$V$41,$BH23))</f>
        <v/>
      </c>
      <c r="M23" s="24">
        <f>IF($BH23="","",INDEX(Proyectos!$W$2:$W$41,$BH23))</f>
        <v/>
      </c>
      <c r="N23" s="31">
        <f>IF($BH23="","",INDEX(Proyectos!$N$2:$N$41,$BH23))</f>
        <v/>
      </c>
      <c r="O23" s="31">
        <f>IF($BH23="","",INDEX(Proyectos!$O$2:$O$41,$BH23))</f>
        <v/>
      </c>
      <c r="P23" s="21">
        <f>IF($BH23="","",INDEX(Proyectos!$S$2:$S$41,$BH23))</f>
        <v/>
      </c>
      <c r="Q23" s="21">
        <f>IF($BH23="","",INDEX(Proyectos!$Y$2:$Y$41,$BH23))</f>
        <v/>
      </c>
      <c r="R23" s="20">
        <f>IF($BH23="","",INDEX(Proyectos!$AB$2:$AB$41,$BH23))</f>
        <v/>
      </c>
      <c r="BH23">
        <f>IFERROR(MATCH(10,$BJ$2:$BJ$41,0),"")</f>
        <v/>
      </c>
      <c r="BJ23">
        <f>IF(AND(Proyectos!$A23&lt;&gt;"",OR($C$5="(Todos)",Proyectos!$C23=$C$5),OR($C$6="(Todas)",Proyectos!$D23=$C$6),OR($C$7="(Todos)",Proyectos!$H23=$C$7)),BK23,"")</f>
        <v/>
      </c>
      <c r="BK23">
        <f>IF(AND(Proyectos!$A23&lt;&gt;"",OR($C$5="(Todos)",Proyectos!$C23=$C$5),OR($C$6="(Todas)",Proyectos!$D23=$C$6),OR($C$7="(Todos)",Proyectos!$H23=$C$7)),N(BK22)+1,N(BK22))</f>
        <v/>
      </c>
      <c r="BN23">
        <f>IF(AND(KPIs!$A23&lt;&gt;"",OR($C$5="(Todos)",KPIs!$L23=$C$5),OR($C$6="(Todas)",KPIs!$M23=$C$6)),BO23,"")</f>
        <v/>
      </c>
      <c r="BO23">
        <f>IF(AND(KPIs!$A23&lt;&gt;"",OR($C$5="(Todos)",KPIs!$L23=$C$5),OR($C$6="(Todas)",KPIs!$M23=$C$6)),N(BO22)+1,N(BO22))</f>
        <v/>
      </c>
      <c r="BR23">
        <f>IF(AND(Hitos!$A23&lt;&gt;"",OR($C$5="(Todos)",Hitos!$I23=$C$5),OR($C$6="(Todas)",Hitos!$J23=$C$6),OR(Hitos!$L23="Vencido",Hitos!$L23="Esta semana",Hitos!$L23="Próximos 30 días")),BS23,"")</f>
        <v/>
      </c>
      <c r="BS23">
        <f>IF(AND(Hitos!$A23&lt;&gt;"",OR($C$5="(Todos)",Hitos!$I23=$C$5),OR($C$6="(Todas)",Hitos!$J23=$C$6),OR(Hitos!$L23="Vencido",Hitos!$L23="Esta semana",Hitos!$L23="Próximos 30 días")),N(BS22)+1,N(BS22))</f>
        <v/>
      </c>
    </row>
    <row r="24" ht="17" customHeight="1">
      <c r="B24" s="24">
        <f>IF($BH24="","",INDEX(Proyectos!$A$2:$A$41,$BH24))</f>
        <v/>
      </c>
      <c r="C24" s="19">
        <f>IF($BH24="","",INDEX(Proyectos!$B$2:$B$41,$BH24))</f>
        <v/>
      </c>
      <c r="D24" s="19">
        <f>IF($BH24="","",INDEX(Proyectos!$D$2:$D$41,$BH24))</f>
        <v/>
      </c>
      <c r="E24" s="19">
        <f>IF($BH24="","",INDEX(Proyectos!$E$2:$E$41,$BH24))</f>
        <v/>
      </c>
      <c r="F24" s="24">
        <f>IF($BH24="","",INDEX(Proyectos!$G$2:$G$41,$BH24))</f>
        <v/>
      </c>
      <c r="G24" s="24">
        <f>IF($BH24="","",INDEX(Proyectos!$H$2:$H$41,$BH24))</f>
        <v/>
      </c>
      <c r="H24" s="24">
        <f>IF($BH24="","",INDEX(Proyectos!$I$2:$I$41,$BH24))</f>
        <v/>
      </c>
      <c r="I24" s="25">
        <f>IF($BH24="","",INDEX(Proyectos!$K$2:$K$41,$BH24))</f>
        <v/>
      </c>
      <c r="J24" s="21">
        <f>IF($BH24="","",INDEX(Proyectos!$L$2:$L$41,$BH24))</f>
        <v/>
      </c>
      <c r="K24" s="21">
        <f>IF($BH24="","",INDEX(Proyectos!$U$2:$U$41,$BH24))</f>
        <v/>
      </c>
      <c r="L24" s="26">
        <f>IF($BH24="","",INDEX(Proyectos!$V$2:$V$41,$BH24))</f>
        <v/>
      </c>
      <c r="M24" s="24">
        <f>IF($BH24="","",INDEX(Proyectos!$W$2:$W$41,$BH24))</f>
        <v/>
      </c>
      <c r="N24" s="31">
        <f>IF($BH24="","",INDEX(Proyectos!$N$2:$N$41,$BH24))</f>
        <v/>
      </c>
      <c r="O24" s="31">
        <f>IF($BH24="","",INDEX(Proyectos!$O$2:$O$41,$BH24))</f>
        <v/>
      </c>
      <c r="P24" s="21">
        <f>IF($BH24="","",INDEX(Proyectos!$S$2:$S$41,$BH24))</f>
        <v/>
      </c>
      <c r="Q24" s="21">
        <f>IF($BH24="","",INDEX(Proyectos!$Y$2:$Y$41,$BH24))</f>
        <v/>
      </c>
      <c r="R24" s="20">
        <f>IF($BH24="","",INDEX(Proyectos!$AB$2:$AB$41,$BH24))</f>
        <v/>
      </c>
      <c r="BH24">
        <f>IFERROR(MATCH(11,$BJ$2:$BJ$41,0),"")</f>
        <v/>
      </c>
      <c r="BJ24">
        <f>IF(AND(Proyectos!$A24&lt;&gt;"",OR($C$5="(Todos)",Proyectos!$C24=$C$5),OR($C$6="(Todas)",Proyectos!$D24=$C$6),OR($C$7="(Todos)",Proyectos!$H24=$C$7)),BK24,"")</f>
        <v/>
      </c>
      <c r="BK24">
        <f>IF(AND(Proyectos!$A24&lt;&gt;"",OR($C$5="(Todos)",Proyectos!$C24=$C$5),OR($C$6="(Todas)",Proyectos!$D24=$C$6),OR($C$7="(Todos)",Proyectos!$H24=$C$7)),N(BK23)+1,N(BK23))</f>
        <v/>
      </c>
      <c r="BN24">
        <f>IF(AND(KPIs!$A24&lt;&gt;"",OR($C$5="(Todos)",KPIs!$L24=$C$5),OR($C$6="(Todas)",KPIs!$M24=$C$6)),BO24,"")</f>
        <v/>
      </c>
      <c r="BO24">
        <f>IF(AND(KPIs!$A24&lt;&gt;"",OR($C$5="(Todos)",KPIs!$L24=$C$5),OR($C$6="(Todas)",KPIs!$M24=$C$6)),N(BO23)+1,N(BO23))</f>
        <v/>
      </c>
      <c r="BR24">
        <f>IF(AND(Hitos!$A24&lt;&gt;"",OR($C$5="(Todos)",Hitos!$I24=$C$5),OR($C$6="(Todas)",Hitos!$J24=$C$6),OR(Hitos!$L24="Vencido",Hitos!$L24="Esta semana",Hitos!$L24="Próximos 30 días")),BS24,"")</f>
        <v/>
      </c>
      <c r="BS24">
        <f>IF(AND(Hitos!$A24&lt;&gt;"",OR($C$5="(Todos)",Hitos!$I24=$C$5),OR($C$6="(Todas)",Hitos!$J24=$C$6),OR(Hitos!$L24="Vencido",Hitos!$L24="Esta semana",Hitos!$L24="Próximos 30 días")),N(BS23)+1,N(BS23))</f>
        <v/>
      </c>
    </row>
    <row r="25" ht="17" customHeight="1">
      <c r="B25" s="24">
        <f>IF($BH25="","",INDEX(Proyectos!$A$2:$A$41,$BH25))</f>
        <v/>
      </c>
      <c r="C25" s="19">
        <f>IF($BH25="","",INDEX(Proyectos!$B$2:$B$41,$BH25))</f>
        <v/>
      </c>
      <c r="D25" s="19">
        <f>IF($BH25="","",INDEX(Proyectos!$D$2:$D$41,$BH25))</f>
        <v/>
      </c>
      <c r="E25" s="19">
        <f>IF($BH25="","",INDEX(Proyectos!$E$2:$E$41,$BH25))</f>
        <v/>
      </c>
      <c r="F25" s="24">
        <f>IF($BH25="","",INDEX(Proyectos!$G$2:$G$41,$BH25))</f>
        <v/>
      </c>
      <c r="G25" s="24">
        <f>IF($BH25="","",INDEX(Proyectos!$H$2:$H$41,$BH25))</f>
        <v/>
      </c>
      <c r="H25" s="24">
        <f>IF($BH25="","",INDEX(Proyectos!$I$2:$I$41,$BH25))</f>
        <v/>
      </c>
      <c r="I25" s="25">
        <f>IF($BH25="","",INDEX(Proyectos!$K$2:$K$41,$BH25))</f>
        <v/>
      </c>
      <c r="J25" s="21">
        <f>IF($BH25="","",INDEX(Proyectos!$L$2:$L$41,$BH25))</f>
        <v/>
      </c>
      <c r="K25" s="21">
        <f>IF($BH25="","",INDEX(Proyectos!$U$2:$U$41,$BH25))</f>
        <v/>
      </c>
      <c r="L25" s="26">
        <f>IF($BH25="","",INDEX(Proyectos!$V$2:$V$41,$BH25))</f>
        <v/>
      </c>
      <c r="M25" s="24">
        <f>IF($BH25="","",INDEX(Proyectos!$W$2:$W$41,$BH25))</f>
        <v/>
      </c>
      <c r="N25" s="31">
        <f>IF($BH25="","",INDEX(Proyectos!$N$2:$N$41,$BH25))</f>
        <v/>
      </c>
      <c r="O25" s="31">
        <f>IF($BH25="","",INDEX(Proyectos!$O$2:$O$41,$BH25))</f>
        <v/>
      </c>
      <c r="P25" s="21">
        <f>IF($BH25="","",INDEX(Proyectos!$S$2:$S$41,$BH25))</f>
        <v/>
      </c>
      <c r="Q25" s="21">
        <f>IF($BH25="","",INDEX(Proyectos!$Y$2:$Y$41,$BH25))</f>
        <v/>
      </c>
      <c r="R25" s="20">
        <f>IF($BH25="","",INDEX(Proyectos!$AB$2:$AB$41,$BH25))</f>
        <v/>
      </c>
      <c r="BH25">
        <f>IFERROR(MATCH(12,$BJ$2:$BJ$41,0),"")</f>
        <v/>
      </c>
      <c r="BJ25">
        <f>IF(AND(Proyectos!$A25&lt;&gt;"",OR($C$5="(Todos)",Proyectos!$C25=$C$5),OR($C$6="(Todas)",Proyectos!$D25=$C$6),OR($C$7="(Todos)",Proyectos!$H25=$C$7)),BK25,"")</f>
        <v/>
      </c>
      <c r="BK25">
        <f>IF(AND(Proyectos!$A25&lt;&gt;"",OR($C$5="(Todos)",Proyectos!$C25=$C$5),OR($C$6="(Todas)",Proyectos!$D25=$C$6),OR($C$7="(Todos)",Proyectos!$H25=$C$7)),N(BK24)+1,N(BK24))</f>
        <v/>
      </c>
      <c r="BN25">
        <f>IF(AND(KPIs!$A25&lt;&gt;"",OR($C$5="(Todos)",KPIs!$L25=$C$5),OR($C$6="(Todas)",KPIs!$M25=$C$6)),BO25,"")</f>
        <v/>
      </c>
      <c r="BO25">
        <f>IF(AND(KPIs!$A25&lt;&gt;"",OR($C$5="(Todos)",KPIs!$L25=$C$5),OR($C$6="(Todas)",KPIs!$M25=$C$6)),N(BO24)+1,N(BO24))</f>
        <v/>
      </c>
      <c r="BR25">
        <f>IF(AND(Hitos!$A25&lt;&gt;"",OR($C$5="(Todos)",Hitos!$I25=$C$5),OR($C$6="(Todas)",Hitos!$J25=$C$6),OR(Hitos!$L25="Vencido",Hitos!$L25="Esta semana",Hitos!$L25="Próximos 30 días")),BS25,"")</f>
        <v/>
      </c>
      <c r="BS25">
        <f>IF(AND(Hitos!$A25&lt;&gt;"",OR($C$5="(Todos)",Hitos!$I25=$C$5),OR($C$6="(Todas)",Hitos!$J25=$C$6),OR(Hitos!$L25="Vencido",Hitos!$L25="Esta semana",Hitos!$L25="Próximos 30 días")),N(BS24)+1,N(BS24))</f>
        <v/>
      </c>
    </row>
    <row r="26" ht="17" customHeight="1">
      <c r="B26" s="24">
        <f>IF($BH26="","",INDEX(Proyectos!$A$2:$A$41,$BH26))</f>
        <v/>
      </c>
      <c r="C26" s="19">
        <f>IF($BH26="","",INDEX(Proyectos!$B$2:$B$41,$BH26))</f>
        <v/>
      </c>
      <c r="D26" s="19">
        <f>IF($BH26="","",INDEX(Proyectos!$D$2:$D$41,$BH26))</f>
        <v/>
      </c>
      <c r="E26" s="19">
        <f>IF($BH26="","",INDEX(Proyectos!$E$2:$E$41,$BH26))</f>
        <v/>
      </c>
      <c r="F26" s="24">
        <f>IF($BH26="","",INDEX(Proyectos!$G$2:$G$41,$BH26))</f>
        <v/>
      </c>
      <c r="G26" s="24">
        <f>IF($BH26="","",INDEX(Proyectos!$H$2:$H$41,$BH26))</f>
        <v/>
      </c>
      <c r="H26" s="24">
        <f>IF($BH26="","",INDEX(Proyectos!$I$2:$I$41,$BH26))</f>
        <v/>
      </c>
      <c r="I26" s="25">
        <f>IF($BH26="","",INDEX(Proyectos!$K$2:$K$41,$BH26))</f>
        <v/>
      </c>
      <c r="J26" s="21">
        <f>IF($BH26="","",INDEX(Proyectos!$L$2:$L$41,$BH26))</f>
        <v/>
      </c>
      <c r="K26" s="21">
        <f>IF($BH26="","",INDEX(Proyectos!$U$2:$U$41,$BH26))</f>
        <v/>
      </c>
      <c r="L26" s="26">
        <f>IF($BH26="","",INDEX(Proyectos!$V$2:$V$41,$BH26))</f>
        <v/>
      </c>
      <c r="M26" s="24">
        <f>IF($BH26="","",INDEX(Proyectos!$W$2:$W$41,$BH26))</f>
        <v/>
      </c>
      <c r="N26" s="31">
        <f>IF($BH26="","",INDEX(Proyectos!$N$2:$N$41,$BH26))</f>
        <v/>
      </c>
      <c r="O26" s="31">
        <f>IF($BH26="","",INDEX(Proyectos!$O$2:$O$41,$BH26))</f>
        <v/>
      </c>
      <c r="P26" s="21">
        <f>IF($BH26="","",INDEX(Proyectos!$S$2:$S$41,$BH26))</f>
        <v/>
      </c>
      <c r="Q26" s="21">
        <f>IF($BH26="","",INDEX(Proyectos!$Y$2:$Y$41,$BH26))</f>
        <v/>
      </c>
      <c r="R26" s="20">
        <f>IF($BH26="","",INDEX(Proyectos!$AB$2:$AB$41,$BH26))</f>
        <v/>
      </c>
      <c r="BH26">
        <f>IFERROR(MATCH(13,$BJ$2:$BJ$41,0),"")</f>
        <v/>
      </c>
      <c r="BJ26">
        <f>IF(AND(Proyectos!$A26&lt;&gt;"",OR($C$5="(Todos)",Proyectos!$C26=$C$5),OR($C$6="(Todas)",Proyectos!$D26=$C$6),OR($C$7="(Todos)",Proyectos!$H26=$C$7)),BK26,"")</f>
        <v/>
      </c>
      <c r="BK26">
        <f>IF(AND(Proyectos!$A26&lt;&gt;"",OR($C$5="(Todos)",Proyectos!$C26=$C$5),OR($C$6="(Todas)",Proyectos!$D26=$C$6),OR($C$7="(Todos)",Proyectos!$H26=$C$7)),N(BK25)+1,N(BK25))</f>
        <v/>
      </c>
      <c r="BN26">
        <f>IF(AND(KPIs!$A26&lt;&gt;"",OR($C$5="(Todos)",KPIs!$L26=$C$5),OR($C$6="(Todas)",KPIs!$M26=$C$6)),BO26,"")</f>
        <v/>
      </c>
      <c r="BO26">
        <f>IF(AND(KPIs!$A26&lt;&gt;"",OR($C$5="(Todos)",KPIs!$L26=$C$5),OR($C$6="(Todas)",KPIs!$M26=$C$6)),N(BO25)+1,N(BO25))</f>
        <v/>
      </c>
      <c r="BR26">
        <f>IF(AND(Hitos!$A26&lt;&gt;"",OR($C$5="(Todos)",Hitos!$I26=$C$5),OR($C$6="(Todas)",Hitos!$J26=$C$6),OR(Hitos!$L26="Vencido",Hitos!$L26="Esta semana",Hitos!$L26="Próximos 30 días")),BS26,"")</f>
        <v/>
      </c>
      <c r="BS26">
        <f>IF(AND(Hitos!$A26&lt;&gt;"",OR($C$5="(Todos)",Hitos!$I26=$C$5),OR($C$6="(Todas)",Hitos!$J26=$C$6),OR(Hitos!$L26="Vencido",Hitos!$L26="Esta semana",Hitos!$L26="Próximos 30 días")),N(BS25)+1,N(BS25))</f>
        <v/>
      </c>
    </row>
    <row r="27" ht="17" customHeight="1">
      <c r="B27" s="24">
        <f>IF($BH27="","",INDEX(Proyectos!$A$2:$A$41,$BH27))</f>
        <v/>
      </c>
      <c r="C27" s="19">
        <f>IF($BH27="","",INDEX(Proyectos!$B$2:$B$41,$BH27))</f>
        <v/>
      </c>
      <c r="D27" s="19">
        <f>IF($BH27="","",INDEX(Proyectos!$D$2:$D$41,$BH27))</f>
        <v/>
      </c>
      <c r="E27" s="19">
        <f>IF($BH27="","",INDEX(Proyectos!$E$2:$E$41,$BH27))</f>
        <v/>
      </c>
      <c r="F27" s="24">
        <f>IF($BH27="","",INDEX(Proyectos!$G$2:$G$41,$BH27))</f>
        <v/>
      </c>
      <c r="G27" s="24">
        <f>IF($BH27="","",INDEX(Proyectos!$H$2:$H$41,$BH27))</f>
        <v/>
      </c>
      <c r="H27" s="24">
        <f>IF($BH27="","",INDEX(Proyectos!$I$2:$I$41,$BH27))</f>
        <v/>
      </c>
      <c r="I27" s="25">
        <f>IF($BH27="","",INDEX(Proyectos!$K$2:$K$41,$BH27))</f>
        <v/>
      </c>
      <c r="J27" s="21">
        <f>IF($BH27="","",INDEX(Proyectos!$L$2:$L$41,$BH27))</f>
        <v/>
      </c>
      <c r="K27" s="21">
        <f>IF($BH27="","",INDEX(Proyectos!$U$2:$U$41,$BH27))</f>
        <v/>
      </c>
      <c r="L27" s="26">
        <f>IF($BH27="","",INDEX(Proyectos!$V$2:$V$41,$BH27))</f>
        <v/>
      </c>
      <c r="M27" s="24">
        <f>IF($BH27="","",INDEX(Proyectos!$W$2:$W$41,$BH27))</f>
        <v/>
      </c>
      <c r="N27" s="31">
        <f>IF($BH27="","",INDEX(Proyectos!$N$2:$N$41,$BH27))</f>
        <v/>
      </c>
      <c r="O27" s="31">
        <f>IF($BH27="","",INDEX(Proyectos!$O$2:$O$41,$BH27))</f>
        <v/>
      </c>
      <c r="P27" s="21">
        <f>IF($BH27="","",INDEX(Proyectos!$S$2:$S$41,$BH27))</f>
        <v/>
      </c>
      <c r="Q27" s="21">
        <f>IF($BH27="","",INDEX(Proyectos!$Y$2:$Y$41,$BH27))</f>
        <v/>
      </c>
      <c r="R27" s="20">
        <f>IF($BH27="","",INDEX(Proyectos!$AB$2:$AB$41,$BH27))</f>
        <v/>
      </c>
      <c r="BH27">
        <f>IFERROR(MATCH(14,$BJ$2:$BJ$41,0),"")</f>
        <v/>
      </c>
      <c r="BJ27">
        <f>IF(AND(Proyectos!$A27&lt;&gt;"",OR($C$5="(Todos)",Proyectos!$C27=$C$5),OR($C$6="(Todas)",Proyectos!$D27=$C$6),OR($C$7="(Todos)",Proyectos!$H27=$C$7)),BK27,"")</f>
        <v/>
      </c>
      <c r="BK27">
        <f>IF(AND(Proyectos!$A27&lt;&gt;"",OR($C$5="(Todos)",Proyectos!$C27=$C$5),OR($C$6="(Todas)",Proyectos!$D27=$C$6),OR($C$7="(Todos)",Proyectos!$H27=$C$7)),N(BK26)+1,N(BK26))</f>
        <v/>
      </c>
      <c r="BN27">
        <f>IF(AND(KPIs!$A27&lt;&gt;"",OR($C$5="(Todos)",KPIs!$L27=$C$5),OR($C$6="(Todas)",KPIs!$M27=$C$6)),BO27,"")</f>
        <v/>
      </c>
      <c r="BO27">
        <f>IF(AND(KPIs!$A27&lt;&gt;"",OR($C$5="(Todos)",KPIs!$L27=$C$5),OR($C$6="(Todas)",KPIs!$M27=$C$6)),N(BO26)+1,N(BO26))</f>
        <v/>
      </c>
      <c r="BR27">
        <f>IF(AND(Hitos!$A27&lt;&gt;"",OR($C$5="(Todos)",Hitos!$I27=$C$5),OR($C$6="(Todas)",Hitos!$J27=$C$6),OR(Hitos!$L27="Vencido",Hitos!$L27="Esta semana",Hitos!$L27="Próximos 30 días")),BS27,"")</f>
        <v/>
      </c>
      <c r="BS27">
        <f>IF(AND(Hitos!$A27&lt;&gt;"",OR($C$5="(Todos)",Hitos!$I27=$C$5),OR($C$6="(Todas)",Hitos!$J27=$C$6),OR(Hitos!$L27="Vencido",Hitos!$L27="Esta semana",Hitos!$L27="Próximos 30 días")),N(BS26)+1,N(BS26))</f>
        <v/>
      </c>
    </row>
    <row r="28" ht="17" customHeight="1">
      <c r="B28" s="24">
        <f>IF($BH28="","",INDEX(Proyectos!$A$2:$A$41,$BH28))</f>
        <v/>
      </c>
      <c r="C28" s="19">
        <f>IF($BH28="","",INDEX(Proyectos!$B$2:$B$41,$BH28))</f>
        <v/>
      </c>
      <c r="D28" s="19">
        <f>IF($BH28="","",INDEX(Proyectos!$D$2:$D$41,$BH28))</f>
        <v/>
      </c>
      <c r="E28" s="19">
        <f>IF($BH28="","",INDEX(Proyectos!$E$2:$E$41,$BH28))</f>
        <v/>
      </c>
      <c r="F28" s="24">
        <f>IF($BH28="","",INDEX(Proyectos!$G$2:$G$41,$BH28))</f>
        <v/>
      </c>
      <c r="G28" s="24">
        <f>IF($BH28="","",INDEX(Proyectos!$H$2:$H$41,$BH28))</f>
        <v/>
      </c>
      <c r="H28" s="24">
        <f>IF($BH28="","",INDEX(Proyectos!$I$2:$I$41,$BH28))</f>
        <v/>
      </c>
      <c r="I28" s="25">
        <f>IF($BH28="","",INDEX(Proyectos!$K$2:$K$41,$BH28))</f>
        <v/>
      </c>
      <c r="J28" s="21">
        <f>IF($BH28="","",INDEX(Proyectos!$L$2:$L$41,$BH28))</f>
        <v/>
      </c>
      <c r="K28" s="21">
        <f>IF($BH28="","",INDEX(Proyectos!$U$2:$U$41,$BH28))</f>
        <v/>
      </c>
      <c r="L28" s="26">
        <f>IF($BH28="","",INDEX(Proyectos!$V$2:$V$41,$BH28))</f>
        <v/>
      </c>
      <c r="M28" s="24">
        <f>IF($BH28="","",INDEX(Proyectos!$W$2:$W$41,$BH28))</f>
        <v/>
      </c>
      <c r="N28" s="31">
        <f>IF($BH28="","",INDEX(Proyectos!$N$2:$N$41,$BH28))</f>
        <v/>
      </c>
      <c r="O28" s="31">
        <f>IF($BH28="","",INDEX(Proyectos!$O$2:$O$41,$BH28))</f>
        <v/>
      </c>
      <c r="P28" s="21">
        <f>IF($BH28="","",INDEX(Proyectos!$S$2:$S$41,$BH28))</f>
        <v/>
      </c>
      <c r="Q28" s="21">
        <f>IF($BH28="","",INDEX(Proyectos!$Y$2:$Y$41,$BH28))</f>
        <v/>
      </c>
      <c r="R28" s="20">
        <f>IF($BH28="","",INDEX(Proyectos!$AB$2:$AB$41,$BH28))</f>
        <v/>
      </c>
      <c r="BH28">
        <f>IFERROR(MATCH(15,$BJ$2:$BJ$41,0),"")</f>
        <v/>
      </c>
      <c r="BJ28">
        <f>IF(AND(Proyectos!$A28&lt;&gt;"",OR($C$5="(Todos)",Proyectos!$C28=$C$5),OR($C$6="(Todas)",Proyectos!$D28=$C$6),OR($C$7="(Todos)",Proyectos!$H28=$C$7)),BK28,"")</f>
        <v/>
      </c>
      <c r="BK28">
        <f>IF(AND(Proyectos!$A28&lt;&gt;"",OR($C$5="(Todos)",Proyectos!$C28=$C$5),OR($C$6="(Todas)",Proyectos!$D28=$C$6),OR($C$7="(Todos)",Proyectos!$H28=$C$7)),N(BK27)+1,N(BK27))</f>
        <v/>
      </c>
      <c r="BN28">
        <f>IF(AND(KPIs!$A28&lt;&gt;"",OR($C$5="(Todos)",KPIs!$L28=$C$5),OR($C$6="(Todas)",KPIs!$M28=$C$6)),BO28,"")</f>
        <v/>
      </c>
      <c r="BO28">
        <f>IF(AND(KPIs!$A28&lt;&gt;"",OR($C$5="(Todos)",KPIs!$L28=$C$5),OR($C$6="(Todas)",KPIs!$M28=$C$6)),N(BO27)+1,N(BO27))</f>
        <v/>
      </c>
      <c r="BR28">
        <f>IF(AND(Hitos!$A28&lt;&gt;"",OR($C$5="(Todos)",Hitos!$I28=$C$5),OR($C$6="(Todas)",Hitos!$J28=$C$6),OR(Hitos!$L28="Vencido",Hitos!$L28="Esta semana",Hitos!$L28="Próximos 30 días")),BS28,"")</f>
        <v/>
      </c>
      <c r="BS28">
        <f>IF(AND(Hitos!$A28&lt;&gt;"",OR($C$5="(Todos)",Hitos!$I28=$C$5),OR($C$6="(Todas)",Hitos!$J28=$C$6),OR(Hitos!$L28="Vencido",Hitos!$L28="Esta semana",Hitos!$L28="Próximos 30 días")),N(BS27)+1,N(BS27))</f>
        <v/>
      </c>
    </row>
    <row r="29" ht="17" customHeight="1">
      <c r="B29" s="24">
        <f>IF($BH29="","",INDEX(Proyectos!$A$2:$A$41,$BH29))</f>
        <v/>
      </c>
      <c r="C29" s="19">
        <f>IF($BH29="","",INDEX(Proyectos!$B$2:$B$41,$BH29))</f>
        <v/>
      </c>
      <c r="D29" s="19">
        <f>IF($BH29="","",INDEX(Proyectos!$D$2:$D$41,$BH29))</f>
        <v/>
      </c>
      <c r="E29" s="19">
        <f>IF($BH29="","",INDEX(Proyectos!$E$2:$E$41,$BH29))</f>
        <v/>
      </c>
      <c r="F29" s="24">
        <f>IF($BH29="","",INDEX(Proyectos!$G$2:$G$41,$BH29))</f>
        <v/>
      </c>
      <c r="G29" s="24">
        <f>IF($BH29="","",INDEX(Proyectos!$H$2:$H$41,$BH29))</f>
        <v/>
      </c>
      <c r="H29" s="24">
        <f>IF($BH29="","",INDEX(Proyectos!$I$2:$I$41,$BH29))</f>
        <v/>
      </c>
      <c r="I29" s="25">
        <f>IF($BH29="","",INDEX(Proyectos!$K$2:$K$41,$BH29))</f>
        <v/>
      </c>
      <c r="J29" s="21">
        <f>IF($BH29="","",INDEX(Proyectos!$L$2:$L$41,$BH29))</f>
        <v/>
      </c>
      <c r="K29" s="21">
        <f>IF($BH29="","",INDEX(Proyectos!$U$2:$U$41,$BH29))</f>
        <v/>
      </c>
      <c r="L29" s="26">
        <f>IF($BH29="","",INDEX(Proyectos!$V$2:$V$41,$BH29))</f>
        <v/>
      </c>
      <c r="M29" s="24">
        <f>IF($BH29="","",INDEX(Proyectos!$W$2:$W$41,$BH29))</f>
        <v/>
      </c>
      <c r="N29" s="31">
        <f>IF($BH29="","",INDEX(Proyectos!$N$2:$N$41,$BH29))</f>
        <v/>
      </c>
      <c r="O29" s="31">
        <f>IF($BH29="","",INDEX(Proyectos!$O$2:$O$41,$BH29))</f>
        <v/>
      </c>
      <c r="P29" s="21">
        <f>IF($BH29="","",INDEX(Proyectos!$S$2:$S$41,$BH29))</f>
        <v/>
      </c>
      <c r="Q29" s="21">
        <f>IF($BH29="","",INDEX(Proyectos!$Y$2:$Y$41,$BH29))</f>
        <v/>
      </c>
      <c r="R29" s="20">
        <f>IF($BH29="","",INDEX(Proyectos!$AB$2:$AB$41,$BH29))</f>
        <v/>
      </c>
      <c r="BH29">
        <f>IFERROR(MATCH(16,$BJ$2:$BJ$41,0),"")</f>
        <v/>
      </c>
      <c r="BJ29">
        <f>IF(AND(Proyectos!$A29&lt;&gt;"",OR($C$5="(Todos)",Proyectos!$C29=$C$5),OR($C$6="(Todas)",Proyectos!$D29=$C$6),OR($C$7="(Todos)",Proyectos!$H29=$C$7)),BK29,"")</f>
        <v/>
      </c>
      <c r="BK29">
        <f>IF(AND(Proyectos!$A29&lt;&gt;"",OR($C$5="(Todos)",Proyectos!$C29=$C$5),OR($C$6="(Todas)",Proyectos!$D29=$C$6),OR($C$7="(Todos)",Proyectos!$H29=$C$7)),N(BK28)+1,N(BK28))</f>
        <v/>
      </c>
      <c r="BN29">
        <f>IF(AND(KPIs!$A29&lt;&gt;"",OR($C$5="(Todos)",KPIs!$L29=$C$5),OR($C$6="(Todas)",KPIs!$M29=$C$6)),BO29,"")</f>
        <v/>
      </c>
      <c r="BO29">
        <f>IF(AND(KPIs!$A29&lt;&gt;"",OR($C$5="(Todos)",KPIs!$L29=$C$5),OR($C$6="(Todas)",KPIs!$M29=$C$6)),N(BO28)+1,N(BO28))</f>
        <v/>
      </c>
      <c r="BR29">
        <f>IF(AND(Hitos!$A29&lt;&gt;"",OR($C$5="(Todos)",Hitos!$I29=$C$5),OR($C$6="(Todas)",Hitos!$J29=$C$6),OR(Hitos!$L29="Vencido",Hitos!$L29="Esta semana",Hitos!$L29="Próximos 30 días")),BS29,"")</f>
        <v/>
      </c>
      <c r="BS29">
        <f>IF(AND(Hitos!$A29&lt;&gt;"",OR($C$5="(Todos)",Hitos!$I29=$C$5),OR($C$6="(Todas)",Hitos!$J29=$C$6),OR(Hitos!$L29="Vencido",Hitos!$L29="Esta semana",Hitos!$L29="Próximos 30 días")),N(BS28)+1,N(BS28))</f>
        <v/>
      </c>
    </row>
    <row r="30" ht="17" customHeight="1">
      <c r="B30" s="24">
        <f>IF($BH30="","",INDEX(Proyectos!$A$2:$A$41,$BH30))</f>
        <v/>
      </c>
      <c r="C30" s="19">
        <f>IF($BH30="","",INDEX(Proyectos!$B$2:$B$41,$BH30))</f>
        <v/>
      </c>
      <c r="D30" s="19">
        <f>IF($BH30="","",INDEX(Proyectos!$D$2:$D$41,$BH30))</f>
        <v/>
      </c>
      <c r="E30" s="19">
        <f>IF($BH30="","",INDEX(Proyectos!$E$2:$E$41,$BH30))</f>
        <v/>
      </c>
      <c r="F30" s="24">
        <f>IF($BH30="","",INDEX(Proyectos!$G$2:$G$41,$BH30))</f>
        <v/>
      </c>
      <c r="G30" s="24">
        <f>IF($BH30="","",INDEX(Proyectos!$H$2:$H$41,$BH30))</f>
        <v/>
      </c>
      <c r="H30" s="24">
        <f>IF($BH30="","",INDEX(Proyectos!$I$2:$I$41,$BH30))</f>
        <v/>
      </c>
      <c r="I30" s="25">
        <f>IF($BH30="","",INDEX(Proyectos!$K$2:$K$41,$BH30))</f>
        <v/>
      </c>
      <c r="J30" s="21">
        <f>IF($BH30="","",INDEX(Proyectos!$L$2:$L$41,$BH30))</f>
        <v/>
      </c>
      <c r="K30" s="21">
        <f>IF($BH30="","",INDEX(Proyectos!$U$2:$U$41,$BH30))</f>
        <v/>
      </c>
      <c r="L30" s="26">
        <f>IF($BH30="","",INDEX(Proyectos!$V$2:$V$41,$BH30))</f>
        <v/>
      </c>
      <c r="M30" s="24">
        <f>IF($BH30="","",INDEX(Proyectos!$W$2:$W$41,$BH30))</f>
        <v/>
      </c>
      <c r="N30" s="31">
        <f>IF($BH30="","",INDEX(Proyectos!$N$2:$N$41,$BH30))</f>
        <v/>
      </c>
      <c r="O30" s="31">
        <f>IF($BH30="","",INDEX(Proyectos!$O$2:$O$41,$BH30))</f>
        <v/>
      </c>
      <c r="P30" s="21">
        <f>IF($BH30="","",INDEX(Proyectos!$S$2:$S$41,$BH30))</f>
        <v/>
      </c>
      <c r="Q30" s="21">
        <f>IF($BH30="","",INDEX(Proyectos!$Y$2:$Y$41,$BH30))</f>
        <v/>
      </c>
      <c r="R30" s="20">
        <f>IF($BH30="","",INDEX(Proyectos!$AB$2:$AB$41,$BH30))</f>
        <v/>
      </c>
      <c r="BH30">
        <f>IFERROR(MATCH(17,$BJ$2:$BJ$41,0),"")</f>
        <v/>
      </c>
      <c r="BJ30">
        <f>IF(AND(Proyectos!$A30&lt;&gt;"",OR($C$5="(Todos)",Proyectos!$C30=$C$5),OR($C$6="(Todas)",Proyectos!$D30=$C$6),OR($C$7="(Todos)",Proyectos!$H30=$C$7)),BK30,"")</f>
        <v/>
      </c>
      <c r="BK30">
        <f>IF(AND(Proyectos!$A30&lt;&gt;"",OR($C$5="(Todos)",Proyectos!$C30=$C$5),OR($C$6="(Todas)",Proyectos!$D30=$C$6),OR($C$7="(Todos)",Proyectos!$H30=$C$7)),N(BK29)+1,N(BK29))</f>
        <v/>
      </c>
      <c r="BN30">
        <f>IF(AND(KPIs!$A30&lt;&gt;"",OR($C$5="(Todos)",KPIs!$L30=$C$5),OR($C$6="(Todas)",KPIs!$M30=$C$6)),BO30,"")</f>
        <v/>
      </c>
      <c r="BO30">
        <f>IF(AND(KPIs!$A30&lt;&gt;"",OR($C$5="(Todos)",KPIs!$L30=$C$5),OR($C$6="(Todas)",KPIs!$M30=$C$6)),N(BO29)+1,N(BO29))</f>
        <v/>
      </c>
      <c r="BR30">
        <f>IF(AND(Hitos!$A30&lt;&gt;"",OR($C$5="(Todos)",Hitos!$I30=$C$5),OR($C$6="(Todas)",Hitos!$J30=$C$6),OR(Hitos!$L30="Vencido",Hitos!$L30="Esta semana",Hitos!$L30="Próximos 30 días")),BS30,"")</f>
        <v/>
      </c>
      <c r="BS30">
        <f>IF(AND(Hitos!$A30&lt;&gt;"",OR($C$5="(Todos)",Hitos!$I30=$C$5),OR($C$6="(Todas)",Hitos!$J30=$C$6),OR(Hitos!$L30="Vencido",Hitos!$L30="Esta semana",Hitos!$L30="Próximos 30 días")),N(BS29)+1,N(BS29))</f>
        <v/>
      </c>
    </row>
    <row r="31" ht="17" customHeight="1">
      <c r="B31" s="24">
        <f>IF($BH31="","",INDEX(Proyectos!$A$2:$A$41,$BH31))</f>
        <v/>
      </c>
      <c r="C31" s="19">
        <f>IF($BH31="","",INDEX(Proyectos!$B$2:$B$41,$BH31))</f>
        <v/>
      </c>
      <c r="D31" s="19">
        <f>IF($BH31="","",INDEX(Proyectos!$D$2:$D$41,$BH31))</f>
        <v/>
      </c>
      <c r="E31" s="19">
        <f>IF($BH31="","",INDEX(Proyectos!$E$2:$E$41,$BH31))</f>
        <v/>
      </c>
      <c r="F31" s="24">
        <f>IF($BH31="","",INDEX(Proyectos!$G$2:$G$41,$BH31))</f>
        <v/>
      </c>
      <c r="G31" s="24">
        <f>IF($BH31="","",INDEX(Proyectos!$H$2:$H$41,$BH31))</f>
        <v/>
      </c>
      <c r="H31" s="24">
        <f>IF($BH31="","",INDEX(Proyectos!$I$2:$I$41,$BH31))</f>
        <v/>
      </c>
      <c r="I31" s="25">
        <f>IF($BH31="","",INDEX(Proyectos!$K$2:$K$41,$BH31))</f>
        <v/>
      </c>
      <c r="J31" s="21">
        <f>IF($BH31="","",INDEX(Proyectos!$L$2:$L$41,$BH31))</f>
        <v/>
      </c>
      <c r="K31" s="21">
        <f>IF($BH31="","",INDEX(Proyectos!$U$2:$U$41,$BH31))</f>
        <v/>
      </c>
      <c r="L31" s="26">
        <f>IF($BH31="","",INDEX(Proyectos!$V$2:$V$41,$BH31))</f>
        <v/>
      </c>
      <c r="M31" s="24">
        <f>IF($BH31="","",INDEX(Proyectos!$W$2:$W$41,$BH31))</f>
        <v/>
      </c>
      <c r="N31" s="31">
        <f>IF($BH31="","",INDEX(Proyectos!$N$2:$N$41,$BH31))</f>
        <v/>
      </c>
      <c r="O31" s="31">
        <f>IF($BH31="","",INDEX(Proyectos!$O$2:$O$41,$BH31))</f>
        <v/>
      </c>
      <c r="P31" s="21">
        <f>IF($BH31="","",INDEX(Proyectos!$S$2:$S$41,$BH31))</f>
        <v/>
      </c>
      <c r="Q31" s="21">
        <f>IF($BH31="","",INDEX(Proyectos!$Y$2:$Y$41,$BH31))</f>
        <v/>
      </c>
      <c r="R31" s="20">
        <f>IF($BH31="","",INDEX(Proyectos!$AB$2:$AB$41,$BH31))</f>
        <v/>
      </c>
      <c r="BH31">
        <f>IFERROR(MATCH(18,$BJ$2:$BJ$41,0),"")</f>
        <v/>
      </c>
      <c r="BJ31">
        <f>IF(AND(Proyectos!$A31&lt;&gt;"",OR($C$5="(Todos)",Proyectos!$C31=$C$5),OR($C$6="(Todas)",Proyectos!$D31=$C$6),OR($C$7="(Todos)",Proyectos!$H31=$C$7)),BK31,"")</f>
        <v/>
      </c>
      <c r="BK31">
        <f>IF(AND(Proyectos!$A31&lt;&gt;"",OR($C$5="(Todos)",Proyectos!$C31=$C$5),OR($C$6="(Todas)",Proyectos!$D31=$C$6),OR($C$7="(Todos)",Proyectos!$H31=$C$7)),N(BK30)+1,N(BK30))</f>
        <v/>
      </c>
      <c r="BN31">
        <f>IF(AND(KPIs!$A31&lt;&gt;"",OR($C$5="(Todos)",KPIs!$L31=$C$5),OR($C$6="(Todas)",KPIs!$M31=$C$6)),BO31,"")</f>
        <v/>
      </c>
      <c r="BO31">
        <f>IF(AND(KPIs!$A31&lt;&gt;"",OR($C$5="(Todos)",KPIs!$L31=$C$5),OR($C$6="(Todas)",KPIs!$M31=$C$6)),N(BO30)+1,N(BO30))</f>
        <v/>
      </c>
      <c r="BR31">
        <f>IF(AND(Hitos!$A31&lt;&gt;"",OR($C$5="(Todos)",Hitos!$I31=$C$5),OR($C$6="(Todas)",Hitos!$J31=$C$6),OR(Hitos!$L31="Vencido",Hitos!$L31="Esta semana",Hitos!$L31="Próximos 30 días")),BS31,"")</f>
        <v/>
      </c>
      <c r="BS31">
        <f>IF(AND(Hitos!$A31&lt;&gt;"",OR($C$5="(Todos)",Hitos!$I31=$C$5),OR($C$6="(Todas)",Hitos!$J31=$C$6),OR(Hitos!$L31="Vencido",Hitos!$L31="Esta semana",Hitos!$L31="Próximos 30 días")),N(BS30)+1,N(BS30))</f>
        <v/>
      </c>
    </row>
    <row r="32" ht="17" customHeight="1">
      <c r="B32" s="24">
        <f>IF($BH32="","",INDEX(Proyectos!$A$2:$A$41,$BH32))</f>
        <v/>
      </c>
      <c r="C32" s="19">
        <f>IF($BH32="","",INDEX(Proyectos!$B$2:$B$41,$BH32))</f>
        <v/>
      </c>
      <c r="D32" s="19">
        <f>IF($BH32="","",INDEX(Proyectos!$D$2:$D$41,$BH32))</f>
        <v/>
      </c>
      <c r="E32" s="19">
        <f>IF($BH32="","",INDEX(Proyectos!$E$2:$E$41,$BH32))</f>
        <v/>
      </c>
      <c r="F32" s="24">
        <f>IF($BH32="","",INDEX(Proyectos!$G$2:$G$41,$BH32))</f>
        <v/>
      </c>
      <c r="G32" s="24">
        <f>IF($BH32="","",INDEX(Proyectos!$H$2:$H$41,$BH32))</f>
        <v/>
      </c>
      <c r="H32" s="24">
        <f>IF($BH32="","",INDEX(Proyectos!$I$2:$I$41,$BH32))</f>
        <v/>
      </c>
      <c r="I32" s="25">
        <f>IF($BH32="","",INDEX(Proyectos!$K$2:$K$41,$BH32))</f>
        <v/>
      </c>
      <c r="J32" s="21">
        <f>IF($BH32="","",INDEX(Proyectos!$L$2:$L$41,$BH32))</f>
        <v/>
      </c>
      <c r="K32" s="21">
        <f>IF($BH32="","",INDEX(Proyectos!$U$2:$U$41,$BH32))</f>
        <v/>
      </c>
      <c r="L32" s="26">
        <f>IF($BH32="","",INDEX(Proyectos!$V$2:$V$41,$BH32))</f>
        <v/>
      </c>
      <c r="M32" s="24">
        <f>IF($BH32="","",INDEX(Proyectos!$W$2:$W$41,$BH32))</f>
        <v/>
      </c>
      <c r="N32" s="31">
        <f>IF($BH32="","",INDEX(Proyectos!$N$2:$N$41,$BH32))</f>
        <v/>
      </c>
      <c r="O32" s="31">
        <f>IF($BH32="","",INDEX(Proyectos!$O$2:$O$41,$BH32))</f>
        <v/>
      </c>
      <c r="P32" s="21">
        <f>IF($BH32="","",INDEX(Proyectos!$S$2:$S$41,$BH32))</f>
        <v/>
      </c>
      <c r="Q32" s="21">
        <f>IF($BH32="","",INDEX(Proyectos!$Y$2:$Y$41,$BH32))</f>
        <v/>
      </c>
      <c r="R32" s="20">
        <f>IF($BH32="","",INDEX(Proyectos!$AB$2:$AB$41,$BH32))</f>
        <v/>
      </c>
      <c r="BH32">
        <f>IFERROR(MATCH(19,$BJ$2:$BJ$41,0),"")</f>
        <v/>
      </c>
      <c r="BJ32">
        <f>IF(AND(Proyectos!$A32&lt;&gt;"",OR($C$5="(Todos)",Proyectos!$C32=$C$5),OR($C$6="(Todas)",Proyectos!$D32=$C$6),OR($C$7="(Todos)",Proyectos!$H32=$C$7)),BK32,"")</f>
        <v/>
      </c>
      <c r="BK32">
        <f>IF(AND(Proyectos!$A32&lt;&gt;"",OR($C$5="(Todos)",Proyectos!$C32=$C$5),OR($C$6="(Todas)",Proyectos!$D32=$C$6),OR($C$7="(Todos)",Proyectos!$H32=$C$7)),N(BK31)+1,N(BK31))</f>
        <v/>
      </c>
      <c r="BN32">
        <f>IF(AND(KPIs!$A32&lt;&gt;"",OR($C$5="(Todos)",KPIs!$L32=$C$5),OR($C$6="(Todas)",KPIs!$M32=$C$6)),BO32,"")</f>
        <v/>
      </c>
      <c r="BO32">
        <f>IF(AND(KPIs!$A32&lt;&gt;"",OR($C$5="(Todos)",KPIs!$L32=$C$5),OR($C$6="(Todas)",KPIs!$M32=$C$6)),N(BO31)+1,N(BO31))</f>
        <v/>
      </c>
      <c r="BR32">
        <f>IF(AND(Hitos!$A32&lt;&gt;"",OR($C$5="(Todos)",Hitos!$I32=$C$5),OR($C$6="(Todas)",Hitos!$J32=$C$6),OR(Hitos!$L32="Vencido",Hitos!$L32="Esta semana",Hitos!$L32="Próximos 30 días")),BS32,"")</f>
        <v/>
      </c>
      <c r="BS32">
        <f>IF(AND(Hitos!$A32&lt;&gt;"",OR($C$5="(Todos)",Hitos!$I32=$C$5),OR($C$6="(Todas)",Hitos!$J32=$C$6),OR(Hitos!$L32="Vencido",Hitos!$L32="Esta semana",Hitos!$L32="Próximos 30 días")),N(BS31)+1,N(BS31))</f>
        <v/>
      </c>
    </row>
    <row r="33" ht="17" customHeight="1">
      <c r="B33" s="24">
        <f>IF($BH33="","",INDEX(Proyectos!$A$2:$A$41,$BH33))</f>
        <v/>
      </c>
      <c r="C33" s="19">
        <f>IF($BH33="","",INDEX(Proyectos!$B$2:$B$41,$BH33))</f>
        <v/>
      </c>
      <c r="D33" s="19">
        <f>IF($BH33="","",INDEX(Proyectos!$D$2:$D$41,$BH33))</f>
        <v/>
      </c>
      <c r="E33" s="19">
        <f>IF($BH33="","",INDEX(Proyectos!$E$2:$E$41,$BH33))</f>
        <v/>
      </c>
      <c r="F33" s="24">
        <f>IF($BH33="","",INDEX(Proyectos!$G$2:$G$41,$BH33))</f>
        <v/>
      </c>
      <c r="G33" s="24">
        <f>IF($BH33="","",INDEX(Proyectos!$H$2:$H$41,$BH33))</f>
        <v/>
      </c>
      <c r="H33" s="24">
        <f>IF($BH33="","",INDEX(Proyectos!$I$2:$I$41,$BH33))</f>
        <v/>
      </c>
      <c r="I33" s="25">
        <f>IF($BH33="","",INDEX(Proyectos!$K$2:$K$41,$BH33))</f>
        <v/>
      </c>
      <c r="J33" s="21">
        <f>IF($BH33="","",INDEX(Proyectos!$L$2:$L$41,$BH33))</f>
        <v/>
      </c>
      <c r="K33" s="21">
        <f>IF($BH33="","",INDEX(Proyectos!$U$2:$U$41,$BH33))</f>
        <v/>
      </c>
      <c r="L33" s="26">
        <f>IF($BH33="","",INDEX(Proyectos!$V$2:$V$41,$BH33))</f>
        <v/>
      </c>
      <c r="M33" s="24">
        <f>IF($BH33="","",INDEX(Proyectos!$W$2:$W$41,$BH33))</f>
        <v/>
      </c>
      <c r="N33" s="31">
        <f>IF($BH33="","",INDEX(Proyectos!$N$2:$N$41,$BH33))</f>
        <v/>
      </c>
      <c r="O33" s="31">
        <f>IF($BH33="","",INDEX(Proyectos!$O$2:$O$41,$BH33))</f>
        <v/>
      </c>
      <c r="P33" s="21">
        <f>IF($BH33="","",INDEX(Proyectos!$S$2:$S$41,$BH33))</f>
        <v/>
      </c>
      <c r="Q33" s="21">
        <f>IF($BH33="","",INDEX(Proyectos!$Y$2:$Y$41,$BH33))</f>
        <v/>
      </c>
      <c r="R33" s="20">
        <f>IF($BH33="","",INDEX(Proyectos!$AB$2:$AB$41,$BH33))</f>
        <v/>
      </c>
      <c r="BH33">
        <f>IFERROR(MATCH(20,$BJ$2:$BJ$41,0),"")</f>
        <v/>
      </c>
      <c r="BJ33">
        <f>IF(AND(Proyectos!$A33&lt;&gt;"",OR($C$5="(Todos)",Proyectos!$C33=$C$5),OR($C$6="(Todas)",Proyectos!$D33=$C$6),OR($C$7="(Todos)",Proyectos!$H33=$C$7)),BK33,"")</f>
        <v/>
      </c>
      <c r="BK33">
        <f>IF(AND(Proyectos!$A33&lt;&gt;"",OR($C$5="(Todos)",Proyectos!$C33=$C$5),OR($C$6="(Todas)",Proyectos!$D33=$C$6),OR($C$7="(Todos)",Proyectos!$H33=$C$7)),N(BK32)+1,N(BK32))</f>
        <v/>
      </c>
      <c r="BN33">
        <f>IF(AND(KPIs!$A33&lt;&gt;"",OR($C$5="(Todos)",KPIs!$L33=$C$5),OR($C$6="(Todas)",KPIs!$M33=$C$6)),BO33,"")</f>
        <v/>
      </c>
      <c r="BO33">
        <f>IF(AND(KPIs!$A33&lt;&gt;"",OR($C$5="(Todos)",KPIs!$L33=$C$5),OR($C$6="(Todas)",KPIs!$M33=$C$6)),N(BO32)+1,N(BO32))</f>
        <v/>
      </c>
      <c r="BR33">
        <f>IF(AND(Hitos!$A33&lt;&gt;"",OR($C$5="(Todos)",Hitos!$I33=$C$5),OR($C$6="(Todas)",Hitos!$J33=$C$6),OR(Hitos!$L33="Vencido",Hitos!$L33="Esta semana",Hitos!$L33="Próximos 30 días")),BS33,"")</f>
        <v/>
      </c>
      <c r="BS33">
        <f>IF(AND(Hitos!$A33&lt;&gt;"",OR($C$5="(Todos)",Hitos!$I33=$C$5),OR($C$6="(Todas)",Hitos!$J33=$C$6),OR(Hitos!$L33="Vencido",Hitos!$L33="Esta semana",Hitos!$L33="Próximos 30 días")),N(BS32)+1,N(BS32))</f>
        <v/>
      </c>
    </row>
    <row r="34" ht="17" customHeight="1">
      <c r="B34" s="24">
        <f>IF($BH34="","",INDEX(Proyectos!$A$2:$A$41,$BH34))</f>
        <v/>
      </c>
      <c r="C34" s="19">
        <f>IF($BH34="","",INDEX(Proyectos!$B$2:$B$41,$BH34))</f>
        <v/>
      </c>
      <c r="D34" s="19">
        <f>IF($BH34="","",INDEX(Proyectos!$D$2:$D$41,$BH34))</f>
        <v/>
      </c>
      <c r="E34" s="19">
        <f>IF($BH34="","",INDEX(Proyectos!$E$2:$E$41,$BH34))</f>
        <v/>
      </c>
      <c r="F34" s="24">
        <f>IF($BH34="","",INDEX(Proyectos!$G$2:$G$41,$BH34))</f>
        <v/>
      </c>
      <c r="G34" s="24">
        <f>IF($BH34="","",INDEX(Proyectos!$H$2:$H$41,$BH34))</f>
        <v/>
      </c>
      <c r="H34" s="24">
        <f>IF($BH34="","",INDEX(Proyectos!$I$2:$I$41,$BH34))</f>
        <v/>
      </c>
      <c r="I34" s="25">
        <f>IF($BH34="","",INDEX(Proyectos!$K$2:$K$41,$BH34))</f>
        <v/>
      </c>
      <c r="J34" s="21">
        <f>IF($BH34="","",INDEX(Proyectos!$L$2:$L$41,$BH34))</f>
        <v/>
      </c>
      <c r="K34" s="21">
        <f>IF($BH34="","",INDEX(Proyectos!$U$2:$U$41,$BH34))</f>
        <v/>
      </c>
      <c r="L34" s="26">
        <f>IF($BH34="","",INDEX(Proyectos!$V$2:$V$41,$BH34))</f>
        <v/>
      </c>
      <c r="M34" s="24">
        <f>IF($BH34="","",INDEX(Proyectos!$W$2:$W$41,$BH34))</f>
        <v/>
      </c>
      <c r="N34" s="31">
        <f>IF($BH34="","",INDEX(Proyectos!$N$2:$N$41,$BH34))</f>
        <v/>
      </c>
      <c r="O34" s="31">
        <f>IF($BH34="","",INDEX(Proyectos!$O$2:$O$41,$BH34))</f>
        <v/>
      </c>
      <c r="P34" s="21">
        <f>IF($BH34="","",INDEX(Proyectos!$S$2:$S$41,$BH34))</f>
        <v/>
      </c>
      <c r="Q34" s="21">
        <f>IF($BH34="","",INDEX(Proyectos!$Y$2:$Y$41,$BH34))</f>
        <v/>
      </c>
      <c r="R34" s="20">
        <f>IF($BH34="","",INDEX(Proyectos!$AB$2:$AB$41,$BH34))</f>
        <v/>
      </c>
      <c r="BH34">
        <f>IFERROR(MATCH(21,$BJ$2:$BJ$41,0),"")</f>
        <v/>
      </c>
      <c r="BJ34">
        <f>IF(AND(Proyectos!$A34&lt;&gt;"",OR($C$5="(Todos)",Proyectos!$C34=$C$5),OR($C$6="(Todas)",Proyectos!$D34=$C$6),OR($C$7="(Todos)",Proyectos!$H34=$C$7)),BK34,"")</f>
        <v/>
      </c>
      <c r="BK34">
        <f>IF(AND(Proyectos!$A34&lt;&gt;"",OR($C$5="(Todos)",Proyectos!$C34=$C$5),OR($C$6="(Todas)",Proyectos!$D34=$C$6),OR($C$7="(Todos)",Proyectos!$H34=$C$7)),N(BK33)+1,N(BK33))</f>
        <v/>
      </c>
      <c r="BN34">
        <f>IF(AND(KPIs!$A34&lt;&gt;"",OR($C$5="(Todos)",KPIs!$L34=$C$5),OR($C$6="(Todas)",KPIs!$M34=$C$6)),BO34,"")</f>
        <v/>
      </c>
      <c r="BO34">
        <f>IF(AND(KPIs!$A34&lt;&gt;"",OR($C$5="(Todos)",KPIs!$L34=$C$5),OR($C$6="(Todas)",KPIs!$M34=$C$6)),N(BO33)+1,N(BO33))</f>
        <v/>
      </c>
      <c r="BR34">
        <f>IF(AND(Hitos!$A34&lt;&gt;"",OR($C$5="(Todos)",Hitos!$I34=$C$5),OR($C$6="(Todas)",Hitos!$J34=$C$6),OR(Hitos!$L34="Vencido",Hitos!$L34="Esta semana",Hitos!$L34="Próximos 30 días")),BS34,"")</f>
        <v/>
      </c>
      <c r="BS34">
        <f>IF(AND(Hitos!$A34&lt;&gt;"",OR($C$5="(Todos)",Hitos!$I34=$C$5),OR($C$6="(Todas)",Hitos!$J34=$C$6),OR(Hitos!$L34="Vencido",Hitos!$L34="Esta semana",Hitos!$L34="Próximos 30 días")),N(BS33)+1,N(BS33))</f>
        <v/>
      </c>
    </row>
    <row r="35" ht="17" customHeight="1">
      <c r="B35" s="24">
        <f>IF($BH35="","",INDEX(Proyectos!$A$2:$A$41,$BH35))</f>
        <v/>
      </c>
      <c r="C35" s="19">
        <f>IF($BH35="","",INDEX(Proyectos!$B$2:$B$41,$BH35))</f>
        <v/>
      </c>
      <c r="D35" s="19">
        <f>IF($BH35="","",INDEX(Proyectos!$D$2:$D$41,$BH35))</f>
        <v/>
      </c>
      <c r="E35" s="19">
        <f>IF($BH35="","",INDEX(Proyectos!$E$2:$E$41,$BH35))</f>
        <v/>
      </c>
      <c r="F35" s="24">
        <f>IF($BH35="","",INDEX(Proyectos!$G$2:$G$41,$BH35))</f>
        <v/>
      </c>
      <c r="G35" s="24">
        <f>IF($BH35="","",INDEX(Proyectos!$H$2:$H$41,$BH35))</f>
        <v/>
      </c>
      <c r="H35" s="24">
        <f>IF($BH35="","",INDEX(Proyectos!$I$2:$I$41,$BH35))</f>
        <v/>
      </c>
      <c r="I35" s="25">
        <f>IF($BH35="","",INDEX(Proyectos!$K$2:$K$41,$BH35))</f>
        <v/>
      </c>
      <c r="J35" s="21">
        <f>IF($BH35="","",INDEX(Proyectos!$L$2:$L$41,$BH35))</f>
        <v/>
      </c>
      <c r="K35" s="21">
        <f>IF($BH35="","",INDEX(Proyectos!$U$2:$U$41,$BH35))</f>
        <v/>
      </c>
      <c r="L35" s="26">
        <f>IF($BH35="","",INDEX(Proyectos!$V$2:$V$41,$BH35))</f>
        <v/>
      </c>
      <c r="M35" s="24">
        <f>IF($BH35="","",INDEX(Proyectos!$W$2:$W$41,$BH35))</f>
        <v/>
      </c>
      <c r="N35" s="31">
        <f>IF($BH35="","",INDEX(Proyectos!$N$2:$N$41,$BH35))</f>
        <v/>
      </c>
      <c r="O35" s="31">
        <f>IF($BH35="","",INDEX(Proyectos!$O$2:$O$41,$BH35))</f>
        <v/>
      </c>
      <c r="P35" s="21">
        <f>IF($BH35="","",INDEX(Proyectos!$S$2:$S$41,$BH35))</f>
        <v/>
      </c>
      <c r="Q35" s="21">
        <f>IF($BH35="","",INDEX(Proyectos!$Y$2:$Y$41,$BH35))</f>
        <v/>
      </c>
      <c r="R35" s="20">
        <f>IF($BH35="","",INDEX(Proyectos!$AB$2:$AB$41,$BH35))</f>
        <v/>
      </c>
      <c r="BH35">
        <f>IFERROR(MATCH(22,$BJ$2:$BJ$41,0),"")</f>
        <v/>
      </c>
      <c r="BJ35">
        <f>IF(AND(Proyectos!$A35&lt;&gt;"",OR($C$5="(Todos)",Proyectos!$C35=$C$5),OR($C$6="(Todas)",Proyectos!$D35=$C$6),OR($C$7="(Todos)",Proyectos!$H35=$C$7)),BK35,"")</f>
        <v/>
      </c>
      <c r="BK35">
        <f>IF(AND(Proyectos!$A35&lt;&gt;"",OR($C$5="(Todos)",Proyectos!$C35=$C$5),OR($C$6="(Todas)",Proyectos!$D35=$C$6),OR($C$7="(Todos)",Proyectos!$H35=$C$7)),N(BK34)+1,N(BK34))</f>
        <v/>
      </c>
      <c r="BN35">
        <f>IF(AND(KPIs!$A35&lt;&gt;"",OR($C$5="(Todos)",KPIs!$L35=$C$5),OR($C$6="(Todas)",KPIs!$M35=$C$6)),BO35,"")</f>
        <v/>
      </c>
      <c r="BO35">
        <f>IF(AND(KPIs!$A35&lt;&gt;"",OR($C$5="(Todos)",KPIs!$L35=$C$5),OR($C$6="(Todas)",KPIs!$M35=$C$6)),N(BO34)+1,N(BO34))</f>
        <v/>
      </c>
      <c r="BR35">
        <f>IF(AND(Hitos!$A35&lt;&gt;"",OR($C$5="(Todos)",Hitos!$I35=$C$5),OR($C$6="(Todas)",Hitos!$J35=$C$6),OR(Hitos!$L35="Vencido",Hitos!$L35="Esta semana",Hitos!$L35="Próximos 30 días")),BS35,"")</f>
        <v/>
      </c>
      <c r="BS35">
        <f>IF(AND(Hitos!$A35&lt;&gt;"",OR($C$5="(Todos)",Hitos!$I35=$C$5),OR($C$6="(Todas)",Hitos!$J35=$C$6),OR(Hitos!$L35="Vencido",Hitos!$L35="Esta semana",Hitos!$L35="Próximos 30 días")),N(BS34)+1,N(BS34))</f>
        <v/>
      </c>
    </row>
    <row r="36" ht="17" customHeight="1">
      <c r="B36" s="24">
        <f>IF($BH36="","",INDEX(Proyectos!$A$2:$A$41,$BH36))</f>
        <v/>
      </c>
      <c r="C36" s="19">
        <f>IF($BH36="","",INDEX(Proyectos!$B$2:$B$41,$BH36))</f>
        <v/>
      </c>
      <c r="D36" s="19">
        <f>IF($BH36="","",INDEX(Proyectos!$D$2:$D$41,$BH36))</f>
        <v/>
      </c>
      <c r="E36" s="19">
        <f>IF($BH36="","",INDEX(Proyectos!$E$2:$E$41,$BH36))</f>
        <v/>
      </c>
      <c r="F36" s="24">
        <f>IF($BH36="","",INDEX(Proyectos!$G$2:$G$41,$BH36))</f>
        <v/>
      </c>
      <c r="G36" s="24">
        <f>IF($BH36="","",INDEX(Proyectos!$H$2:$H$41,$BH36))</f>
        <v/>
      </c>
      <c r="H36" s="24">
        <f>IF($BH36="","",INDEX(Proyectos!$I$2:$I$41,$BH36))</f>
        <v/>
      </c>
      <c r="I36" s="25">
        <f>IF($BH36="","",INDEX(Proyectos!$K$2:$K$41,$BH36))</f>
        <v/>
      </c>
      <c r="J36" s="21">
        <f>IF($BH36="","",INDEX(Proyectos!$L$2:$L$41,$BH36))</f>
        <v/>
      </c>
      <c r="K36" s="21">
        <f>IF($BH36="","",INDEX(Proyectos!$U$2:$U$41,$BH36))</f>
        <v/>
      </c>
      <c r="L36" s="26">
        <f>IF($BH36="","",INDEX(Proyectos!$V$2:$V$41,$BH36))</f>
        <v/>
      </c>
      <c r="M36" s="24">
        <f>IF($BH36="","",INDEX(Proyectos!$W$2:$W$41,$BH36))</f>
        <v/>
      </c>
      <c r="N36" s="31">
        <f>IF($BH36="","",INDEX(Proyectos!$N$2:$N$41,$BH36))</f>
        <v/>
      </c>
      <c r="O36" s="31">
        <f>IF($BH36="","",INDEX(Proyectos!$O$2:$O$41,$BH36))</f>
        <v/>
      </c>
      <c r="P36" s="21">
        <f>IF($BH36="","",INDEX(Proyectos!$S$2:$S$41,$BH36))</f>
        <v/>
      </c>
      <c r="Q36" s="21">
        <f>IF($BH36="","",INDEX(Proyectos!$Y$2:$Y$41,$BH36))</f>
        <v/>
      </c>
      <c r="R36" s="20">
        <f>IF($BH36="","",INDEX(Proyectos!$AB$2:$AB$41,$BH36))</f>
        <v/>
      </c>
      <c r="BH36">
        <f>IFERROR(MATCH(23,$BJ$2:$BJ$41,0),"")</f>
        <v/>
      </c>
      <c r="BJ36">
        <f>IF(AND(Proyectos!$A36&lt;&gt;"",OR($C$5="(Todos)",Proyectos!$C36=$C$5),OR($C$6="(Todas)",Proyectos!$D36=$C$6),OR($C$7="(Todos)",Proyectos!$H36=$C$7)),BK36,"")</f>
        <v/>
      </c>
      <c r="BK36">
        <f>IF(AND(Proyectos!$A36&lt;&gt;"",OR($C$5="(Todos)",Proyectos!$C36=$C$5),OR($C$6="(Todas)",Proyectos!$D36=$C$6),OR($C$7="(Todos)",Proyectos!$H36=$C$7)),N(BK35)+1,N(BK35))</f>
        <v/>
      </c>
      <c r="BN36">
        <f>IF(AND(KPIs!$A36&lt;&gt;"",OR($C$5="(Todos)",KPIs!$L36=$C$5),OR($C$6="(Todas)",KPIs!$M36=$C$6)),BO36,"")</f>
        <v/>
      </c>
      <c r="BO36">
        <f>IF(AND(KPIs!$A36&lt;&gt;"",OR($C$5="(Todos)",KPIs!$L36=$C$5),OR($C$6="(Todas)",KPIs!$M36=$C$6)),N(BO35)+1,N(BO35))</f>
        <v/>
      </c>
      <c r="BR36">
        <f>IF(AND(Hitos!$A36&lt;&gt;"",OR($C$5="(Todos)",Hitos!$I36=$C$5),OR($C$6="(Todas)",Hitos!$J36=$C$6),OR(Hitos!$L36="Vencido",Hitos!$L36="Esta semana",Hitos!$L36="Próximos 30 días")),BS36,"")</f>
        <v/>
      </c>
      <c r="BS36">
        <f>IF(AND(Hitos!$A36&lt;&gt;"",OR($C$5="(Todos)",Hitos!$I36=$C$5),OR($C$6="(Todas)",Hitos!$J36=$C$6),OR(Hitos!$L36="Vencido",Hitos!$L36="Esta semana",Hitos!$L36="Próximos 30 días")),N(BS35)+1,N(BS35))</f>
        <v/>
      </c>
    </row>
    <row r="37" ht="17" customHeight="1">
      <c r="B37" s="24">
        <f>IF($BH37="","",INDEX(Proyectos!$A$2:$A$41,$BH37))</f>
        <v/>
      </c>
      <c r="C37" s="19">
        <f>IF($BH37="","",INDEX(Proyectos!$B$2:$B$41,$BH37))</f>
        <v/>
      </c>
      <c r="D37" s="19">
        <f>IF($BH37="","",INDEX(Proyectos!$D$2:$D$41,$BH37))</f>
        <v/>
      </c>
      <c r="E37" s="19">
        <f>IF($BH37="","",INDEX(Proyectos!$E$2:$E$41,$BH37))</f>
        <v/>
      </c>
      <c r="F37" s="24">
        <f>IF($BH37="","",INDEX(Proyectos!$G$2:$G$41,$BH37))</f>
        <v/>
      </c>
      <c r="G37" s="24">
        <f>IF($BH37="","",INDEX(Proyectos!$H$2:$H$41,$BH37))</f>
        <v/>
      </c>
      <c r="H37" s="24">
        <f>IF($BH37="","",INDEX(Proyectos!$I$2:$I$41,$BH37))</f>
        <v/>
      </c>
      <c r="I37" s="25">
        <f>IF($BH37="","",INDEX(Proyectos!$K$2:$K$41,$BH37))</f>
        <v/>
      </c>
      <c r="J37" s="21">
        <f>IF($BH37="","",INDEX(Proyectos!$L$2:$L$41,$BH37))</f>
        <v/>
      </c>
      <c r="K37" s="21">
        <f>IF($BH37="","",INDEX(Proyectos!$U$2:$U$41,$BH37))</f>
        <v/>
      </c>
      <c r="L37" s="26">
        <f>IF($BH37="","",INDEX(Proyectos!$V$2:$V$41,$BH37))</f>
        <v/>
      </c>
      <c r="M37" s="24">
        <f>IF($BH37="","",INDEX(Proyectos!$W$2:$W$41,$BH37))</f>
        <v/>
      </c>
      <c r="N37" s="31">
        <f>IF($BH37="","",INDEX(Proyectos!$N$2:$N$41,$BH37))</f>
        <v/>
      </c>
      <c r="O37" s="31">
        <f>IF($BH37="","",INDEX(Proyectos!$O$2:$O$41,$BH37))</f>
        <v/>
      </c>
      <c r="P37" s="21">
        <f>IF($BH37="","",INDEX(Proyectos!$S$2:$S$41,$BH37))</f>
        <v/>
      </c>
      <c r="Q37" s="21">
        <f>IF($BH37="","",INDEX(Proyectos!$Y$2:$Y$41,$BH37))</f>
        <v/>
      </c>
      <c r="R37" s="20">
        <f>IF($BH37="","",INDEX(Proyectos!$AB$2:$AB$41,$BH37))</f>
        <v/>
      </c>
      <c r="BH37">
        <f>IFERROR(MATCH(24,$BJ$2:$BJ$41,0),"")</f>
        <v/>
      </c>
      <c r="BJ37">
        <f>IF(AND(Proyectos!$A37&lt;&gt;"",OR($C$5="(Todos)",Proyectos!$C37=$C$5),OR($C$6="(Todas)",Proyectos!$D37=$C$6),OR($C$7="(Todos)",Proyectos!$H37=$C$7)),BK37,"")</f>
        <v/>
      </c>
      <c r="BK37">
        <f>IF(AND(Proyectos!$A37&lt;&gt;"",OR($C$5="(Todos)",Proyectos!$C37=$C$5),OR($C$6="(Todas)",Proyectos!$D37=$C$6),OR($C$7="(Todos)",Proyectos!$H37=$C$7)),N(BK36)+1,N(BK36))</f>
        <v/>
      </c>
      <c r="BN37">
        <f>IF(AND(KPIs!$A37&lt;&gt;"",OR($C$5="(Todos)",KPIs!$L37=$C$5),OR($C$6="(Todas)",KPIs!$M37=$C$6)),BO37,"")</f>
        <v/>
      </c>
      <c r="BO37">
        <f>IF(AND(KPIs!$A37&lt;&gt;"",OR($C$5="(Todos)",KPIs!$L37=$C$5),OR($C$6="(Todas)",KPIs!$M37=$C$6)),N(BO36)+1,N(BO36))</f>
        <v/>
      </c>
      <c r="BR37">
        <f>IF(AND(Hitos!$A37&lt;&gt;"",OR($C$5="(Todos)",Hitos!$I37=$C$5),OR($C$6="(Todas)",Hitos!$J37=$C$6),OR(Hitos!$L37="Vencido",Hitos!$L37="Esta semana",Hitos!$L37="Próximos 30 días")),BS37,"")</f>
        <v/>
      </c>
      <c r="BS37">
        <f>IF(AND(Hitos!$A37&lt;&gt;"",OR($C$5="(Todos)",Hitos!$I37=$C$5),OR($C$6="(Todas)",Hitos!$J37=$C$6),OR(Hitos!$L37="Vencido",Hitos!$L37="Esta semana",Hitos!$L37="Próximos 30 días")),N(BS36)+1,N(BS36))</f>
        <v/>
      </c>
    </row>
    <row r="38" ht="17" customHeight="1">
      <c r="B38" s="24">
        <f>IF($BH38="","",INDEX(Proyectos!$A$2:$A$41,$BH38))</f>
        <v/>
      </c>
      <c r="C38" s="19">
        <f>IF($BH38="","",INDEX(Proyectos!$B$2:$B$41,$BH38))</f>
        <v/>
      </c>
      <c r="D38" s="19">
        <f>IF($BH38="","",INDEX(Proyectos!$D$2:$D$41,$BH38))</f>
        <v/>
      </c>
      <c r="E38" s="19">
        <f>IF($BH38="","",INDEX(Proyectos!$E$2:$E$41,$BH38))</f>
        <v/>
      </c>
      <c r="F38" s="24">
        <f>IF($BH38="","",INDEX(Proyectos!$G$2:$G$41,$BH38))</f>
        <v/>
      </c>
      <c r="G38" s="24">
        <f>IF($BH38="","",INDEX(Proyectos!$H$2:$H$41,$BH38))</f>
        <v/>
      </c>
      <c r="H38" s="24">
        <f>IF($BH38="","",INDEX(Proyectos!$I$2:$I$41,$BH38))</f>
        <v/>
      </c>
      <c r="I38" s="25">
        <f>IF($BH38="","",INDEX(Proyectos!$K$2:$K$41,$BH38))</f>
        <v/>
      </c>
      <c r="J38" s="21">
        <f>IF($BH38="","",INDEX(Proyectos!$L$2:$L$41,$BH38))</f>
        <v/>
      </c>
      <c r="K38" s="21">
        <f>IF($BH38="","",INDEX(Proyectos!$U$2:$U$41,$BH38))</f>
        <v/>
      </c>
      <c r="L38" s="26">
        <f>IF($BH38="","",INDEX(Proyectos!$V$2:$V$41,$BH38))</f>
        <v/>
      </c>
      <c r="M38" s="24">
        <f>IF($BH38="","",INDEX(Proyectos!$W$2:$W$41,$BH38))</f>
        <v/>
      </c>
      <c r="N38" s="31">
        <f>IF($BH38="","",INDEX(Proyectos!$N$2:$N$41,$BH38))</f>
        <v/>
      </c>
      <c r="O38" s="31">
        <f>IF($BH38="","",INDEX(Proyectos!$O$2:$O$41,$BH38))</f>
        <v/>
      </c>
      <c r="P38" s="21">
        <f>IF($BH38="","",INDEX(Proyectos!$S$2:$S$41,$BH38))</f>
        <v/>
      </c>
      <c r="Q38" s="21">
        <f>IF($BH38="","",INDEX(Proyectos!$Y$2:$Y$41,$BH38))</f>
        <v/>
      </c>
      <c r="R38" s="20">
        <f>IF($BH38="","",INDEX(Proyectos!$AB$2:$AB$41,$BH38))</f>
        <v/>
      </c>
      <c r="BH38">
        <f>IFERROR(MATCH(25,$BJ$2:$BJ$41,0),"")</f>
        <v/>
      </c>
      <c r="BJ38">
        <f>IF(AND(Proyectos!$A38&lt;&gt;"",OR($C$5="(Todos)",Proyectos!$C38=$C$5),OR($C$6="(Todas)",Proyectos!$D38=$C$6),OR($C$7="(Todos)",Proyectos!$H38=$C$7)),BK38,"")</f>
        <v/>
      </c>
      <c r="BK38">
        <f>IF(AND(Proyectos!$A38&lt;&gt;"",OR($C$5="(Todos)",Proyectos!$C38=$C$5),OR($C$6="(Todas)",Proyectos!$D38=$C$6),OR($C$7="(Todos)",Proyectos!$H38=$C$7)),N(BK37)+1,N(BK37))</f>
        <v/>
      </c>
      <c r="BN38">
        <f>IF(AND(KPIs!$A38&lt;&gt;"",OR($C$5="(Todos)",KPIs!$L38=$C$5),OR($C$6="(Todas)",KPIs!$M38=$C$6)),BO38,"")</f>
        <v/>
      </c>
      <c r="BO38">
        <f>IF(AND(KPIs!$A38&lt;&gt;"",OR($C$5="(Todos)",KPIs!$L38=$C$5),OR($C$6="(Todas)",KPIs!$M38=$C$6)),N(BO37)+1,N(BO37))</f>
        <v/>
      </c>
      <c r="BR38">
        <f>IF(AND(Hitos!$A38&lt;&gt;"",OR($C$5="(Todos)",Hitos!$I38=$C$5),OR($C$6="(Todas)",Hitos!$J38=$C$6),OR(Hitos!$L38="Vencido",Hitos!$L38="Esta semana",Hitos!$L38="Próximos 30 días")),BS38,"")</f>
        <v/>
      </c>
      <c r="BS38">
        <f>IF(AND(Hitos!$A38&lt;&gt;"",OR($C$5="(Todos)",Hitos!$I38=$C$5),OR($C$6="(Todas)",Hitos!$J38=$C$6),OR(Hitos!$L38="Vencido",Hitos!$L38="Esta semana",Hitos!$L38="Próximos 30 días")),N(BS37)+1,N(BS37))</f>
        <v/>
      </c>
    </row>
    <row r="39" ht="17" customHeight="1">
      <c r="B39" s="24">
        <f>IF($BH39="","",INDEX(Proyectos!$A$2:$A$41,$BH39))</f>
        <v/>
      </c>
      <c r="C39" s="19">
        <f>IF($BH39="","",INDEX(Proyectos!$B$2:$B$41,$BH39))</f>
        <v/>
      </c>
      <c r="D39" s="19">
        <f>IF($BH39="","",INDEX(Proyectos!$D$2:$D$41,$BH39))</f>
        <v/>
      </c>
      <c r="E39" s="19">
        <f>IF($BH39="","",INDEX(Proyectos!$E$2:$E$41,$BH39))</f>
        <v/>
      </c>
      <c r="F39" s="24">
        <f>IF($BH39="","",INDEX(Proyectos!$G$2:$G$41,$BH39))</f>
        <v/>
      </c>
      <c r="G39" s="24">
        <f>IF($BH39="","",INDEX(Proyectos!$H$2:$H$41,$BH39))</f>
        <v/>
      </c>
      <c r="H39" s="24">
        <f>IF($BH39="","",INDEX(Proyectos!$I$2:$I$41,$BH39))</f>
        <v/>
      </c>
      <c r="I39" s="25">
        <f>IF($BH39="","",INDEX(Proyectos!$K$2:$K$41,$BH39))</f>
        <v/>
      </c>
      <c r="J39" s="21">
        <f>IF($BH39="","",INDEX(Proyectos!$L$2:$L$41,$BH39))</f>
        <v/>
      </c>
      <c r="K39" s="21">
        <f>IF($BH39="","",INDEX(Proyectos!$U$2:$U$41,$BH39))</f>
        <v/>
      </c>
      <c r="L39" s="26">
        <f>IF($BH39="","",INDEX(Proyectos!$V$2:$V$41,$BH39))</f>
        <v/>
      </c>
      <c r="M39" s="24">
        <f>IF($BH39="","",INDEX(Proyectos!$W$2:$W$41,$BH39))</f>
        <v/>
      </c>
      <c r="N39" s="31">
        <f>IF($BH39="","",INDEX(Proyectos!$N$2:$N$41,$BH39))</f>
        <v/>
      </c>
      <c r="O39" s="31">
        <f>IF($BH39="","",INDEX(Proyectos!$O$2:$O$41,$BH39))</f>
        <v/>
      </c>
      <c r="P39" s="21">
        <f>IF($BH39="","",INDEX(Proyectos!$S$2:$S$41,$BH39))</f>
        <v/>
      </c>
      <c r="Q39" s="21">
        <f>IF($BH39="","",INDEX(Proyectos!$Y$2:$Y$41,$BH39))</f>
        <v/>
      </c>
      <c r="R39" s="20">
        <f>IF($BH39="","",INDEX(Proyectos!$AB$2:$AB$41,$BH39))</f>
        <v/>
      </c>
      <c r="BH39">
        <f>IFERROR(MATCH(26,$BJ$2:$BJ$41,0),"")</f>
        <v/>
      </c>
      <c r="BJ39">
        <f>IF(AND(Proyectos!$A39&lt;&gt;"",OR($C$5="(Todos)",Proyectos!$C39=$C$5),OR($C$6="(Todas)",Proyectos!$D39=$C$6),OR($C$7="(Todos)",Proyectos!$H39=$C$7)),BK39,"")</f>
        <v/>
      </c>
      <c r="BK39">
        <f>IF(AND(Proyectos!$A39&lt;&gt;"",OR($C$5="(Todos)",Proyectos!$C39=$C$5),OR($C$6="(Todas)",Proyectos!$D39=$C$6),OR($C$7="(Todos)",Proyectos!$H39=$C$7)),N(BK38)+1,N(BK38))</f>
        <v/>
      </c>
      <c r="BN39">
        <f>IF(AND(KPIs!$A39&lt;&gt;"",OR($C$5="(Todos)",KPIs!$L39=$C$5),OR($C$6="(Todas)",KPIs!$M39=$C$6)),BO39,"")</f>
        <v/>
      </c>
      <c r="BO39">
        <f>IF(AND(KPIs!$A39&lt;&gt;"",OR($C$5="(Todos)",KPIs!$L39=$C$5),OR($C$6="(Todas)",KPIs!$M39=$C$6)),N(BO38)+1,N(BO38))</f>
        <v/>
      </c>
      <c r="BR39">
        <f>IF(AND(Hitos!$A39&lt;&gt;"",OR($C$5="(Todos)",Hitos!$I39=$C$5),OR($C$6="(Todas)",Hitos!$J39=$C$6),OR(Hitos!$L39="Vencido",Hitos!$L39="Esta semana",Hitos!$L39="Próximos 30 días")),BS39,"")</f>
        <v/>
      </c>
      <c r="BS39">
        <f>IF(AND(Hitos!$A39&lt;&gt;"",OR($C$5="(Todos)",Hitos!$I39=$C$5),OR($C$6="(Todas)",Hitos!$J39=$C$6),OR(Hitos!$L39="Vencido",Hitos!$L39="Esta semana",Hitos!$L39="Próximos 30 días")),N(BS38)+1,N(BS38))</f>
        <v/>
      </c>
    </row>
    <row r="40" ht="17" customHeight="1">
      <c r="B40" s="24">
        <f>IF($BH40="","",INDEX(Proyectos!$A$2:$A$41,$BH40))</f>
        <v/>
      </c>
      <c r="C40" s="19">
        <f>IF($BH40="","",INDEX(Proyectos!$B$2:$B$41,$BH40))</f>
        <v/>
      </c>
      <c r="D40" s="19">
        <f>IF($BH40="","",INDEX(Proyectos!$D$2:$D$41,$BH40))</f>
        <v/>
      </c>
      <c r="E40" s="19">
        <f>IF($BH40="","",INDEX(Proyectos!$E$2:$E$41,$BH40))</f>
        <v/>
      </c>
      <c r="F40" s="24">
        <f>IF($BH40="","",INDEX(Proyectos!$G$2:$G$41,$BH40))</f>
        <v/>
      </c>
      <c r="G40" s="24">
        <f>IF($BH40="","",INDEX(Proyectos!$H$2:$H$41,$BH40))</f>
        <v/>
      </c>
      <c r="H40" s="24">
        <f>IF($BH40="","",INDEX(Proyectos!$I$2:$I$41,$BH40))</f>
        <v/>
      </c>
      <c r="I40" s="25">
        <f>IF($BH40="","",INDEX(Proyectos!$K$2:$K$41,$BH40))</f>
        <v/>
      </c>
      <c r="J40" s="21">
        <f>IF($BH40="","",INDEX(Proyectos!$L$2:$L$41,$BH40))</f>
        <v/>
      </c>
      <c r="K40" s="21">
        <f>IF($BH40="","",INDEX(Proyectos!$U$2:$U$41,$BH40))</f>
        <v/>
      </c>
      <c r="L40" s="26">
        <f>IF($BH40="","",INDEX(Proyectos!$V$2:$V$41,$BH40))</f>
        <v/>
      </c>
      <c r="M40" s="24">
        <f>IF($BH40="","",INDEX(Proyectos!$W$2:$W$41,$BH40))</f>
        <v/>
      </c>
      <c r="N40" s="31">
        <f>IF($BH40="","",INDEX(Proyectos!$N$2:$N$41,$BH40))</f>
        <v/>
      </c>
      <c r="O40" s="31">
        <f>IF($BH40="","",INDEX(Proyectos!$O$2:$O$41,$BH40))</f>
        <v/>
      </c>
      <c r="P40" s="21">
        <f>IF($BH40="","",INDEX(Proyectos!$S$2:$S$41,$BH40))</f>
        <v/>
      </c>
      <c r="Q40" s="21">
        <f>IF($BH40="","",INDEX(Proyectos!$Y$2:$Y$41,$BH40))</f>
        <v/>
      </c>
      <c r="R40" s="20">
        <f>IF($BH40="","",INDEX(Proyectos!$AB$2:$AB$41,$BH40))</f>
        <v/>
      </c>
      <c r="BH40">
        <f>IFERROR(MATCH(27,$BJ$2:$BJ$41,0),"")</f>
        <v/>
      </c>
      <c r="BJ40">
        <f>IF(AND(Proyectos!$A40&lt;&gt;"",OR($C$5="(Todos)",Proyectos!$C40=$C$5),OR($C$6="(Todas)",Proyectos!$D40=$C$6),OR($C$7="(Todos)",Proyectos!$H40=$C$7)),BK40,"")</f>
        <v/>
      </c>
      <c r="BK40">
        <f>IF(AND(Proyectos!$A40&lt;&gt;"",OR($C$5="(Todos)",Proyectos!$C40=$C$5),OR($C$6="(Todas)",Proyectos!$D40=$C$6),OR($C$7="(Todos)",Proyectos!$H40=$C$7)),N(BK39)+1,N(BK39))</f>
        <v/>
      </c>
      <c r="BN40">
        <f>IF(AND(KPIs!$A40&lt;&gt;"",OR($C$5="(Todos)",KPIs!$L40=$C$5),OR($C$6="(Todas)",KPIs!$M40=$C$6)),BO40,"")</f>
        <v/>
      </c>
      <c r="BO40">
        <f>IF(AND(KPIs!$A40&lt;&gt;"",OR($C$5="(Todos)",KPIs!$L40=$C$5),OR($C$6="(Todas)",KPIs!$M40=$C$6)),N(BO39)+1,N(BO39))</f>
        <v/>
      </c>
      <c r="BR40">
        <f>IF(AND(Hitos!$A40&lt;&gt;"",OR($C$5="(Todos)",Hitos!$I40=$C$5),OR($C$6="(Todas)",Hitos!$J40=$C$6),OR(Hitos!$L40="Vencido",Hitos!$L40="Esta semana",Hitos!$L40="Próximos 30 días")),BS40,"")</f>
        <v/>
      </c>
      <c r="BS40">
        <f>IF(AND(Hitos!$A40&lt;&gt;"",OR($C$5="(Todos)",Hitos!$I40=$C$5),OR($C$6="(Todas)",Hitos!$J40=$C$6),OR(Hitos!$L40="Vencido",Hitos!$L40="Esta semana",Hitos!$L40="Próximos 30 días")),N(BS39)+1,N(BS39))</f>
        <v/>
      </c>
    </row>
    <row r="41" ht="17" customHeight="1">
      <c r="B41" s="24">
        <f>IF($BH41="","",INDEX(Proyectos!$A$2:$A$41,$BH41))</f>
        <v/>
      </c>
      <c r="C41" s="19">
        <f>IF($BH41="","",INDEX(Proyectos!$B$2:$B$41,$BH41))</f>
        <v/>
      </c>
      <c r="D41" s="19">
        <f>IF($BH41="","",INDEX(Proyectos!$D$2:$D$41,$BH41))</f>
        <v/>
      </c>
      <c r="E41" s="19">
        <f>IF($BH41="","",INDEX(Proyectos!$E$2:$E$41,$BH41))</f>
        <v/>
      </c>
      <c r="F41" s="24">
        <f>IF($BH41="","",INDEX(Proyectos!$G$2:$G$41,$BH41))</f>
        <v/>
      </c>
      <c r="G41" s="24">
        <f>IF($BH41="","",INDEX(Proyectos!$H$2:$H$41,$BH41))</f>
        <v/>
      </c>
      <c r="H41" s="24">
        <f>IF($BH41="","",INDEX(Proyectos!$I$2:$I$41,$BH41))</f>
        <v/>
      </c>
      <c r="I41" s="25">
        <f>IF($BH41="","",INDEX(Proyectos!$K$2:$K$41,$BH41))</f>
        <v/>
      </c>
      <c r="J41" s="21">
        <f>IF($BH41="","",INDEX(Proyectos!$L$2:$L$41,$BH41))</f>
        <v/>
      </c>
      <c r="K41" s="21">
        <f>IF($BH41="","",INDEX(Proyectos!$U$2:$U$41,$BH41))</f>
        <v/>
      </c>
      <c r="L41" s="26">
        <f>IF($BH41="","",INDEX(Proyectos!$V$2:$V$41,$BH41))</f>
        <v/>
      </c>
      <c r="M41" s="24">
        <f>IF($BH41="","",INDEX(Proyectos!$W$2:$W$41,$BH41))</f>
        <v/>
      </c>
      <c r="N41" s="31">
        <f>IF($BH41="","",INDEX(Proyectos!$N$2:$N$41,$BH41))</f>
        <v/>
      </c>
      <c r="O41" s="31">
        <f>IF($BH41="","",INDEX(Proyectos!$O$2:$O$41,$BH41))</f>
        <v/>
      </c>
      <c r="P41" s="21">
        <f>IF($BH41="","",INDEX(Proyectos!$S$2:$S$41,$BH41))</f>
        <v/>
      </c>
      <c r="Q41" s="21">
        <f>IF($BH41="","",INDEX(Proyectos!$Y$2:$Y$41,$BH41))</f>
        <v/>
      </c>
      <c r="R41" s="20">
        <f>IF($BH41="","",INDEX(Proyectos!$AB$2:$AB$41,$BH41))</f>
        <v/>
      </c>
      <c r="BH41">
        <f>IFERROR(MATCH(28,$BJ$2:$BJ$41,0),"")</f>
        <v/>
      </c>
      <c r="BJ41">
        <f>IF(AND(Proyectos!$A41&lt;&gt;"",OR($C$5="(Todos)",Proyectos!$C41=$C$5),OR($C$6="(Todas)",Proyectos!$D41=$C$6),OR($C$7="(Todos)",Proyectos!$H41=$C$7)),BK41,"")</f>
        <v/>
      </c>
      <c r="BK41">
        <f>IF(AND(Proyectos!$A41&lt;&gt;"",OR($C$5="(Todos)",Proyectos!$C41=$C$5),OR($C$6="(Todas)",Proyectos!$D41=$C$6),OR($C$7="(Todos)",Proyectos!$H41=$C$7)),N(BK40)+1,N(BK40))</f>
        <v/>
      </c>
      <c r="BN41">
        <f>IF(AND(KPIs!$A41&lt;&gt;"",OR($C$5="(Todos)",KPIs!$L41=$C$5),OR($C$6="(Todas)",KPIs!$M41=$C$6)),BO41,"")</f>
        <v/>
      </c>
      <c r="BO41">
        <f>IF(AND(KPIs!$A41&lt;&gt;"",OR($C$5="(Todos)",KPIs!$L41=$C$5),OR($C$6="(Todas)",KPIs!$M41=$C$6)),N(BO40)+1,N(BO40))</f>
        <v/>
      </c>
      <c r="BR41">
        <f>IF(AND(Hitos!$A41&lt;&gt;"",OR($C$5="(Todos)",Hitos!$I41=$C$5),OR($C$6="(Todas)",Hitos!$J41=$C$6),OR(Hitos!$L41="Vencido",Hitos!$L41="Esta semana",Hitos!$L41="Próximos 30 días")),BS41,"")</f>
        <v/>
      </c>
      <c r="BS41">
        <f>IF(AND(Hitos!$A41&lt;&gt;"",OR($C$5="(Todos)",Hitos!$I41=$C$5),OR($C$6="(Todas)",Hitos!$J41=$C$6),OR(Hitos!$L41="Vencido",Hitos!$L41="Esta semana",Hitos!$L41="Próximos 30 días")),N(BS40)+1,N(BS40))</f>
        <v/>
      </c>
    </row>
    <row r="42" ht="17" customHeight="1">
      <c r="B42" s="24">
        <f>IF($BH42="","",INDEX(Proyectos!$A$2:$A$41,$BH42))</f>
        <v/>
      </c>
      <c r="C42" s="19">
        <f>IF($BH42="","",INDEX(Proyectos!$B$2:$B$41,$BH42))</f>
        <v/>
      </c>
      <c r="D42" s="19">
        <f>IF($BH42="","",INDEX(Proyectos!$D$2:$D$41,$BH42))</f>
        <v/>
      </c>
      <c r="E42" s="19">
        <f>IF($BH42="","",INDEX(Proyectos!$E$2:$E$41,$BH42))</f>
        <v/>
      </c>
      <c r="F42" s="24">
        <f>IF($BH42="","",INDEX(Proyectos!$G$2:$G$41,$BH42))</f>
        <v/>
      </c>
      <c r="G42" s="24">
        <f>IF($BH42="","",INDEX(Proyectos!$H$2:$H$41,$BH42))</f>
        <v/>
      </c>
      <c r="H42" s="24">
        <f>IF($BH42="","",INDEX(Proyectos!$I$2:$I$41,$BH42))</f>
        <v/>
      </c>
      <c r="I42" s="25">
        <f>IF($BH42="","",INDEX(Proyectos!$K$2:$K$41,$BH42))</f>
        <v/>
      </c>
      <c r="J42" s="21">
        <f>IF($BH42="","",INDEX(Proyectos!$L$2:$L$41,$BH42))</f>
        <v/>
      </c>
      <c r="K42" s="21">
        <f>IF($BH42="","",INDEX(Proyectos!$U$2:$U$41,$BH42))</f>
        <v/>
      </c>
      <c r="L42" s="26">
        <f>IF($BH42="","",INDEX(Proyectos!$V$2:$V$41,$BH42))</f>
        <v/>
      </c>
      <c r="M42" s="24">
        <f>IF($BH42="","",INDEX(Proyectos!$W$2:$W$41,$BH42))</f>
        <v/>
      </c>
      <c r="N42" s="31">
        <f>IF($BH42="","",INDEX(Proyectos!$N$2:$N$41,$BH42))</f>
        <v/>
      </c>
      <c r="O42" s="31">
        <f>IF($BH42="","",INDEX(Proyectos!$O$2:$O$41,$BH42))</f>
        <v/>
      </c>
      <c r="P42" s="21">
        <f>IF($BH42="","",INDEX(Proyectos!$S$2:$S$41,$BH42))</f>
        <v/>
      </c>
      <c r="Q42" s="21">
        <f>IF($BH42="","",INDEX(Proyectos!$Y$2:$Y$41,$BH42))</f>
        <v/>
      </c>
      <c r="R42" s="20">
        <f>IF($BH42="","",INDEX(Proyectos!$AB$2:$AB$41,$BH42))</f>
        <v/>
      </c>
      <c r="BH42">
        <f>IFERROR(MATCH(29,$BJ$2:$BJ$41,0),"")</f>
        <v/>
      </c>
      <c r="BN42">
        <f>IF(AND(KPIs!$A42&lt;&gt;"",OR($C$5="(Todos)",KPIs!$L42=$C$5),OR($C$6="(Todas)",KPIs!$M42=$C$6)),BO42,"")</f>
        <v/>
      </c>
      <c r="BO42">
        <f>IF(AND(KPIs!$A42&lt;&gt;"",OR($C$5="(Todos)",KPIs!$L42=$C$5),OR($C$6="(Todas)",KPIs!$M42=$C$6)),N(BO41)+1,N(BO41))</f>
        <v/>
      </c>
      <c r="BR42">
        <f>IF(AND(Hitos!$A42&lt;&gt;"",OR($C$5="(Todos)",Hitos!$I42=$C$5),OR($C$6="(Todas)",Hitos!$J42=$C$6),OR(Hitos!$L42="Vencido",Hitos!$L42="Esta semana",Hitos!$L42="Próximos 30 días")),BS42,"")</f>
        <v/>
      </c>
      <c r="BS42">
        <f>IF(AND(Hitos!$A42&lt;&gt;"",OR($C$5="(Todos)",Hitos!$I42=$C$5),OR($C$6="(Todas)",Hitos!$J42=$C$6),OR(Hitos!$L42="Vencido",Hitos!$L42="Esta semana",Hitos!$L42="Próximos 30 días")),N(BS41)+1,N(BS41))</f>
        <v/>
      </c>
    </row>
    <row r="43" ht="17" customHeight="1">
      <c r="B43" s="24">
        <f>IF($BH43="","",INDEX(Proyectos!$A$2:$A$41,$BH43))</f>
        <v/>
      </c>
      <c r="C43" s="19">
        <f>IF($BH43="","",INDEX(Proyectos!$B$2:$B$41,$BH43))</f>
        <v/>
      </c>
      <c r="D43" s="19">
        <f>IF($BH43="","",INDEX(Proyectos!$D$2:$D$41,$BH43))</f>
        <v/>
      </c>
      <c r="E43" s="19">
        <f>IF($BH43="","",INDEX(Proyectos!$E$2:$E$41,$BH43))</f>
        <v/>
      </c>
      <c r="F43" s="24">
        <f>IF($BH43="","",INDEX(Proyectos!$G$2:$G$41,$BH43))</f>
        <v/>
      </c>
      <c r="G43" s="24">
        <f>IF($BH43="","",INDEX(Proyectos!$H$2:$H$41,$BH43))</f>
        <v/>
      </c>
      <c r="H43" s="24">
        <f>IF($BH43="","",INDEX(Proyectos!$I$2:$I$41,$BH43))</f>
        <v/>
      </c>
      <c r="I43" s="25">
        <f>IF($BH43="","",INDEX(Proyectos!$K$2:$K$41,$BH43))</f>
        <v/>
      </c>
      <c r="J43" s="21">
        <f>IF($BH43="","",INDEX(Proyectos!$L$2:$L$41,$BH43))</f>
        <v/>
      </c>
      <c r="K43" s="21">
        <f>IF($BH43="","",INDEX(Proyectos!$U$2:$U$41,$BH43))</f>
        <v/>
      </c>
      <c r="L43" s="26">
        <f>IF($BH43="","",INDEX(Proyectos!$V$2:$V$41,$BH43))</f>
        <v/>
      </c>
      <c r="M43" s="24">
        <f>IF($BH43="","",INDEX(Proyectos!$W$2:$W$41,$BH43))</f>
        <v/>
      </c>
      <c r="N43" s="31">
        <f>IF($BH43="","",INDEX(Proyectos!$N$2:$N$41,$BH43))</f>
        <v/>
      </c>
      <c r="O43" s="31">
        <f>IF($BH43="","",INDEX(Proyectos!$O$2:$O$41,$BH43))</f>
        <v/>
      </c>
      <c r="P43" s="21">
        <f>IF($BH43="","",INDEX(Proyectos!$S$2:$S$41,$BH43))</f>
        <v/>
      </c>
      <c r="Q43" s="21">
        <f>IF($BH43="","",INDEX(Proyectos!$Y$2:$Y$41,$BH43))</f>
        <v/>
      </c>
      <c r="R43" s="20">
        <f>IF($BH43="","",INDEX(Proyectos!$AB$2:$AB$41,$BH43))</f>
        <v/>
      </c>
      <c r="BH43">
        <f>IFERROR(MATCH(30,$BJ$2:$BJ$41,0),"")</f>
        <v/>
      </c>
      <c r="BN43">
        <f>IF(AND(KPIs!$A43&lt;&gt;"",OR($C$5="(Todos)",KPIs!$L43=$C$5),OR($C$6="(Todas)",KPIs!$M43=$C$6)),BO43,"")</f>
        <v/>
      </c>
      <c r="BO43">
        <f>IF(AND(KPIs!$A43&lt;&gt;"",OR($C$5="(Todos)",KPIs!$L43=$C$5),OR($C$6="(Todas)",KPIs!$M43=$C$6)),N(BO42)+1,N(BO42))</f>
        <v/>
      </c>
      <c r="BR43">
        <f>IF(AND(Hitos!$A43&lt;&gt;"",OR($C$5="(Todos)",Hitos!$I43=$C$5),OR($C$6="(Todas)",Hitos!$J43=$C$6),OR(Hitos!$L43="Vencido",Hitos!$L43="Esta semana",Hitos!$L43="Próximos 30 días")),BS43,"")</f>
        <v/>
      </c>
      <c r="BS43">
        <f>IF(AND(Hitos!$A43&lt;&gt;"",OR($C$5="(Todos)",Hitos!$I43=$C$5),OR($C$6="(Todas)",Hitos!$J43=$C$6),OR(Hitos!$L43="Vencido",Hitos!$L43="Esta semana",Hitos!$L43="Próximos 30 días")),N(BS42)+1,N(BS42))</f>
        <v/>
      </c>
    </row>
    <row r="44" ht="17" customHeight="1">
      <c r="B44" s="24">
        <f>IF($BH44="","",INDEX(Proyectos!$A$2:$A$41,$BH44))</f>
        <v/>
      </c>
      <c r="C44" s="19">
        <f>IF($BH44="","",INDEX(Proyectos!$B$2:$B$41,$BH44))</f>
        <v/>
      </c>
      <c r="D44" s="19">
        <f>IF($BH44="","",INDEX(Proyectos!$D$2:$D$41,$BH44))</f>
        <v/>
      </c>
      <c r="E44" s="19">
        <f>IF($BH44="","",INDEX(Proyectos!$E$2:$E$41,$BH44))</f>
        <v/>
      </c>
      <c r="F44" s="24">
        <f>IF($BH44="","",INDEX(Proyectos!$G$2:$G$41,$BH44))</f>
        <v/>
      </c>
      <c r="G44" s="24">
        <f>IF($BH44="","",INDEX(Proyectos!$H$2:$H$41,$BH44))</f>
        <v/>
      </c>
      <c r="H44" s="24">
        <f>IF($BH44="","",INDEX(Proyectos!$I$2:$I$41,$BH44))</f>
        <v/>
      </c>
      <c r="I44" s="25">
        <f>IF($BH44="","",INDEX(Proyectos!$K$2:$K$41,$BH44))</f>
        <v/>
      </c>
      <c r="J44" s="21">
        <f>IF($BH44="","",INDEX(Proyectos!$L$2:$L$41,$BH44))</f>
        <v/>
      </c>
      <c r="K44" s="21">
        <f>IF($BH44="","",INDEX(Proyectos!$U$2:$U$41,$BH44))</f>
        <v/>
      </c>
      <c r="L44" s="26">
        <f>IF($BH44="","",INDEX(Proyectos!$V$2:$V$41,$BH44))</f>
        <v/>
      </c>
      <c r="M44" s="24">
        <f>IF($BH44="","",INDEX(Proyectos!$W$2:$W$41,$BH44))</f>
        <v/>
      </c>
      <c r="N44" s="31">
        <f>IF($BH44="","",INDEX(Proyectos!$N$2:$N$41,$BH44))</f>
        <v/>
      </c>
      <c r="O44" s="31">
        <f>IF($BH44="","",INDEX(Proyectos!$O$2:$O$41,$BH44))</f>
        <v/>
      </c>
      <c r="P44" s="21">
        <f>IF($BH44="","",INDEX(Proyectos!$S$2:$S$41,$BH44))</f>
        <v/>
      </c>
      <c r="Q44" s="21">
        <f>IF($BH44="","",INDEX(Proyectos!$Y$2:$Y$41,$BH44))</f>
        <v/>
      </c>
      <c r="R44" s="20">
        <f>IF($BH44="","",INDEX(Proyectos!$AB$2:$AB$41,$BH44))</f>
        <v/>
      </c>
      <c r="BH44">
        <f>IFERROR(MATCH(31,$BJ$2:$BJ$41,0),"")</f>
        <v/>
      </c>
      <c r="BN44">
        <f>IF(AND(KPIs!$A44&lt;&gt;"",OR($C$5="(Todos)",KPIs!$L44=$C$5),OR($C$6="(Todas)",KPIs!$M44=$C$6)),BO44,"")</f>
        <v/>
      </c>
      <c r="BO44">
        <f>IF(AND(KPIs!$A44&lt;&gt;"",OR($C$5="(Todos)",KPIs!$L44=$C$5),OR($C$6="(Todas)",KPIs!$M44=$C$6)),N(BO43)+1,N(BO43))</f>
        <v/>
      </c>
      <c r="BR44">
        <f>IF(AND(Hitos!$A44&lt;&gt;"",OR($C$5="(Todos)",Hitos!$I44=$C$5),OR($C$6="(Todas)",Hitos!$J44=$C$6),OR(Hitos!$L44="Vencido",Hitos!$L44="Esta semana",Hitos!$L44="Próximos 30 días")),BS44,"")</f>
        <v/>
      </c>
      <c r="BS44">
        <f>IF(AND(Hitos!$A44&lt;&gt;"",OR($C$5="(Todos)",Hitos!$I44=$C$5),OR($C$6="(Todas)",Hitos!$J44=$C$6),OR(Hitos!$L44="Vencido",Hitos!$L44="Esta semana",Hitos!$L44="Próximos 30 días")),N(BS43)+1,N(BS43))</f>
        <v/>
      </c>
    </row>
    <row r="45" ht="17" customHeight="1">
      <c r="B45" s="24">
        <f>IF($BH45="","",INDEX(Proyectos!$A$2:$A$41,$BH45))</f>
        <v/>
      </c>
      <c r="C45" s="19">
        <f>IF($BH45="","",INDEX(Proyectos!$B$2:$B$41,$BH45))</f>
        <v/>
      </c>
      <c r="D45" s="19">
        <f>IF($BH45="","",INDEX(Proyectos!$D$2:$D$41,$BH45))</f>
        <v/>
      </c>
      <c r="E45" s="19">
        <f>IF($BH45="","",INDEX(Proyectos!$E$2:$E$41,$BH45))</f>
        <v/>
      </c>
      <c r="F45" s="24">
        <f>IF($BH45="","",INDEX(Proyectos!$G$2:$G$41,$BH45))</f>
        <v/>
      </c>
      <c r="G45" s="24">
        <f>IF($BH45="","",INDEX(Proyectos!$H$2:$H$41,$BH45))</f>
        <v/>
      </c>
      <c r="H45" s="24">
        <f>IF($BH45="","",INDEX(Proyectos!$I$2:$I$41,$BH45))</f>
        <v/>
      </c>
      <c r="I45" s="25">
        <f>IF($BH45="","",INDEX(Proyectos!$K$2:$K$41,$BH45))</f>
        <v/>
      </c>
      <c r="J45" s="21">
        <f>IF($BH45="","",INDEX(Proyectos!$L$2:$L$41,$BH45))</f>
        <v/>
      </c>
      <c r="K45" s="21">
        <f>IF($BH45="","",INDEX(Proyectos!$U$2:$U$41,$BH45))</f>
        <v/>
      </c>
      <c r="L45" s="26">
        <f>IF($BH45="","",INDEX(Proyectos!$V$2:$V$41,$BH45))</f>
        <v/>
      </c>
      <c r="M45" s="24">
        <f>IF($BH45="","",INDEX(Proyectos!$W$2:$W$41,$BH45))</f>
        <v/>
      </c>
      <c r="N45" s="31">
        <f>IF($BH45="","",INDEX(Proyectos!$N$2:$N$41,$BH45))</f>
        <v/>
      </c>
      <c r="O45" s="31">
        <f>IF($BH45="","",INDEX(Proyectos!$O$2:$O$41,$BH45))</f>
        <v/>
      </c>
      <c r="P45" s="21">
        <f>IF($BH45="","",INDEX(Proyectos!$S$2:$S$41,$BH45))</f>
        <v/>
      </c>
      <c r="Q45" s="21">
        <f>IF($BH45="","",INDEX(Proyectos!$Y$2:$Y$41,$BH45))</f>
        <v/>
      </c>
      <c r="R45" s="20">
        <f>IF($BH45="","",INDEX(Proyectos!$AB$2:$AB$41,$BH45))</f>
        <v/>
      </c>
      <c r="BH45">
        <f>IFERROR(MATCH(32,$BJ$2:$BJ$41,0),"")</f>
        <v/>
      </c>
      <c r="BN45">
        <f>IF(AND(KPIs!$A45&lt;&gt;"",OR($C$5="(Todos)",KPIs!$L45=$C$5),OR($C$6="(Todas)",KPIs!$M45=$C$6)),BO45,"")</f>
        <v/>
      </c>
      <c r="BO45">
        <f>IF(AND(KPIs!$A45&lt;&gt;"",OR($C$5="(Todos)",KPIs!$L45=$C$5),OR($C$6="(Todas)",KPIs!$M45=$C$6)),N(BO44)+1,N(BO44))</f>
        <v/>
      </c>
      <c r="BR45">
        <f>IF(AND(Hitos!$A45&lt;&gt;"",OR($C$5="(Todos)",Hitos!$I45=$C$5),OR($C$6="(Todas)",Hitos!$J45=$C$6),OR(Hitos!$L45="Vencido",Hitos!$L45="Esta semana",Hitos!$L45="Próximos 30 días")),BS45,"")</f>
        <v/>
      </c>
      <c r="BS45">
        <f>IF(AND(Hitos!$A45&lt;&gt;"",OR($C$5="(Todos)",Hitos!$I45=$C$5),OR($C$6="(Todas)",Hitos!$J45=$C$6),OR(Hitos!$L45="Vencido",Hitos!$L45="Esta semana",Hitos!$L45="Próximos 30 días")),N(BS44)+1,N(BS44))</f>
        <v/>
      </c>
    </row>
    <row r="46" ht="17" customHeight="1">
      <c r="B46" s="24">
        <f>IF($BH46="","",INDEX(Proyectos!$A$2:$A$41,$BH46))</f>
        <v/>
      </c>
      <c r="C46" s="19">
        <f>IF($BH46="","",INDEX(Proyectos!$B$2:$B$41,$BH46))</f>
        <v/>
      </c>
      <c r="D46" s="19">
        <f>IF($BH46="","",INDEX(Proyectos!$D$2:$D$41,$BH46))</f>
        <v/>
      </c>
      <c r="E46" s="19">
        <f>IF($BH46="","",INDEX(Proyectos!$E$2:$E$41,$BH46))</f>
        <v/>
      </c>
      <c r="F46" s="24">
        <f>IF($BH46="","",INDEX(Proyectos!$G$2:$G$41,$BH46))</f>
        <v/>
      </c>
      <c r="G46" s="24">
        <f>IF($BH46="","",INDEX(Proyectos!$H$2:$H$41,$BH46))</f>
        <v/>
      </c>
      <c r="H46" s="24">
        <f>IF($BH46="","",INDEX(Proyectos!$I$2:$I$41,$BH46))</f>
        <v/>
      </c>
      <c r="I46" s="25">
        <f>IF($BH46="","",INDEX(Proyectos!$K$2:$K$41,$BH46))</f>
        <v/>
      </c>
      <c r="J46" s="21">
        <f>IF($BH46="","",INDEX(Proyectos!$L$2:$L$41,$BH46))</f>
        <v/>
      </c>
      <c r="K46" s="21">
        <f>IF($BH46="","",INDEX(Proyectos!$U$2:$U$41,$BH46))</f>
        <v/>
      </c>
      <c r="L46" s="26">
        <f>IF($BH46="","",INDEX(Proyectos!$V$2:$V$41,$BH46))</f>
        <v/>
      </c>
      <c r="M46" s="24">
        <f>IF($BH46="","",INDEX(Proyectos!$W$2:$W$41,$BH46))</f>
        <v/>
      </c>
      <c r="N46" s="31">
        <f>IF($BH46="","",INDEX(Proyectos!$N$2:$N$41,$BH46))</f>
        <v/>
      </c>
      <c r="O46" s="31">
        <f>IF($BH46="","",INDEX(Proyectos!$O$2:$O$41,$BH46))</f>
        <v/>
      </c>
      <c r="P46" s="21">
        <f>IF($BH46="","",INDEX(Proyectos!$S$2:$S$41,$BH46))</f>
        <v/>
      </c>
      <c r="Q46" s="21">
        <f>IF($BH46="","",INDEX(Proyectos!$Y$2:$Y$41,$BH46))</f>
        <v/>
      </c>
      <c r="R46" s="20">
        <f>IF($BH46="","",INDEX(Proyectos!$AB$2:$AB$41,$BH46))</f>
        <v/>
      </c>
      <c r="BH46">
        <f>IFERROR(MATCH(33,$BJ$2:$BJ$41,0),"")</f>
        <v/>
      </c>
      <c r="BN46">
        <f>IF(AND(KPIs!$A46&lt;&gt;"",OR($C$5="(Todos)",KPIs!$L46=$C$5),OR($C$6="(Todas)",KPIs!$M46=$C$6)),BO46,"")</f>
        <v/>
      </c>
      <c r="BO46">
        <f>IF(AND(KPIs!$A46&lt;&gt;"",OR($C$5="(Todos)",KPIs!$L46=$C$5),OR($C$6="(Todas)",KPIs!$M46=$C$6)),N(BO45)+1,N(BO45))</f>
        <v/>
      </c>
      <c r="BR46">
        <f>IF(AND(Hitos!$A46&lt;&gt;"",OR($C$5="(Todos)",Hitos!$I46=$C$5),OR($C$6="(Todas)",Hitos!$J46=$C$6),OR(Hitos!$L46="Vencido",Hitos!$L46="Esta semana",Hitos!$L46="Próximos 30 días")),BS46,"")</f>
        <v/>
      </c>
      <c r="BS46">
        <f>IF(AND(Hitos!$A46&lt;&gt;"",OR($C$5="(Todos)",Hitos!$I46=$C$5),OR($C$6="(Todas)",Hitos!$J46=$C$6),OR(Hitos!$L46="Vencido",Hitos!$L46="Esta semana",Hitos!$L46="Próximos 30 días")),N(BS45)+1,N(BS45))</f>
        <v/>
      </c>
    </row>
    <row r="47" ht="17" customHeight="1">
      <c r="B47" s="24">
        <f>IF($BH47="","",INDEX(Proyectos!$A$2:$A$41,$BH47))</f>
        <v/>
      </c>
      <c r="C47" s="19">
        <f>IF($BH47="","",INDEX(Proyectos!$B$2:$B$41,$BH47))</f>
        <v/>
      </c>
      <c r="D47" s="19">
        <f>IF($BH47="","",INDEX(Proyectos!$D$2:$D$41,$BH47))</f>
        <v/>
      </c>
      <c r="E47" s="19">
        <f>IF($BH47="","",INDEX(Proyectos!$E$2:$E$41,$BH47))</f>
        <v/>
      </c>
      <c r="F47" s="24">
        <f>IF($BH47="","",INDEX(Proyectos!$G$2:$G$41,$BH47))</f>
        <v/>
      </c>
      <c r="G47" s="24">
        <f>IF($BH47="","",INDEX(Proyectos!$H$2:$H$41,$BH47))</f>
        <v/>
      </c>
      <c r="H47" s="24">
        <f>IF($BH47="","",INDEX(Proyectos!$I$2:$I$41,$BH47))</f>
        <v/>
      </c>
      <c r="I47" s="25">
        <f>IF($BH47="","",INDEX(Proyectos!$K$2:$K$41,$BH47))</f>
        <v/>
      </c>
      <c r="J47" s="21">
        <f>IF($BH47="","",INDEX(Proyectos!$L$2:$L$41,$BH47))</f>
        <v/>
      </c>
      <c r="K47" s="21">
        <f>IF($BH47="","",INDEX(Proyectos!$U$2:$U$41,$BH47))</f>
        <v/>
      </c>
      <c r="L47" s="26">
        <f>IF($BH47="","",INDEX(Proyectos!$V$2:$V$41,$BH47))</f>
        <v/>
      </c>
      <c r="M47" s="24">
        <f>IF($BH47="","",INDEX(Proyectos!$W$2:$W$41,$BH47))</f>
        <v/>
      </c>
      <c r="N47" s="31">
        <f>IF($BH47="","",INDEX(Proyectos!$N$2:$N$41,$BH47))</f>
        <v/>
      </c>
      <c r="O47" s="31">
        <f>IF($BH47="","",INDEX(Proyectos!$O$2:$O$41,$BH47))</f>
        <v/>
      </c>
      <c r="P47" s="21">
        <f>IF($BH47="","",INDEX(Proyectos!$S$2:$S$41,$BH47))</f>
        <v/>
      </c>
      <c r="Q47" s="21">
        <f>IF($BH47="","",INDEX(Proyectos!$Y$2:$Y$41,$BH47))</f>
        <v/>
      </c>
      <c r="R47" s="20">
        <f>IF($BH47="","",INDEX(Proyectos!$AB$2:$AB$41,$BH47))</f>
        <v/>
      </c>
      <c r="BH47">
        <f>IFERROR(MATCH(34,$BJ$2:$BJ$41,0),"")</f>
        <v/>
      </c>
      <c r="BN47">
        <f>IF(AND(KPIs!$A47&lt;&gt;"",OR($C$5="(Todos)",KPIs!$L47=$C$5),OR($C$6="(Todas)",KPIs!$M47=$C$6)),BO47,"")</f>
        <v/>
      </c>
      <c r="BO47">
        <f>IF(AND(KPIs!$A47&lt;&gt;"",OR($C$5="(Todos)",KPIs!$L47=$C$5),OR($C$6="(Todas)",KPIs!$M47=$C$6)),N(BO46)+1,N(BO46))</f>
        <v/>
      </c>
      <c r="BR47">
        <f>IF(AND(Hitos!$A47&lt;&gt;"",OR($C$5="(Todos)",Hitos!$I47=$C$5),OR($C$6="(Todas)",Hitos!$J47=$C$6),OR(Hitos!$L47="Vencido",Hitos!$L47="Esta semana",Hitos!$L47="Próximos 30 días")),BS47,"")</f>
        <v/>
      </c>
      <c r="BS47">
        <f>IF(AND(Hitos!$A47&lt;&gt;"",OR($C$5="(Todos)",Hitos!$I47=$C$5),OR($C$6="(Todas)",Hitos!$J47=$C$6),OR(Hitos!$L47="Vencido",Hitos!$L47="Esta semana",Hitos!$L47="Próximos 30 días")),N(BS46)+1,N(BS46))</f>
        <v/>
      </c>
    </row>
    <row r="48" ht="17" customHeight="1">
      <c r="B48" s="24">
        <f>IF($BH48="","",INDEX(Proyectos!$A$2:$A$41,$BH48))</f>
        <v/>
      </c>
      <c r="C48" s="19">
        <f>IF($BH48="","",INDEX(Proyectos!$B$2:$B$41,$BH48))</f>
        <v/>
      </c>
      <c r="D48" s="19">
        <f>IF($BH48="","",INDEX(Proyectos!$D$2:$D$41,$BH48))</f>
        <v/>
      </c>
      <c r="E48" s="19">
        <f>IF($BH48="","",INDEX(Proyectos!$E$2:$E$41,$BH48))</f>
        <v/>
      </c>
      <c r="F48" s="24">
        <f>IF($BH48="","",INDEX(Proyectos!$G$2:$G$41,$BH48))</f>
        <v/>
      </c>
      <c r="G48" s="24">
        <f>IF($BH48="","",INDEX(Proyectos!$H$2:$H$41,$BH48))</f>
        <v/>
      </c>
      <c r="H48" s="24">
        <f>IF($BH48="","",INDEX(Proyectos!$I$2:$I$41,$BH48))</f>
        <v/>
      </c>
      <c r="I48" s="25">
        <f>IF($BH48="","",INDEX(Proyectos!$K$2:$K$41,$BH48))</f>
        <v/>
      </c>
      <c r="J48" s="21">
        <f>IF($BH48="","",INDEX(Proyectos!$L$2:$L$41,$BH48))</f>
        <v/>
      </c>
      <c r="K48" s="21">
        <f>IF($BH48="","",INDEX(Proyectos!$U$2:$U$41,$BH48))</f>
        <v/>
      </c>
      <c r="L48" s="26">
        <f>IF($BH48="","",INDEX(Proyectos!$V$2:$V$41,$BH48))</f>
        <v/>
      </c>
      <c r="M48" s="24">
        <f>IF($BH48="","",INDEX(Proyectos!$W$2:$W$41,$BH48))</f>
        <v/>
      </c>
      <c r="N48" s="31">
        <f>IF($BH48="","",INDEX(Proyectos!$N$2:$N$41,$BH48))</f>
        <v/>
      </c>
      <c r="O48" s="31">
        <f>IF($BH48="","",INDEX(Proyectos!$O$2:$O$41,$BH48))</f>
        <v/>
      </c>
      <c r="P48" s="21">
        <f>IF($BH48="","",INDEX(Proyectos!$S$2:$S$41,$BH48))</f>
        <v/>
      </c>
      <c r="Q48" s="21">
        <f>IF($BH48="","",INDEX(Proyectos!$Y$2:$Y$41,$BH48))</f>
        <v/>
      </c>
      <c r="R48" s="20">
        <f>IF($BH48="","",INDEX(Proyectos!$AB$2:$AB$41,$BH48))</f>
        <v/>
      </c>
      <c r="BH48">
        <f>IFERROR(MATCH(35,$BJ$2:$BJ$41,0),"")</f>
        <v/>
      </c>
      <c r="BN48">
        <f>IF(AND(KPIs!$A48&lt;&gt;"",OR($C$5="(Todos)",KPIs!$L48=$C$5),OR($C$6="(Todas)",KPIs!$M48=$C$6)),BO48,"")</f>
        <v/>
      </c>
      <c r="BO48">
        <f>IF(AND(KPIs!$A48&lt;&gt;"",OR($C$5="(Todos)",KPIs!$L48=$C$5),OR($C$6="(Todas)",KPIs!$M48=$C$6)),N(BO47)+1,N(BO47))</f>
        <v/>
      </c>
      <c r="BR48">
        <f>IF(AND(Hitos!$A48&lt;&gt;"",OR($C$5="(Todos)",Hitos!$I48=$C$5),OR($C$6="(Todas)",Hitos!$J48=$C$6),OR(Hitos!$L48="Vencido",Hitos!$L48="Esta semana",Hitos!$L48="Próximos 30 días")),BS48,"")</f>
        <v/>
      </c>
      <c r="BS48">
        <f>IF(AND(Hitos!$A48&lt;&gt;"",OR($C$5="(Todos)",Hitos!$I48=$C$5),OR($C$6="(Todas)",Hitos!$J48=$C$6),OR(Hitos!$L48="Vencido",Hitos!$L48="Esta semana",Hitos!$L48="Próximos 30 días")),N(BS47)+1,N(BS47))</f>
        <v/>
      </c>
    </row>
    <row r="49" ht="17" customHeight="1">
      <c r="B49" s="24">
        <f>IF($BH49="","",INDEX(Proyectos!$A$2:$A$41,$BH49))</f>
        <v/>
      </c>
      <c r="C49" s="19">
        <f>IF($BH49="","",INDEX(Proyectos!$B$2:$B$41,$BH49))</f>
        <v/>
      </c>
      <c r="D49" s="19">
        <f>IF($BH49="","",INDEX(Proyectos!$D$2:$D$41,$BH49))</f>
        <v/>
      </c>
      <c r="E49" s="19">
        <f>IF($BH49="","",INDEX(Proyectos!$E$2:$E$41,$BH49))</f>
        <v/>
      </c>
      <c r="F49" s="24">
        <f>IF($BH49="","",INDEX(Proyectos!$G$2:$G$41,$BH49))</f>
        <v/>
      </c>
      <c r="G49" s="24">
        <f>IF($BH49="","",INDEX(Proyectos!$H$2:$H$41,$BH49))</f>
        <v/>
      </c>
      <c r="H49" s="24">
        <f>IF($BH49="","",INDEX(Proyectos!$I$2:$I$41,$BH49))</f>
        <v/>
      </c>
      <c r="I49" s="25">
        <f>IF($BH49="","",INDEX(Proyectos!$K$2:$K$41,$BH49))</f>
        <v/>
      </c>
      <c r="J49" s="21">
        <f>IF($BH49="","",INDEX(Proyectos!$L$2:$L$41,$BH49))</f>
        <v/>
      </c>
      <c r="K49" s="21">
        <f>IF($BH49="","",INDEX(Proyectos!$U$2:$U$41,$BH49))</f>
        <v/>
      </c>
      <c r="L49" s="26">
        <f>IF($BH49="","",INDEX(Proyectos!$V$2:$V$41,$BH49))</f>
        <v/>
      </c>
      <c r="M49" s="24">
        <f>IF($BH49="","",INDEX(Proyectos!$W$2:$W$41,$BH49))</f>
        <v/>
      </c>
      <c r="N49" s="31">
        <f>IF($BH49="","",INDEX(Proyectos!$N$2:$N$41,$BH49))</f>
        <v/>
      </c>
      <c r="O49" s="31">
        <f>IF($BH49="","",INDEX(Proyectos!$O$2:$O$41,$BH49))</f>
        <v/>
      </c>
      <c r="P49" s="21">
        <f>IF($BH49="","",INDEX(Proyectos!$S$2:$S$41,$BH49))</f>
        <v/>
      </c>
      <c r="Q49" s="21">
        <f>IF($BH49="","",INDEX(Proyectos!$Y$2:$Y$41,$BH49))</f>
        <v/>
      </c>
      <c r="R49" s="20">
        <f>IF($BH49="","",INDEX(Proyectos!$AB$2:$AB$41,$BH49))</f>
        <v/>
      </c>
      <c r="BH49">
        <f>IFERROR(MATCH(36,$BJ$2:$BJ$41,0),"")</f>
        <v/>
      </c>
      <c r="BN49">
        <f>IF(AND(KPIs!$A49&lt;&gt;"",OR($C$5="(Todos)",KPIs!$L49=$C$5),OR($C$6="(Todas)",KPIs!$M49=$C$6)),BO49,"")</f>
        <v/>
      </c>
      <c r="BO49">
        <f>IF(AND(KPIs!$A49&lt;&gt;"",OR($C$5="(Todos)",KPIs!$L49=$C$5),OR($C$6="(Todas)",KPIs!$M49=$C$6)),N(BO48)+1,N(BO48))</f>
        <v/>
      </c>
      <c r="BR49">
        <f>IF(AND(Hitos!$A49&lt;&gt;"",OR($C$5="(Todos)",Hitos!$I49=$C$5),OR($C$6="(Todas)",Hitos!$J49=$C$6),OR(Hitos!$L49="Vencido",Hitos!$L49="Esta semana",Hitos!$L49="Próximos 30 días")),BS49,"")</f>
        <v/>
      </c>
      <c r="BS49">
        <f>IF(AND(Hitos!$A49&lt;&gt;"",OR($C$5="(Todos)",Hitos!$I49=$C$5),OR($C$6="(Todas)",Hitos!$J49=$C$6),OR(Hitos!$L49="Vencido",Hitos!$L49="Esta semana",Hitos!$L49="Próximos 30 días")),N(BS48)+1,N(BS48))</f>
        <v/>
      </c>
    </row>
    <row r="50" ht="17" customHeight="1">
      <c r="B50" s="24">
        <f>IF($BH50="","",INDEX(Proyectos!$A$2:$A$41,$BH50))</f>
        <v/>
      </c>
      <c r="C50" s="19">
        <f>IF($BH50="","",INDEX(Proyectos!$B$2:$B$41,$BH50))</f>
        <v/>
      </c>
      <c r="D50" s="19">
        <f>IF($BH50="","",INDEX(Proyectos!$D$2:$D$41,$BH50))</f>
        <v/>
      </c>
      <c r="E50" s="19">
        <f>IF($BH50="","",INDEX(Proyectos!$E$2:$E$41,$BH50))</f>
        <v/>
      </c>
      <c r="F50" s="24">
        <f>IF($BH50="","",INDEX(Proyectos!$G$2:$G$41,$BH50))</f>
        <v/>
      </c>
      <c r="G50" s="24">
        <f>IF($BH50="","",INDEX(Proyectos!$H$2:$H$41,$BH50))</f>
        <v/>
      </c>
      <c r="H50" s="24">
        <f>IF($BH50="","",INDEX(Proyectos!$I$2:$I$41,$BH50))</f>
        <v/>
      </c>
      <c r="I50" s="25">
        <f>IF($BH50="","",INDEX(Proyectos!$K$2:$K$41,$BH50))</f>
        <v/>
      </c>
      <c r="J50" s="21">
        <f>IF($BH50="","",INDEX(Proyectos!$L$2:$L$41,$BH50))</f>
        <v/>
      </c>
      <c r="K50" s="21">
        <f>IF($BH50="","",INDEX(Proyectos!$U$2:$U$41,$BH50))</f>
        <v/>
      </c>
      <c r="L50" s="26">
        <f>IF($BH50="","",INDEX(Proyectos!$V$2:$V$41,$BH50))</f>
        <v/>
      </c>
      <c r="M50" s="24">
        <f>IF($BH50="","",INDEX(Proyectos!$W$2:$W$41,$BH50))</f>
        <v/>
      </c>
      <c r="N50" s="31">
        <f>IF($BH50="","",INDEX(Proyectos!$N$2:$N$41,$BH50))</f>
        <v/>
      </c>
      <c r="O50" s="31">
        <f>IF($BH50="","",INDEX(Proyectos!$O$2:$O$41,$BH50))</f>
        <v/>
      </c>
      <c r="P50" s="21">
        <f>IF($BH50="","",INDEX(Proyectos!$S$2:$S$41,$BH50))</f>
        <v/>
      </c>
      <c r="Q50" s="21">
        <f>IF($BH50="","",INDEX(Proyectos!$Y$2:$Y$41,$BH50))</f>
        <v/>
      </c>
      <c r="R50" s="20">
        <f>IF($BH50="","",INDEX(Proyectos!$AB$2:$AB$41,$BH50))</f>
        <v/>
      </c>
      <c r="BH50">
        <f>IFERROR(MATCH(37,$BJ$2:$BJ$41,0),"")</f>
        <v/>
      </c>
      <c r="BN50">
        <f>IF(AND(KPIs!$A50&lt;&gt;"",OR($C$5="(Todos)",KPIs!$L50=$C$5),OR($C$6="(Todas)",KPIs!$M50=$C$6)),BO50,"")</f>
        <v/>
      </c>
      <c r="BO50">
        <f>IF(AND(KPIs!$A50&lt;&gt;"",OR($C$5="(Todos)",KPIs!$L50=$C$5),OR($C$6="(Todas)",KPIs!$M50=$C$6)),N(BO49)+1,N(BO49))</f>
        <v/>
      </c>
      <c r="BR50">
        <f>IF(AND(Hitos!$A50&lt;&gt;"",OR($C$5="(Todos)",Hitos!$I50=$C$5),OR($C$6="(Todas)",Hitos!$J50=$C$6),OR(Hitos!$L50="Vencido",Hitos!$L50="Esta semana",Hitos!$L50="Próximos 30 días")),BS50,"")</f>
        <v/>
      </c>
      <c r="BS50">
        <f>IF(AND(Hitos!$A50&lt;&gt;"",OR($C$5="(Todos)",Hitos!$I50=$C$5),OR($C$6="(Todas)",Hitos!$J50=$C$6),OR(Hitos!$L50="Vencido",Hitos!$L50="Esta semana",Hitos!$L50="Próximos 30 días")),N(BS49)+1,N(BS49))</f>
        <v/>
      </c>
    </row>
    <row r="51" ht="17" customHeight="1">
      <c r="B51" s="24">
        <f>IF($BH51="","",INDEX(Proyectos!$A$2:$A$41,$BH51))</f>
        <v/>
      </c>
      <c r="C51" s="19">
        <f>IF($BH51="","",INDEX(Proyectos!$B$2:$B$41,$BH51))</f>
        <v/>
      </c>
      <c r="D51" s="19">
        <f>IF($BH51="","",INDEX(Proyectos!$D$2:$D$41,$BH51))</f>
        <v/>
      </c>
      <c r="E51" s="19">
        <f>IF($BH51="","",INDEX(Proyectos!$E$2:$E$41,$BH51))</f>
        <v/>
      </c>
      <c r="F51" s="24">
        <f>IF($BH51="","",INDEX(Proyectos!$G$2:$G$41,$BH51))</f>
        <v/>
      </c>
      <c r="G51" s="24">
        <f>IF($BH51="","",INDEX(Proyectos!$H$2:$H$41,$BH51))</f>
        <v/>
      </c>
      <c r="H51" s="24">
        <f>IF($BH51="","",INDEX(Proyectos!$I$2:$I$41,$BH51))</f>
        <v/>
      </c>
      <c r="I51" s="25">
        <f>IF($BH51="","",INDEX(Proyectos!$K$2:$K$41,$BH51))</f>
        <v/>
      </c>
      <c r="J51" s="21">
        <f>IF($BH51="","",INDEX(Proyectos!$L$2:$L$41,$BH51))</f>
        <v/>
      </c>
      <c r="K51" s="21">
        <f>IF($BH51="","",INDEX(Proyectos!$U$2:$U$41,$BH51))</f>
        <v/>
      </c>
      <c r="L51" s="26">
        <f>IF($BH51="","",INDEX(Proyectos!$V$2:$V$41,$BH51))</f>
        <v/>
      </c>
      <c r="M51" s="24">
        <f>IF($BH51="","",INDEX(Proyectos!$W$2:$W$41,$BH51))</f>
        <v/>
      </c>
      <c r="N51" s="31">
        <f>IF($BH51="","",INDEX(Proyectos!$N$2:$N$41,$BH51))</f>
        <v/>
      </c>
      <c r="O51" s="31">
        <f>IF($BH51="","",INDEX(Proyectos!$O$2:$O$41,$BH51))</f>
        <v/>
      </c>
      <c r="P51" s="21">
        <f>IF($BH51="","",INDEX(Proyectos!$S$2:$S$41,$BH51))</f>
        <v/>
      </c>
      <c r="Q51" s="21">
        <f>IF($BH51="","",INDEX(Proyectos!$Y$2:$Y$41,$BH51))</f>
        <v/>
      </c>
      <c r="R51" s="20">
        <f>IF($BH51="","",INDEX(Proyectos!$AB$2:$AB$41,$BH51))</f>
        <v/>
      </c>
      <c r="BH51">
        <f>IFERROR(MATCH(38,$BJ$2:$BJ$41,0),"")</f>
        <v/>
      </c>
      <c r="BN51">
        <f>IF(AND(KPIs!$A51&lt;&gt;"",OR($C$5="(Todos)",KPIs!$L51=$C$5),OR($C$6="(Todas)",KPIs!$M51=$C$6)),BO51,"")</f>
        <v/>
      </c>
      <c r="BO51">
        <f>IF(AND(KPIs!$A51&lt;&gt;"",OR($C$5="(Todos)",KPIs!$L51=$C$5),OR($C$6="(Todas)",KPIs!$M51=$C$6)),N(BO50)+1,N(BO50))</f>
        <v/>
      </c>
      <c r="BR51">
        <f>IF(AND(Hitos!$A51&lt;&gt;"",OR($C$5="(Todos)",Hitos!$I51=$C$5),OR($C$6="(Todas)",Hitos!$J51=$C$6),OR(Hitos!$L51="Vencido",Hitos!$L51="Esta semana",Hitos!$L51="Próximos 30 días")),BS51,"")</f>
        <v/>
      </c>
      <c r="BS51">
        <f>IF(AND(Hitos!$A51&lt;&gt;"",OR($C$5="(Todos)",Hitos!$I51=$C$5),OR($C$6="(Todas)",Hitos!$J51=$C$6),OR(Hitos!$L51="Vencido",Hitos!$L51="Esta semana",Hitos!$L51="Próximos 30 días")),N(BS50)+1,N(BS50))</f>
        <v/>
      </c>
    </row>
    <row r="52" ht="17" customHeight="1">
      <c r="B52" s="24">
        <f>IF($BH52="","",INDEX(Proyectos!$A$2:$A$41,$BH52))</f>
        <v/>
      </c>
      <c r="C52" s="19">
        <f>IF($BH52="","",INDEX(Proyectos!$B$2:$B$41,$BH52))</f>
        <v/>
      </c>
      <c r="D52" s="19">
        <f>IF($BH52="","",INDEX(Proyectos!$D$2:$D$41,$BH52))</f>
        <v/>
      </c>
      <c r="E52" s="19">
        <f>IF($BH52="","",INDEX(Proyectos!$E$2:$E$41,$BH52))</f>
        <v/>
      </c>
      <c r="F52" s="24">
        <f>IF($BH52="","",INDEX(Proyectos!$G$2:$G$41,$BH52))</f>
        <v/>
      </c>
      <c r="G52" s="24">
        <f>IF($BH52="","",INDEX(Proyectos!$H$2:$H$41,$BH52))</f>
        <v/>
      </c>
      <c r="H52" s="24">
        <f>IF($BH52="","",INDEX(Proyectos!$I$2:$I$41,$BH52))</f>
        <v/>
      </c>
      <c r="I52" s="25">
        <f>IF($BH52="","",INDEX(Proyectos!$K$2:$K$41,$BH52))</f>
        <v/>
      </c>
      <c r="J52" s="21">
        <f>IF($BH52="","",INDEX(Proyectos!$L$2:$L$41,$BH52))</f>
        <v/>
      </c>
      <c r="K52" s="21">
        <f>IF($BH52="","",INDEX(Proyectos!$U$2:$U$41,$BH52))</f>
        <v/>
      </c>
      <c r="L52" s="26">
        <f>IF($BH52="","",INDEX(Proyectos!$V$2:$V$41,$BH52))</f>
        <v/>
      </c>
      <c r="M52" s="24">
        <f>IF($BH52="","",INDEX(Proyectos!$W$2:$W$41,$BH52))</f>
        <v/>
      </c>
      <c r="N52" s="31">
        <f>IF($BH52="","",INDEX(Proyectos!$N$2:$N$41,$BH52))</f>
        <v/>
      </c>
      <c r="O52" s="31">
        <f>IF($BH52="","",INDEX(Proyectos!$O$2:$O$41,$BH52))</f>
        <v/>
      </c>
      <c r="P52" s="21">
        <f>IF($BH52="","",INDEX(Proyectos!$S$2:$S$41,$BH52))</f>
        <v/>
      </c>
      <c r="Q52" s="21">
        <f>IF($BH52="","",INDEX(Proyectos!$Y$2:$Y$41,$BH52))</f>
        <v/>
      </c>
      <c r="R52" s="20">
        <f>IF($BH52="","",INDEX(Proyectos!$AB$2:$AB$41,$BH52))</f>
        <v/>
      </c>
      <c r="BH52">
        <f>IFERROR(MATCH(39,$BJ$2:$BJ$41,0),"")</f>
        <v/>
      </c>
      <c r="BN52">
        <f>IF(AND(KPIs!$A52&lt;&gt;"",OR($C$5="(Todos)",KPIs!$L52=$C$5),OR($C$6="(Todas)",KPIs!$M52=$C$6)),BO52,"")</f>
        <v/>
      </c>
      <c r="BO52">
        <f>IF(AND(KPIs!$A52&lt;&gt;"",OR($C$5="(Todos)",KPIs!$L52=$C$5),OR($C$6="(Todas)",KPIs!$M52=$C$6)),N(BO51)+1,N(BO51))</f>
        <v/>
      </c>
      <c r="BR52">
        <f>IF(AND(Hitos!$A52&lt;&gt;"",OR($C$5="(Todos)",Hitos!$I52=$C$5),OR($C$6="(Todas)",Hitos!$J52=$C$6),OR(Hitos!$L52="Vencido",Hitos!$L52="Esta semana",Hitos!$L52="Próximos 30 días")),BS52,"")</f>
        <v/>
      </c>
      <c r="BS52">
        <f>IF(AND(Hitos!$A52&lt;&gt;"",OR($C$5="(Todos)",Hitos!$I52=$C$5),OR($C$6="(Todas)",Hitos!$J52=$C$6),OR(Hitos!$L52="Vencido",Hitos!$L52="Esta semana",Hitos!$L52="Próximos 30 días")),N(BS51)+1,N(BS51))</f>
        <v/>
      </c>
    </row>
    <row r="53" ht="17" customHeight="1">
      <c r="B53" s="24">
        <f>IF($BH53="","",INDEX(Proyectos!$A$2:$A$41,$BH53))</f>
        <v/>
      </c>
      <c r="C53" s="19">
        <f>IF($BH53="","",INDEX(Proyectos!$B$2:$B$41,$BH53))</f>
        <v/>
      </c>
      <c r="D53" s="19">
        <f>IF($BH53="","",INDEX(Proyectos!$D$2:$D$41,$BH53))</f>
        <v/>
      </c>
      <c r="E53" s="19">
        <f>IF($BH53="","",INDEX(Proyectos!$E$2:$E$41,$BH53))</f>
        <v/>
      </c>
      <c r="F53" s="24">
        <f>IF($BH53="","",INDEX(Proyectos!$G$2:$G$41,$BH53))</f>
        <v/>
      </c>
      <c r="G53" s="24">
        <f>IF($BH53="","",INDEX(Proyectos!$H$2:$H$41,$BH53))</f>
        <v/>
      </c>
      <c r="H53" s="24">
        <f>IF($BH53="","",INDEX(Proyectos!$I$2:$I$41,$BH53))</f>
        <v/>
      </c>
      <c r="I53" s="25">
        <f>IF($BH53="","",INDEX(Proyectos!$K$2:$K$41,$BH53))</f>
        <v/>
      </c>
      <c r="J53" s="21">
        <f>IF($BH53="","",INDEX(Proyectos!$L$2:$L$41,$BH53))</f>
        <v/>
      </c>
      <c r="K53" s="21">
        <f>IF($BH53="","",INDEX(Proyectos!$U$2:$U$41,$BH53))</f>
        <v/>
      </c>
      <c r="L53" s="26">
        <f>IF($BH53="","",INDEX(Proyectos!$V$2:$V$41,$BH53))</f>
        <v/>
      </c>
      <c r="M53" s="24">
        <f>IF($BH53="","",INDEX(Proyectos!$W$2:$W$41,$BH53))</f>
        <v/>
      </c>
      <c r="N53" s="31">
        <f>IF($BH53="","",INDEX(Proyectos!$N$2:$N$41,$BH53))</f>
        <v/>
      </c>
      <c r="O53" s="31">
        <f>IF($BH53="","",INDEX(Proyectos!$O$2:$O$41,$BH53))</f>
        <v/>
      </c>
      <c r="P53" s="21">
        <f>IF($BH53="","",INDEX(Proyectos!$S$2:$S$41,$BH53))</f>
        <v/>
      </c>
      <c r="Q53" s="21">
        <f>IF($BH53="","",INDEX(Proyectos!$Y$2:$Y$41,$BH53))</f>
        <v/>
      </c>
      <c r="R53" s="20">
        <f>IF($BH53="","",INDEX(Proyectos!$AB$2:$AB$41,$BH53))</f>
        <v/>
      </c>
      <c r="BH53">
        <f>IFERROR(MATCH(40,$BJ$2:$BJ$41,0),"")</f>
        <v/>
      </c>
      <c r="BN53">
        <f>IF(AND(KPIs!$A53&lt;&gt;"",OR($C$5="(Todos)",KPIs!$L53=$C$5),OR($C$6="(Todas)",KPIs!$M53=$C$6)),BO53,"")</f>
        <v/>
      </c>
      <c r="BO53">
        <f>IF(AND(KPIs!$A53&lt;&gt;"",OR($C$5="(Todos)",KPIs!$L53=$C$5),OR($C$6="(Todas)",KPIs!$M53=$C$6)),N(BO52)+1,N(BO52))</f>
        <v/>
      </c>
      <c r="BR53">
        <f>IF(AND(Hitos!$A53&lt;&gt;"",OR($C$5="(Todos)",Hitos!$I53=$C$5),OR($C$6="(Todas)",Hitos!$J53=$C$6),OR(Hitos!$L53="Vencido",Hitos!$L53="Esta semana",Hitos!$L53="Próximos 30 días")),BS53,"")</f>
        <v/>
      </c>
      <c r="BS53">
        <f>IF(AND(Hitos!$A53&lt;&gt;"",OR($C$5="(Todos)",Hitos!$I53=$C$5),OR($C$6="(Todas)",Hitos!$J53=$C$6),OR(Hitos!$L53="Vencido",Hitos!$L53="Esta semana",Hitos!$L53="Próximos 30 días")),N(BS52)+1,N(BS52))</f>
        <v/>
      </c>
    </row>
    <row r="54">
      <c r="BN54">
        <f>IF(AND(KPIs!$A54&lt;&gt;"",OR($C$5="(Todos)",KPIs!$L54=$C$5),OR($C$6="(Todas)",KPIs!$M54=$C$6)),BO54,"")</f>
        <v/>
      </c>
      <c r="BO54">
        <f>IF(AND(KPIs!$A54&lt;&gt;"",OR($C$5="(Todos)",KPIs!$L54=$C$5),OR($C$6="(Todas)",KPIs!$M54=$C$6)),N(BO53)+1,N(BO53))</f>
        <v/>
      </c>
      <c r="BR54">
        <f>IF(AND(Hitos!$A54&lt;&gt;"",OR($C$5="(Todos)",Hitos!$I54=$C$5),OR($C$6="(Todas)",Hitos!$J54=$C$6),OR(Hitos!$L54="Vencido",Hitos!$L54="Esta semana",Hitos!$L54="Próximos 30 días")),BS54,"")</f>
        <v/>
      </c>
      <c r="BS54">
        <f>IF(AND(Hitos!$A54&lt;&gt;"",OR($C$5="(Todos)",Hitos!$I54=$C$5),OR($C$6="(Todas)",Hitos!$J54=$C$6),OR(Hitos!$L54="Vencido",Hitos!$L54="Esta semana",Hitos!$L54="Próximos 30 días")),N(BS53)+1,N(BS53))</f>
        <v/>
      </c>
    </row>
    <row r="55">
      <c r="B55" s="5" t="inlineStr">
        <is>
          <t>KPIS DE LOS PROYECTOS DEL FILTRO</t>
        </is>
      </c>
      <c r="BN55">
        <f>IF(AND(KPIs!$A55&lt;&gt;"",OR($C$5="(Todos)",KPIs!$L55=$C$5),OR($C$6="(Todas)",KPIs!$M55=$C$6)),BO55,"")</f>
        <v/>
      </c>
      <c r="BO55">
        <f>IF(AND(KPIs!$A55&lt;&gt;"",OR($C$5="(Todos)",KPIs!$L55=$C$5),OR($C$6="(Todas)",KPIs!$M55=$C$6)),N(BO54)+1,N(BO54))</f>
        <v/>
      </c>
      <c r="BR55">
        <f>IF(AND(Hitos!$A55&lt;&gt;"",OR($C$5="(Todos)",Hitos!$I55=$C$5),OR($C$6="(Todas)",Hitos!$J55=$C$6),OR(Hitos!$L55="Vencido",Hitos!$L55="Esta semana",Hitos!$L55="Próximos 30 días")),BS55,"")</f>
        <v/>
      </c>
      <c r="BS55">
        <f>IF(AND(Hitos!$A55&lt;&gt;"",OR($C$5="(Todos)",Hitos!$I55=$C$5),OR($C$6="(Todas)",Hitos!$J55=$C$6),OR(Hitos!$L55="Vencido",Hitos!$L55="Esta semana",Hitos!$L55="Próximos 30 días")),N(BS54)+1,N(BS54))</f>
        <v/>
      </c>
    </row>
    <row r="56" ht="34" customHeight="1">
      <c r="B56" s="18" t="inlineStr">
        <is>
          <t>Proyecto</t>
        </is>
      </c>
      <c r="C56" s="18" t="inlineStr">
        <is>
          <t>KPI</t>
        </is>
      </c>
      <c r="D56" s="18" t="inlineStr">
        <is>
          <t>Unidad</t>
        </is>
      </c>
      <c r="E56" s="18" t="inlineStr">
        <is>
          <t>Dirección</t>
        </is>
      </c>
      <c r="F56" s="18" t="inlineStr">
        <is>
          <t>Baseline</t>
        </is>
      </c>
      <c r="G56" s="18" t="inlineStr">
        <is>
          <t>Target</t>
        </is>
      </c>
      <c r="H56" s="18" t="inlineStr">
        <is>
          <t>Actual</t>
        </is>
      </c>
      <c r="I56" s="18" t="inlineStr">
        <is>
          <t>% consecución</t>
        </is>
      </c>
      <c r="J56" s="18" t="inlineStr">
        <is>
          <t>Estado</t>
        </is>
      </c>
      <c r="K56" s="18" t="inlineStr">
        <is>
          <t>Frecuencia</t>
        </is>
      </c>
      <c r="L56" s="18" t="inlineStr">
        <is>
          <t>Fuente</t>
        </is>
      </c>
      <c r="BN56">
        <f>IF(AND(KPIs!$A56&lt;&gt;"",OR($C$5="(Todos)",KPIs!$L56=$C$5),OR($C$6="(Todas)",KPIs!$M56=$C$6)),BO56,"")</f>
        <v/>
      </c>
      <c r="BO56">
        <f>IF(AND(KPIs!$A56&lt;&gt;"",OR($C$5="(Todos)",KPIs!$L56=$C$5),OR($C$6="(Todas)",KPIs!$M56=$C$6)),N(BO55)+1,N(BO55))</f>
        <v/>
      </c>
      <c r="BR56">
        <f>IF(AND(Hitos!$A56&lt;&gt;"",OR($C$5="(Todos)",Hitos!$I56=$C$5),OR($C$6="(Todas)",Hitos!$J56=$C$6),OR(Hitos!$L56="Vencido",Hitos!$L56="Esta semana",Hitos!$L56="Próximos 30 días")),BS56,"")</f>
        <v/>
      </c>
      <c r="BS56">
        <f>IF(AND(Hitos!$A56&lt;&gt;"",OR($C$5="(Todos)",Hitos!$I56=$C$5),OR($C$6="(Todas)",Hitos!$J56=$C$6),OR(Hitos!$L56="Vencido",Hitos!$L56="Esta semana",Hitos!$L56="Próximos 30 días")),N(BS55)+1,N(BS55))</f>
        <v/>
      </c>
    </row>
    <row r="57" ht="17" customHeight="1">
      <c r="B57" s="19">
        <f>IF($BL57="","",INDEX(KPIs!$K$2:$K$71,$BL57))</f>
        <v/>
      </c>
      <c r="C57" s="19">
        <f>IF($BL57="","",INDEX(KPIs!$C$2:$C$71,$BL57))</f>
        <v/>
      </c>
      <c r="D57" s="24">
        <f>IF($BL57="","",INDEX(KPIs!$D$2:$D$71,$BL57))</f>
        <v/>
      </c>
      <c r="E57" s="24">
        <f>IF($BL57="","",INDEX(KPIs!$E$2:$E$71,$BL57))</f>
        <v/>
      </c>
      <c r="F57" s="32">
        <f>IF($BL57="","",INDEX(KPIs!$F$2:$F$71,$BL57))</f>
        <v/>
      </c>
      <c r="G57" s="32">
        <f>IF($BL57="","",INDEX(KPIs!$G$2:$G$71,$BL57))</f>
        <v/>
      </c>
      <c r="H57" s="32">
        <f>IF($BL57="","",INDEX(KPIs!$H$2:$H$71,$BL57))</f>
        <v/>
      </c>
      <c r="I57" s="21">
        <f>IF($BL57="","",INDEX(KPIs!$N$2:$N$71,$BL57))</f>
        <v/>
      </c>
      <c r="J57" s="24">
        <f>IF($BL57="","",INDEX(KPIs!$O$2:$O$71,$BL57))</f>
        <v/>
      </c>
      <c r="K57" s="24">
        <f>IF($BL57="","",INDEX(KPIs!$I$2:$I$71,$BL57))</f>
        <v/>
      </c>
      <c r="L57" s="24">
        <f>IF($BL57="","",INDEX(KPIs!$J$2:$J$71,$BL57))</f>
        <v/>
      </c>
      <c r="BL57">
        <f>IFERROR(MATCH(1,$BN$2:$BN$71,0),"")</f>
        <v/>
      </c>
      <c r="BN57">
        <f>IF(AND(KPIs!$A57&lt;&gt;"",OR($C$5="(Todos)",KPIs!$L57=$C$5),OR($C$6="(Todas)",KPIs!$M57=$C$6)),BO57,"")</f>
        <v/>
      </c>
      <c r="BO57">
        <f>IF(AND(KPIs!$A57&lt;&gt;"",OR($C$5="(Todos)",KPIs!$L57=$C$5),OR($C$6="(Todas)",KPIs!$M57=$C$6)),N(BO56)+1,N(BO56))</f>
        <v/>
      </c>
      <c r="BR57">
        <f>IF(AND(Hitos!$A57&lt;&gt;"",OR($C$5="(Todos)",Hitos!$I57=$C$5),OR($C$6="(Todas)",Hitos!$J57=$C$6),OR(Hitos!$L57="Vencido",Hitos!$L57="Esta semana",Hitos!$L57="Próximos 30 días")),BS57,"")</f>
        <v/>
      </c>
      <c r="BS57">
        <f>IF(AND(Hitos!$A57&lt;&gt;"",OR($C$5="(Todos)",Hitos!$I57=$C$5),OR($C$6="(Todas)",Hitos!$J57=$C$6),OR(Hitos!$L57="Vencido",Hitos!$L57="Esta semana",Hitos!$L57="Próximos 30 días")),N(BS56)+1,N(BS56))</f>
        <v/>
      </c>
    </row>
    <row r="58" ht="17" customHeight="1">
      <c r="B58" s="19">
        <f>IF($BL58="","",INDEX(KPIs!$K$2:$K$71,$BL58))</f>
        <v/>
      </c>
      <c r="C58" s="19">
        <f>IF($BL58="","",INDEX(KPIs!$C$2:$C$71,$BL58))</f>
        <v/>
      </c>
      <c r="D58" s="24">
        <f>IF($BL58="","",INDEX(KPIs!$D$2:$D$71,$BL58))</f>
        <v/>
      </c>
      <c r="E58" s="24">
        <f>IF($BL58="","",INDEX(KPIs!$E$2:$E$71,$BL58))</f>
        <v/>
      </c>
      <c r="F58" s="32">
        <f>IF($BL58="","",INDEX(KPIs!$F$2:$F$71,$BL58))</f>
        <v/>
      </c>
      <c r="G58" s="32">
        <f>IF($BL58="","",INDEX(KPIs!$G$2:$G$71,$BL58))</f>
        <v/>
      </c>
      <c r="H58" s="32">
        <f>IF($BL58="","",INDEX(KPIs!$H$2:$H$71,$BL58))</f>
        <v/>
      </c>
      <c r="I58" s="21">
        <f>IF($BL58="","",INDEX(KPIs!$N$2:$N$71,$BL58))</f>
        <v/>
      </c>
      <c r="J58" s="24">
        <f>IF($BL58="","",INDEX(KPIs!$O$2:$O$71,$BL58))</f>
        <v/>
      </c>
      <c r="K58" s="24">
        <f>IF($BL58="","",INDEX(KPIs!$I$2:$I$71,$BL58))</f>
        <v/>
      </c>
      <c r="L58" s="24">
        <f>IF($BL58="","",INDEX(KPIs!$J$2:$J$71,$BL58))</f>
        <v/>
      </c>
      <c r="BL58">
        <f>IFERROR(MATCH(2,$BN$2:$BN$71,0),"")</f>
        <v/>
      </c>
      <c r="BN58">
        <f>IF(AND(KPIs!$A58&lt;&gt;"",OR($C$5="(Todos)",KPIs!$L58=$C$5),OR($C$6="(Todas)",KPIs!$M58=$C$6)),BO58,"")</f>
        <v/>
      </c>
      <c r="BO58">
        <f>IF(AND(KPIs!$A58&lt;&gt;"",OR($C$5="(Todos)",KPIs!$L58=$C$5),OR($C$6="(Todas)",KPIs!$M58=$C$6)),N(BO57)+1,N(BO57))</f>
        <v/>
      </c>
      <c r="BR58">
        <f>IF(AND(Hitos!$A58&lt;&gt;"",OR($C$5="(Todos)",Hitos!$I58=$C$5),OR($C$6="(Todas)",Hitos!$J58=$C$6),OR(Hitos!$L58="Vencido",Hitos!$L58="Esta semana",Hitos!$L58="Próximos 30 días")),BS58,"")</f>
        <v/>
      </c>
      <c r="BS58">
        <f>IF(AND(Hitos!$A58&lt;&gt;"",OR($C$5="(Todos)",Hitos!$I58=$C$5),OR($C$6="(Todas)",Hitos!$J58=$C$6),OR(Hitos!$L58="Vencido",Hitos!$L58="Esta semana",Hitos!$L58="Próximos 30 días")),N(BS57)+1,N(BS57))</f>
        <v/>
      </c>
    </row>
    <row r="59" ht="17" customHeight="1">
      <c r="B59" s="19">
        <f>IF($BL59="","",INDEX(KPIs!$K$2:$K$71,$BL59))</f>
        <v/>
      </c>
      <c r="C59" s="19">
        <f>IF($BL59="","",INDEX(KPIs!$C$2:$C$71,$BL59))</f>
        <v/>
      </c>
      <c r="D59" s="24">
        <f>IF($BL59="","",INDEX(KPIs!$D$2:$D$71,$BL59))</f>
        <v/>
      </c>
      <c r="E59" s="24">
        <f>IF($BL59="","",INDEX(KPIs!$E$2:$E$71,$BL59))</f>
        <v/>
      </c>
      <c r="F59" s="32">
        <f>IF($BL59="","",INDEX(KPIs!$F$2:$F$71,$BL59))</f>
        <v/>
      </c>
      <c r="G59" s="32">
        <f>IF($BL59="","",INDEX(KPIs!$G$2:$G$71,$BL59))</f>
        <v/>
      </c>
      <c r="H59" s="32">
        <f>IF($BL59="","",INDEX(KPIs!$H$2:$H$71,$BL59))</f>
        <v/>
      </c>
      <c r="I59" s="21">
        <f>IF($BL59="","",INDEX(KPIs!$N$2:$N$71,$BL59))</f>
        <v/>
      </c>
      <c r="J59" s="24">
        <f>IF($BL59="","",INDEX(KPIs!$O$2:$O$71,$BL59))</f>
        <v/>
      </c>
      <c r="K59" s="24">
        <f>IF($BL59="","",INDEX(KPIs!$I$2:$I$71,$BL59))</f>
        <v/>
      </c>
      <c r="L59" s="24">
        <f>IF($BL59="","",INDEX(KPIs!$J$2:$J$71,$BL59))</f>
        <v/>
      </c>
      <c r="BL59">
        <f>IFERROR(MATCH(3,$BN$2:$BN$71,0),"")</f>
        <v/>
      </c>
      <c r="BN59">
        <f>IF(AND(KPIs!$A59&lt;&gt;"",OR($C$5="(Todos)",KPIs!$L59=$C$5),OR($C$6="(Todas)",KPIs!$M59=$C$6)),BO59,"")</f>
        <v/>
      </c>
      <c r="BO59">
        <f>IF(AND(KPIs!$A59&lt;&gt;"",OR($C$5="(Todos)",KPIs!$L59=$C$5),OR($C$6="(Todas)",KPIs!$M59=$C$6)),N(BO58)+1,N(BO58))</f>
        <v/>
      </c>
      <c r="BR59">
        <f>IF(AND(Hitos!$A59&lt;&gt;"",OR($C$5="(Todos)",Hitos!$I59=$C$5),OR($C$6="(Todas)",Hitos!$J59=$C$6),OR(Hitos!$L59="Vencido",Hitos!$L59="Esta semana",Hitos!$L59="Próximos 30 días")),BS59,"")</f>
        <v/>
      </c>
      <c r="BS59">
        <f>IF(AND(Hitos!$A59&lt;&gt;"",OR($C$5="(Todos)",Hitos!$I59=$C$5),OR($C$6="(Todas)",Hitos!$J59=$C$6),OR(Hitos!$L59="Vencido",Hitos!$L59="Esta semana",Hitos!$L59="Próximos 30 días")),N(BS58)+1,N(BS58))</f>
        <v/>
      </c>
    </row>
    <row r="60" ht="17" customHeight="1">
      <c r="B60" s="19">
        <f>IF($BL60="","",INDEX(KPIs!$K$2:$K$71,$BL60))</f>
        <v/>
      </c>
      <c r="C60" s="19">
        <f>IF($BL60="","",INDEX(KPIs!$C$2:$C$71,$BL60))</f>
        <v/>
      </c>
      <c r="D60" s="24">
        <f>IF($BL60="","",INDEX(KPIs!$D$2:$D$71,$BL60))</f>
        <v/>
      </c>
      <c r="E60" s="24">
        <f>IF($BL60="","",INDEX(KPIs!$E$2:$E$71,$BL60))</f>
        <v/>
      </c>
      <c r="F60" s="32">
        <f>IF($BL60="","",INDEX(KPIs!$F$2:$F$71,$BL60))</f>
        <v/>
      </c>
      <c r="G60" s="32">
        <f>IF($BL60="","",INDEX(KPIs!$G$2:$G$71,$BL60))</f>
        <v/>
      </c>
      <c r="H60" s="32">
        <f>IF($BL60="","",INDEX(KPIs!$H$2:$H$71,$BL60))</f>
        <v/>
      </c>
      <c r="I60" s="21">
        <f>IF($BL60="","",INDEX(KPIs!$N$2:$N$71,$BL60))</f>
        <v/>
      </c>
      <c r="J60" s="24">
        <f>IF($BL60="","",INDEX(KPIs!$O$2:$O$71,$BL60))</f>
        <v/>
      </c>
      <c r="K60" s="24">
        <f>IF($BL60="","",INDEX(KPIs!$I$2:$I$71,$BL60))</f>
        <v/>
      </c>
      <c r="L60" s="24">
        <f>IF($BL60="","",INDEX(KPIs!$J$2:$J$71,$BL60))</f>
        <v/>
      </c>
      <c r="BL60">
        <f>IFERROR(MATCH(4,$BN$2:$BN$71,0),"")</f>
        <v/>
      </c>
      <c r="BN60">
        <f>IF(AND(KPIs!$A60&lt;&gt;"",OR($C$5="(Todos)",KPIs!$L60=$C$5),OR($C$6="(Todas)",KPIs!$M60=$C$6)),BO60,"")</f>
        <v/>
      </c>
      <c r="BO60">
        <f>IF(AND(KPIs!$A60&lt;&gt;"",OR($C$5="(Todos)",KPIs!$L60=$C$5),OR($C$6="(Todas)",KPIs!$M60=$C$6)),N(BO59)+1,N(BO59))</f>
        <v/>
      </c>
      <c r="BR60">
        <f>IF(AND(Hitos!$A60&lt;&gt;"",OR($C$5="(Todos)",Hitos!$I60=$C$5),OR($C$6="(Todas)",Hitos!$J60=$C$6),OR(Hitos!$L60="Vencido",Hitos!$L60="Esta semana",Hitos!$L60="Próximos 30 días")),BS60,"")</f>
        <v/>
      </c>
      <c r="BS60">
        <f>IF(AND(Hitos!$A60&lt;&gt;"",OR($C$5="(Todos)",Hitos!$I60=$C$5),OR($C$6="(Todas)",Hitos!$J60=$C$6),OR(Hitos!$L60="Vencido",Hitos!$L60="Esta semana",Hitos!$L60="Próximos 30 días")),N(BS59)+1,N(BS59))</f>
        <v/>
      </c>
    </row>
    <row r="61" ht="17" customHeight="1">
      <c r="B61" s="19">
        <f>IF($BL61="","",INDEX(KPIs!$K$2:$K$71,$BL61))</f>
        <v/>
      </c>
      <c r="C61" s="19">
        <f>IF($BL61="","",INDEX(KPIs!$C$2:$C$71,$BL61))</f>
        <v/>
      </c>
      <c r="D61" s="24">
        <f>IF($BL61="","",INDEX(KPIs!$D$2:$D$71,$BL61))</f>
        <v/>
      </c>
      <c r="E61" s="24">
        <f>IF($BL61="","",INDEX(KPIs!$E$2:$E$71,$BL61))</f>
        <v/>
      </c>
      <c r="F61" s="32">
        <f>IF($BL61="","",INDEX(KPIs!$F$2:$F$71,$BL61))</f>
        <v/>
      </c>
      <c r="G61" s="32">
        <f>IF($BL61="","",INDEX(KPIs!$G$2:$G$71,$BL61))</f>
        <v/>
      </c>
      <c r="H61" s="32">
        <f>IF($BL61="","",INDEX(KPIs!$H$2:$H$71,$BL61))</f>
        <v/>
      </c>
      <c r="I61" s="21">
        <f>IF($BL61="","",INDEX(KPIs!$N$2:$N$71,$BL61))</f>
        <v/>
      </c>
      <c r="J61" s="24">
        <f>IF($BL61="","",INDEX(KPIs!$O$2:$O$71,$BL61))</f>
        <v/>
      </c>
      <c r="K61" s="24">
        <f>IF($BL61="","",INDEX(KPIs!$I$2:$I$71,$BL61))</f>
        <v/>
      </c>
      <c r="L61" s="24">
        <f>IF($BL61="","",INDEX(KPIs!$J$2:$J$71,$BL61))</f>
        <v/>
      </c>
      <c r="BL61">
        <f>IFERROR(MATCH(5,$BN$2:$BN$71,0),"")</f>
        <v/>
      </c>
      <c r="BN61">
        <f>IF(AND(KPIs!$A61&lt;&gt;"",OR($C$5="(Todos)",KPIs!$L61=$C$5),OR($C$6="(Todas)",KPIs!$M61=$C$6)),BO61,"")</f>
        <v/>
      </c>
      <c r="BO61">
        <f>IF(AND(KPIs!$A61&lt;&gt;"",OR($C$5="(Todos)",KPIs!$L61=$C$5),OR($C$6="(Todas)",KPIs!$M61=$C$6)),N(BO60)+1,N(BO60))</f>
        <v/>
      </c>
      <c r="BR61">
        <f>IF(AND(Hitos!$A61&lt;&gt;"",OR($C$5="(Todos)",Hitos!$I61=$C$5),OR($C$6="(Todas)",Hitos!$J61=$C$6),OR(Hitos!$L61="Vencido",Hitos!$L61="Esta semana",Hitos!$L61="Próximos 30 días")),BS61,"")</f>
        <v/>
      </c>
      <c r="BS61">
        <f>IF(AND(Hitos!$A61&lt;&gt;"",OR($C$5="(Todos)",Hitos!$I61=$C$5),OR($C$6="(Todas)",Hitos!$J61=$C$6),OR(Hitos!$L61="Vencido",Hitos!$L61="Esta semana",Hitos!$L61="Próximos 30 días")),N(BS60)+1,N(BS60))</f>
        <v/>
      </c>
    </row>
    <row r="62" ht="17" customHeight="1">
      <c r="B62" s="19">
        <f>IF($BL62="","",INDEX(KPIs!$K$2:$K$71,$BL62))</f>
        <v/>
      </c>
      <c r="C62" s="19">
        <f>IF($BL62="","",INDEX(KPIs!$C$2:$C$71,$BL62))</f>
        <v/>
      </c>
      <c r="D62" s="24">
        <f>IF($BL62="","",INDEX(KPIs!$D$2:$D$71,$BL62))</f>
        <v/>
      </c>
      <c r="E62" s="24">
        <f>IF($BL62="","",INDEX(KPIs!$E$2:$E$71,$BL62))</f>
        <v/>
      </c>
      <c r="F62" s="32">
        <f>IF($BL62="","",INDEX(KPIs!$F$2:$F$71,$BL62))</f>
        <v/>
      </c>
      <c r="G62" s="32">
        <f>IF($BL62="","",INDEX(KPIs!$G$2:$G$71,$BL62))</f>
        <v/>
      </c>
      <c r="H62" s="32">
        <f>IF($BL62="","",INDEX(KPIs!$H$2:$H$71,$BL62))</f>
        <v/>
      </c>
      <c r="I62" s="21">
        <f>IF($BL62="","",INDEX(KPIs!$N$2:$N$71,$BL62))</f>
        <v/>
      </c>
      <c r="J62" s="24">
        <f>IF($BL62="","",INDEX(KPIs!$O$2:$O$71,$BL62))</f>
        <v/>
      </c>
      <c r="K62" s="24">
        <f>IF($BL62="","",INDEX(KPIs!$I$2:$I$71,$BL62))</f>
        <v/>
      </c>
      <c r="L62" s="24">
        <f>IF($BL62="","",INDEX(KPIs!$J$2:$J$71,$BL62))</f>
        <v/>
      </c>
      <c r="BL62">
        <f>IFERROR(MATCH(6,$BN$2:$BN$71,0),"")</f>
        <v/>
      </c>
      <c r="BN62">
        <f>IF(AND(KPIs!$A62&lt;&gt;"",OR($C$5="(Todos)",KPIs!$L62=$C$5),OR($C$6="(Todas)",KPIs!$M62=$C$6)),BO62,"")</f>
        <v/>
      </c>
      <c r="BO62">
        <f>IF(AND(KPIs!$A62&lt;&gt;"",OR($C$5="(Todos)",KPIs!$L62=$C$5),OR($C$6="(Todas)",KPIs!$M62=$C$6)),N(BO61)+1,N(BO61))</f>
        <v/>
      </c>
      <c r="BR62">
        <f>IF(AND(Hitos!$A62&lt;&gt;"",OR($C$5="(Todos)",Hitos!$I62=$C$5),OR($C$6="(Todas)",Hitos!$J62=$C$6),OR(Hitos!$L62="Vencido",Hitos!$L62="Esta semana",Hitos!$L62="Próximos 30 días")),BS62,"")</f>
        <v/>
      </c>
      <c r="BS62">
        <f>IF(AND(Hitos!$A62&lt;&gt;"",OR($C$5="(Todos)",Hitos!$I62=$C$5),OR($C$6="(Todas)",Hitos!$J62=$C$6),OR(Hitos!$L62="Vencido",Hitos!$L62="Esta semana",Hitos!$L62="Próximos 30 días")),N(BS61)+1,N(BS61))</f>
        <v/>
      </c>
    </row>
    <row r="63" ht="17" customHeight="1">
      <c r="B63" s="19">
        <f>IF($BL63="","",INDEX(KPIs!$K$2:$K$71,$BL63))</f>
        <v/>
      </c>
      <c r="C63" s="19">
        <f>IF($BL63="","",INDEX(KPIs!$C$2:$C$71,$BL63))</f>
        <v/>
      </c>
      <c r="D63" s="24">
        <f>IF($BL63="","",INDEX(KPIs!$D$2:$D$71,$BL63))</f>
        <v/>
      </c>
      <c r="E63" s="24">
        <f>IF($BL63="","",INDEX(KPIs!$E$2:$E$71,$BL63))</f>
        <v/>
      </c>
      <c r="F63" s="32">
        <f>IF($BL63="","",INDEX(KPIs!$F$2:$F$71,$BL63))</f>
        <v/>
      </c>
      <c r="G63" s="32">
        <f>IF($BL63="","",INDEX(KPIs!$G$2:$G$71,$BL63))</f>
        <v/>
      </c>
      <c r="H63" s="32">
        <f>IF($BL63="","",INDEX(KPIs!$H$2:$H$71,$BL63))</f>
        <v/>
      </c>
      <c r="I63" s="21">
        <f>IF($BL63="","",INDEX(KPIs!$N$2:$N$71,$BL63))</f>
        <v/>
      </c>
      <c r="J63" s="24">
        <f>IF($BL63="","",INDEX(KPIs!$O$2:$O$71,$BL63))</f>
        <v/>
      </c>
      <c r="K63" s="24">
        <f>IF($BL63="","",INDEX(KPIs!$I$2:$I$71,$BL63))</f>
        <v/>
      </c>
      <c r="L63" s="24">
        <f>IF($BL63="","",INDEX(KPIs!$J$2:$J$71,$BL63))</f>
        <v/>
      </c>
      <c r="BL63">
        <f>IFERROR(MATCH(7,$BN$2:$BN$71,0),"")</f>
        <v/>
      </c>
      <c r="BN63">
        <f>IF(AND(KPIs!$A63&lt;&gt;"",OR($C$5="(Todos)",KPIs!$L63=$C$5),OR($C$6="(Todas)",KPIs!$M63=$C$6)),BO63,"")</f>
        <v/>
      </c>
      <c r="BO63">
        <f>IF(AND(KPIs!$A63&lt;&gt;"",OR($C$5="(Todos)",KPIs!$L63=$C$5),OR($C$6="(Todas)",KPIs!$M63=$C$6)),N(BO62)+1,N(BO62))</f>
        <v/>
      </c>
      <c r="BR63">
        <f>IF(AND(Hitos!$A63&lt;&gt;"",OR($C$5="(Todos)",Hitos!$I63=$C$5),OR($C$6="(Todas)",Hitos!$J63=$C$6),OR(Hitos!$L63="Vencido",Hitos!$L63="Esta semana",Hitos!$L63="Próximos 30 días")),BS63,"")</f>
        <v/>
      </c>
      <c r="BS63">
        <f>IF(AND(Hitos!$A63&lt;&gt;"",OR($C$5="(Todos)",Hitos!$I63=$C$5),OR($C$6="(Todas)",Hitos!$J63=$C$6),OR(Hitos!$L63="Vencido",Hitos!$L63="Esta semana",Hitos!$L63="Próximos 30 días")),N(BS62)+1,N(BS62))</f>
        <v/>
      </c>
    </row>
    <row r="64" ht="17" customHeight="1">
      <c r="B64" s="19">
        <f>IF($BL64="","",INDEX(KPIs!$K$2:$K$71,$BL64))</f>
        <v/>
      </c>
      <c r="C64" s="19">
        <f>IF($BL64="","",INDEX(KPIs!$C$2:$C$71,$BL64))</f>
        <v/>
      </c>
      <c r="D64" s="24">
        <f>IF($BL64="","",INDEX(KPIs!$D$2:$D$71,$BL64))</f>
        <v/>
      </c>
      <c r="E64" s="24">
        <f>IF($BL64="","",INDEX(KPIs!$E$2:$E$71,$BL64))</f>
        <v/>
      </c>
      <c r="F64" s="32">
        <f>IF($BL64="","",INDEX(KPIs!$F$2:$F$71,$BL64))</f>
        <v/>
      </c>
      <c r="G64" s="32">
        <f>IF($BL64="","",INDEX(KPIs!$G$2:$G$71,$BL64))</f>
        <v/>
      </c>
      <c r="H64" s="32">
        <f>IF($BL64="","",INDEX(KPIs!$H$2:$H$71,$BL64))</f>
        <v/>
      </c>
      <c r="I64" s="21">
        <f>IF($BL64="","",INDEX(KPIs!$N$2:$N$71,$BL64))</f>
        <v/>
      </c>
      <c r="J64" s="24">
        <f>IF($BL64="","",INDEX(KPIs!$O$2:$O$71,$BL64))</f>
        <v/>
      </c>
      <c r="K64" s="24">
        <f>IF($BL64="","",INDEX(KPIs!$I$2:$I$71,$BL64))</f>
        <v/>
      </c>
      <c r="L64" s="24">
        <f>IF($BL64="","",INDEX(KPIs!$J$2:$J$71,$BL64))</f>
        <v/>
      </c>
      <c r="BL64">
        <f>IFERROR(MATCH(8,$BN$2:$BN$71,0),"")</f>
        <v/>
      </c>
      <c r="BN64">
        <f>IF(AND(KPIs!$A64&lt;&gt;"",OR($C$5="(Todos)",KPIs!$L64=$C$5),OR($C$6="(Todas)",KPIs!$M64=$C$6)),BO64,"")</f>
        <v/>
      </c>
      <c r="BO64">
        <f>IF(AND(KPIs!$A64&lt;&gt;"",OR($C$5="(Todos)",KPIs!$L64=$C$5),OR($C$6="(Todas)",KPIs!$M64=$C$6)),N(BO63)+1,N(BO63))</f>
        <v/>
      </c>
      <c r="BR64">
        <f>IF(AND(Hitos!$A64&lt;&gt;"",OR($C$5="(Todos)",Hitos!$I64=$C$5),OR($C$6="(Todas)",Hitos!$J64=$C$6),OR(Hitos!$L64="Vencido",Hitos!$L64="Esta semana",Hitos!$L64="Próximos 30 días")),BS64,"")</f>
        <v/>
      </c>
      <c r="BS64">
        <f>IF(AND(Hitos!$A64&lt;&gt;"",OR($C$5="(Todos)",Hitos!$I64=$C$5),OR($C$6="(Todas)",Hitos!$J64=$C$6),OR(Hitos!$L64="Vencido",Hitos!$L64="Esta semana",Hitos!$L64="Próximos 30 días")),N(BS63)+1,N(BS63))</f>
        <v/>
      </c>
    </row>
    <row r="65" ht="17" customHeight="1">
      <c r="B65" s="19">
        <f>IF($BL65="","",INDEX(KPIs!$K$2:$K$71,$BL65))</f>
        <v/>
      </c>
      <c r="C65" s="19">
        <f>IF($BL65="","",INDEX(KPIs!$C$2:$C$71,$BL65))</f>
        <v/>
      </c>
      <c r="D65" s="24">
        <f>IF($BL65="","",INDEX(KPIs!$D$2:$D$71,$BL65))</f>
        <v/>
      </c>
      <c r="E65" s="24">
        <f>IF($BL65="","",INDEX(KPIs!$E$2:$E$71,$BL65))</f>
        <v/>
      </c>
      <c r="F65" s="32">
        <f>IF($BL65="","",INDEX(KPIs!$F$2:$F$71,$BL65))</f>
        <v/>
      </c>
      <c r="G65" s="32">
        <f>IF($BL65="","",INDEX(KPIs!$G$2:$G$71,$BL65))</f>
        <v/>
      </c>
      <c r="H65" s="32">
        <f>IF($BL65="","",INDEX(KPIs!$H$2:$H$71,$BL65))</f>
        <v/>
      </c>
      <c r="I65" s="21">
        <f>IF($BL65="","",INDEX(KPIs!$N$2:$N$71,$BL65))</f>
        <v/>
      </c>
      <c r="J65" s="24">
        <f>IF($BL65="","",INDEX(KPIs!$O$2:$O$71,$BL65))</f>
        <v/>
      </c>
      <c r="K65" s="24">
        <f>IF($BL65="","",INDEX(KPIs!$I$2:$I$71,$BL65))</f>
        <v/>
      </c>
      <c r="L65" s="24">
        <f>IF($BL65="","",INDEX(KPIs!$J$2:$J$71,$BL65))</f>
        <v/>
      </c>
      <c r="BL65">
        <f>IFERROR(MATCH(9,$BN$2:$BN$71,0),"")</f>
        <v/>
      </c>
      <c r="BN65">
        <f>IF(AND(KPIs!$A65&lt;&gt;"",OR($C$5="(Todos)",KPIs!$L65=$C$5),OR($C$6="(Todas)",KPIs!$M65=$C$6)),BO65,"")</f>
        <v/>
      </c>
      <c r="BO65">
        <f>IF(AND(KPIs!$A65&lt;&gt;"",OR($C$5="(Todos)",KPIs!$L65=$C$5),OR($C$6="(Todas)",KPIs!$M65=$C$6)),N(BO64)+1,N(BO64))</f>
        <v/>
      </c>
      <c r="BR65">
        <f>IF(AND(Hitos!$A65&lt;&gt;"",OR($C$5="(Todos)",Hitos!$I65=$C$5),OR($C$6="(Todas)",Hitos!$J65=$C$6),OR(Hitos!$L65="Vencido",Hitos!$L65="Esta semana",Hitos!$L65="Próximos 30 días")),BS65,"")</f>
        <v/>
      </c>
      <c r="BS65">
        <f>IF(AND(Hitos!$A65&lt;&gt;"",OR($C$5="(Todos)",Hitos!$I65=$C$5),OR($C$6="(Todas)",Hitos!$J65=$C$6),OR(Hitos!$L65="Vencido",Hitos!$L65="Esta semana",Hitos!$L65="Próximos 30 días")),N(BS64)+1,N(BS64))</f>
        <v/>
      </c>
    </row>
    <row r="66" ht="17" customHeight="1">
      <c r="B66" s="19">
        <f>IF($BL66="","",INDEX(KPIs!$K$2:$K$71,$BL66))</f>
        <v/>
      </c>
      <c r="C66" s="19">
        <f>IF($BL66="","",INDEX(KPIs!$C$2:$C$71,$BL66))</f>
        <v/>
      </c>
      <c r="D66" s="24">
        <f>IF($BL66="","",INDEX(KPIs!$D$2:$D$71,$BL66))</f>
        <v/>
      </c>
      <c r="E66" s="24">
        <f>IF($BL66="","",INDEX(KPIs!$E$2:$E$71,$BL66))</f>
        <v/>
      </c>
      <c r="F66" s="32">
        <f>IF($BL66="","",INDEX(KPIs!$F$2:$F$71,$BL66))</f>
        <v/>
      </c>
      <c r="G66" s="32">
        <f>IF($BL66="","",INDEX(KPIs!$G$2:$G$71,$BL66))</f>
        <v/>
      </c>
      <c r="H66" s="32">
        <f>IF($BL66="","",INDEX(KPIs!$H$2:$H$71,$BL66))</f>
        <v/>
      </c>
      <c r="I66" s="21">
        <f>IF($BL66="","",INDEX(KPIs!$N$2:$N$71,$BL66))</f>
        <v/>
      </c>
      <c r="J66" s="24">
        <f>IF($BL66="","",INDEX(KPIs!$O$2:$O$71,$BL66))</f>
        <v/>
      </c>
      <c r="K66" s="24">
        <f>IF($BL66="","",INDEX(KPIs!$I$2:$I$71,$BL66))</f>
        <v/>
      </c>
      <c r="L66" s="24">
        <f>IF($BL66="","",INDEX(KPIs!$J$2:$J$71,$BL66))</f>
        <v/>
      </c>
      <c r="BL66">
        <f>IFERROR(MATCH(10,$BN$2:$BN$71,0),"")</f>
        <v/>
      </c>
      <c r="BN66">
        <f>IF(AND(KPIs!$A66&lt;&gt;"",OR($C$5="(Todos)",KPIs!$L66=$C$5),OR($C$6="(Todas)",KPIs!$M66=$C$6)),BO66,"")</f>
        <v/>
      </c>
      <c r="BO66">
        <f>IF(AND(KPIs!$A66&lt;&gt;"",OR($C$5="(Todos)",KPIs!$L66=$C$5),OR($C$6="(Todas)",KPIs!$M66=$C$6)),N(BO65)+1,N(BO65))</f>
        <v/>
      </c>
      <c r="BR66">
        <f>IF(AND(Hitos!$A66&lt;&gt;"",OR($C$5="(Todos)",Hitos!$I66=$C$5),OR($C$6="(Todas)",Hitos!$J66=$C$6),OR(Hitos!$L66="Vencido",Hitos!$L66="Esta semana",Hitos!$L66="Próximos 30 días")),BS66,"")</f>
        <v/>
      </c>
      <c r="BS66">
        <f>IF(AND(Hitos!$A66&lt;&gt;"",OR($C$5="(Todos)",Hitos!$I66=$C$5),OR($C$6="(Todas)",Hitos!$J66=$C$6),OR(Hitos!$L66="Vencido",Hitos!$L66="Esta semana",Hitos!$L66="Próximos 30 días")),N(BS65)+1,N(BS65))</f>
        <v/>
      </c>
    </row>
    <row r="67" ht="17" customHeight="1">
      <c r="B67" s="19">
        <f>IF($BL67="","",INDEX(KPIs!$K$2:$K$71,$BL67))</f>
        <v/>
      </c>
      <c r="C67" s="19">
        <f>IF($BL67="","",INDEX(KPIs!$C$2:$C$71,$BL67))</f>
        <v/>
      </c>
      <c r="D67" s="24">
        <f>IF($BL67="","",INDEX(KPIs!$D$2:$D$71,$BL67))</f>
        <v/>
      </c>
      <c r="E67" s="24">
        <f>IF($BL67="","",INDEX(KPIs!$E$2:$E$71,$BL67))</f>
        <v/>
      </c>
      <c r="F67" s="32">
        <f>IF($BL67="","",INDEX(KPIs!$F$2:$F$71,$BL67))</f>
        <v/>
      </c>
      <c r="G67" s="32">
        <f>IF($BL67="","",INDEX(KPIs!$G$2:$G$71,$BL67))</f>
        <v/>
      </c>
      <c r="H67" s="32">
        <f>IF($BL67="","",INDEX(KPIs!$H$2:$H$71,$BL67))</f>
        <v/>
      </c>
      <c r="I67" s="21">
        <f>IF($BL67="","",INDEX(KPIs!$N$2:$N$71,$BL67))</f>
        <v/>
      </c>
      <c r="J67" s="24">
        <f>IF($BL67="","",INDEX(KPIs!$O$2:$O$71,$BL67))</f>
        <v/>
      </c>
      <c r="K67" s="24">
        <f>IF($BL67="","",INDEX(KPIs!$I$2:$I$71,$BL67))</f>
        <v/>
      </c>
      <c r="L67" s="24">
        <f>IF($BL67="","",INDEX(KPIs!$J$2:$J$71,$BL67))</f>
        <v/>
      </c>
      <c r="BL67">
        <f>IFERROR(MATCH(11,$BN$2:$BN$71,0),"")</f>
        <v/>
      </c>
      <c r="BN67">
        <f>IF(AND(KPIs!$A67&lt;&gt;"",OR($C$5="(Todos)",KPIs!$L67=$C$5),OR($C$6="(Todas)",KPIs!$M67=$C$6)),BO67,"")</f>
        <v/>
      </c>
      <c r="BO67">
        <f>IF(AND(KPIs!$A67&lt;&gt;"",OR($C$5="(Todos)",KPIs!$L67=$C$5),OR($C$6="(Todas)",KPIs!$M67=$C$6)),N(BO66)+1,N(BO66))</f>
        <v/>
      </c>
      <c r="BR67">
        <f>IF(AND(Hitos!$A67&lt;&gt;"",OR($C$5="(Todos)",Hitos!$I67=$C$5),OR($C$6="(Todas)",Hitos!$J67=$C$6),OR(Hitos!$L67="Vencido",Hitos!$L67="Esta semana",Hitos!$L67="Próximos 30 días")),BS67,"")</f>
        <v/>
      </c>
      <c r="BS67">
        <f>IF(AND(Hitos!$A67&lt;&gt;"",OR($C$5="(Todos)",Hitos!$I67=$C$5),OR($C$6="(Todas)",Hitos!$J67=$C$6),OR(Hitos!$L67="Vencido",Hitos!$L67="Esta semana",Hitos!$L67="Próximos 30 días")),N(BS66)+1,N(BS66))</f>
        <v/>
      </c>
    </row>
    <row r="68" ht="17" customHeight="1">
      <c r="B68" s="19">
        <f>IF($BL68="","",INDEX(KPIs!$K$2:$K$71,$BL68))</f>
        <v/>
      </c>
      <c r="C68" s="19">
        <f>IF($BL68="","",INDEX(KPIs!$C$2:$C$71,$BL68))</f>
        <v/>
      </c>
      <c r="D68" s="24">
        <f>IF($BL68="","",INDEX(KPIs!$D$2:$D$71,$BL68))</f>
        <v/>
      </c>
      <c r="E68" s="24">
        <f>IF($BL68="","",INDEX(KPIs!$E$2:$E$71,$BL68))</f>
        <v/>
      </c>
      <c r="F68" s="32">
        <f>IF($BL68="","",INDEX(KPIs!$F$2:$F$71,$BL68))</f>
        <v/>
      </c>
      <c r="G68" s="32">
        <f>IF($BL68="","",INDEX(KPIs!$G$2:$G$71,$BL68))</f>
        <v/>
      </c>
      <c r="H68" s="32">
        <f>IF($BL68="","",INDEX(KPIs!$H$2:$H$71,$BL68))</f>
        <v/>
      </c>
      <c r="I68" s="21">
        <f>IF($BL68="","",INDEX(KPIs!$N$2:$N$71,$BL68))</f>
        <v/>
      </c>
      <c r="J68" s="24">
        <f>IF($BL68="","",INDEX(KPIs!$O$2:$O$71,$BL68))</f>
        <v/>
      </c>
      <c r="K68" s="24">
        <f>IF($BL68="","",INDEX(KPIs!$I$2:$I$71,$BL68))</f>
        <v/>
      </c>
      <c r="L68" s="24">
        <f>IF($BL68="","",INDEX(KPIs!$J$2:$J$71,$BL68))</f>
        <v/>
      </c>
      <c r="BL68">
        <f>IFERROR(MATCH(12,$BN$2:$BN$71,0),"")</f>
        <v/>
      </c>
      <c r="BN68">
        <f>IF(AND(KPIs!$A68&lt;&gt;"",OR($C$5="(Todos)",KPIs!$L68=$C$5),OR($C$6="(Todas)",KPIs!$M68=$C$6)),BO68,"")</f>
        <v/>
      </c>
      <c r="BO68">
        <f>IF(AND(KPIs!$A68&lt;&gt;"",OR($C$5="(Todos)",KPIs!$L68=$C$5),OR($C$6="(Todas)",KPIs!$M68=$C$6)),N(BO67)+1,N(BO67))</f>
        <v/>
      </c>
      <c r="BR68">
        <f>IF(AND(Hitos!$A68&lt;&gt;"",OR($C$5="(Todos)",Hitos!$I68=$C$5),OR($C$6="(Todas)",Hitos!$J68=$C$6),OR(Hitos!$L68="Vencido",Hitos!$L68="Esta semana",Hitos!$L68="Próximos 30 días")),BS68,"")</f>
        <v/>
      </c>
      <c r="BS68">
        <f>IF(AND(Hitos!$A68&lt;&gt;"",OR($C$5="(Todos)",Hitos!$I68=$C$5),OR($C$6="(Todas)",Hitos!$J68=$C$6),OR(Hitos!$L68="Vencido",Hitos!$L68="Esta semana",Hitos!$L68="Próximos 30 días")),N(BS67)+1,N(BS67))</f>
        <v/>
      </c>
    </row>
    <row r="69" ht="17" customHeight="1">
      <c r="B69" s="19">
        <f>IF($BL69="","",INDEX(KPIs!$K$2:$K$71,$BL69))</f>
        <v/>
      </c>
      <c r="C69" s="19">
        <f>IF($BL69="","",INDEX(KPIs!$C$2:$C$71,$BL69))</f>
        <v/>
      </c>
      <c r="D69" s="24">
        <f>IF($BL69="","",INDEX(KPIs!$D$2:$D$71,$BL69))</f>
        <v/>
      </c>
      <c r="E69" s="24">
        <f>IF($BL69="","",INDEX(KPIs!$E$2:$E$71,$BL69))</f>
        <v/>
      </c>
      <c r="F69" s="32">
        <f>IF($BL69="","",INDEX(KPIs!$F$2:$F$71,$BL69))</f>
        <v/>
      </c>
      <c r="G69" s="32">
        <f>IF($BL69="","",INDEX(KPIs!$G$2:$G$71,$BL69))</f>
        <v/>
      </c>
      <c r="H69" s="32">
        <f>IF($BL69="","",INDEX(KPIs!$H$2:$H$71,$BL69))</f>
        <v/>
      </c>
      <c r="I69" s="21">
        <f>IF($BL69="","",INDEX(KPIs!$N$2:$N$71,$BL69))</f>
        <v/>
      </c>
      <c r="J69" s="24">
        <f>IF($BL69="","",INDEX(KPIs!$O$2:$O$71,$BL69))</f>
        <v/>
      </c>
      <c r="K69" s="24">
        <f>IF($BL69="","",INDEX(KPIs!$I$2:$I$71,$BL69))</f>
        <v/>
      </c>
      <c r="L69" s="24">
        <f>IF($BL69="","",INDEX(KPIs!$J$2:$J$71,$BL69))</f>
        <v/>
      </c>
      <c r="BL69">
        <f>IFERROR(MATCH(13,$BN$2:$BN$71,0),"")</f>
        <v/>
      </c>
      <c r="BN69">
        <f>IF(AND(KPIs!$A69&lt;&gt;"",OR($C$5="(Todos)",KPIs!$L69=$C$5),OR($C$6="(Todas)",KPIs!$M69=$C$6)),BO69,"")</f>
        <v/>
      </c>
      <c r="BO69">
        <f>IF(AND(KPIs!$A69&lt;&gt;"",OR($C$5="(Todos)",KPIs!$L69=$C$5),OR($C$6="(Todas)",KPIs!$M69=$C$6)),N(BO68)+1,N(BO68))</f>
        <v/>
      </c>
      <c r="BR69">
        <f>IF(AND(Hitos!$A69&lt;&gt;"",OR($C$5="(Todos)",Hitos!$I69=$C$5),OR($C$6="(Todas)",Hitos!$J69=$C$6),OR(Hitos!$L69="Vencido",Hitos!$L69="Esta semana",Hitos!$L69="Próximos 30 días")),BS69,"")</f>
        <v/>
      </c>
      <c r="BS69">
        <f>IF(AND(Hitos!$A69&lt;&gt;"",OR($C$5="(Todos)",Hitos!$I69=$C$5),OR($C$6="(Todas)",Hitos!$J69=$C$6),OR(Hitos!$L69="Vencido",Hitos!$L69="Esta semana",Hitos!$L69="Próximos 30 días")),N(BS68)+1,N(BS68))</f>
        <v/>
      </c>
    </row>
    <row r="70" ht="17" customHeight="1">
      <c r="B70" s="19">
        <f>IF($BL70="","",INDEX(KPIs!$K$2:$K$71,$BL70))</f>
        <v/>
      </c>
      <c r="C70" s="19">
        <f>IF($BL70="","",INDEX(KPIs!$C$2:$C$71,$BL70))</f>
        <v/>
      </c>
      <c r="D70" s="24">
        <f>IF($BL70="","",INDEX(KPIs!$D$2:$D$71,$BL70))</f>
        <v/>
      </c>
      <c r="E70" s="24">
        <f>IF($BL70="","",INDEX(KPIs!$E$2:$E$71,$BL70))</f>
        <v/>
      </c>
      <c r="F70" s="32">
        <f>IF($BL70="","",INDEX(KPIs!$F$2:$F$71,$BL70))</f>
        <v/>
      </c>
      <c r="G70" s="32">
        <f>IF($BL70="","",INDEX(KPIs!$G$2:$G$71,$BL70))</f>
        <v/>
      </c>
      <c r="H70" s="32">
        <f>IF($BL70="","",INDEX(KPIs!$H$2:$H$71,$BL70))</f>
        <v/>
      </c>
      <c r="I70" s="21">
        <f>IF($BL70="","",INDEX(KPIs!$N$2:$N$71,$BL70))</f>
        <v/>
      </c>
      <c r="J70" s="24">
        <f>IF($BL70="","",INDEX(KPIs!$O$2:$O$71,$BL70))</f>
        <v/>
      </c>
      <c r="K70" s="24">
        <f>IF($BL70="","",INDEX(KPIs!$I$2:$I$71,$BL70))</f>
        <v/>
      </c>
      <c r="L70" s="24">
        <f>IF($BL70="","",INDEX(KPIs!$J$2:$J$71,$BL70))</f>
        <v/>
      </c>
      <c r="BL70">
        <f>IFERROR(MATCH(14,$BN$2:$BN$71,0),"")</f>
        <v/>
      </c>
      <c r="BN70">
        <f>IF(AND(KPIs!$A70&lt;&gt;"",OR($C$5="(Todos)",KPIs!$L70=$C$5),OR($C$6="(Todas)",KPIs!$M70=$C$6)),BO70,"")</f>
        <v/>
      </c>
      <c r="BO70">
        <f>IF(AND(KPIs!$A70&lt;&gt;"",OR($C$5="(Todos)",KPIs!$L70=$C$5),OR($C$6="(Todas)",KPIs!$M70=$C$6)),N(BO69)+1,N(BO69))</f>
        <v/>
      </c>
      <c r="BR70">
        <f>IF(AND(Hitos!$A70&lt;&gt;"",OR($C$5="(Todos)",Hitos!$I70=$C$5),OR($C$6="(Todas)",Hitos!$J70=$C$6),OR(Hitos!$L70="Vencido",Hitos!$L70="Esta semana",Hitos!$L70="Próximos 30 días")),BS70,"")</f>
        <v/>
      </c>
      <c r="BS70">
        <f>IF(AND(Hitos!$A70&lt;&gt;"",OR($C$5="(Todos)",Hitos!$I70=$C$5),OR($C$6="(Todas)",Hitos!$J70=$C$6),OR(Hitos!$L70="Vencido",Hitos!$L70="Esta semana",Hitos!$L70="Próximos 30 días")),N(BS69)+1,N(BS69))</f>
        <v/>
      </c>
    </row>
    <row r="71" ht="17" customHeight="1">
      <c r="B71" s="19">
        <f>IF($BL71="","",INDEX(KPIs!$K$2:$K$71,$BL71))</f>
        <v/>
      </c>
      <c r="C71" s="19">
        <f>IF($BL71="","",INDEX(KPIs!$C$2:$C$71,$BL71))</f>
        <v/>
      </c>
      <c r="D71" s="24">
        <f>IF($BL71="","",INDEX(KPIs!$D$2:$D$71,$BL71))</f>
        <v/>
      </c>
      <c r="E71" s="24">
        <f>IF($BL71="","",INDEX(KPIs!$E$2:$E$71,$BL71))</f>
        <v/>
      </c>
      <c r="F71" s="32">
        <f>IF($BL71="","",INDEX(KPIs!$F$2:$F$71,$BL71))</f>
        <v/>
      </c>
      <c r="G71" s="32">
        <f>IF($BL71="","",INDEX(KPIs!$G$2:$G$71,$BL71))</f>
        <v/>
      </c>
      <c r="H71" s="32">
        <f>IF($BL71="","",INDEX(KPIs!$H$2:$H$71,$BL71))</f>
        <v/>
      </c>
      <c r="I71" s="21">
        <f>IF($BL71="","",INDEX(KPIs!$N$2:$N$71,$BL71))</f>
        <v/>
      </c>
      <c r="J71" s="24">
        <f>IF($BL71="","",INDEX(KPIs!$O$2:$O$71,$BL71))</f>
        <v/>
      </c>
      <c r="K71" s="24">
        <f>IF($BL71="","",INDEX(KPIs!$I$2:$I$71,$BL71))</f>
        <v/>
      </c>
      <c r="L71" s="24">
        <f>IF($BL71="","",INDEX(KPIs!$J$2:$J$71,$BL71))</f>
        <v/>
      </c>
      <c r="BL71">
        <f>IFERROR(MATCH(15,$BN$2:$BN$71,0),"")</f>
        <v/>
      </c>
      <c r="BN71">
        <f>IF(AND(KPIs!$A71&lt;&gt;"",OR($C$5="(Todos)",KPIs!$L71=$C$5),OR($C$6="(Todas)",KPIs!$M71=$C$6)),BO71,"")</f>
        <v/>
      </c>
      <c r="BO71">
        <f>IF(AND(KPIs!$A71&lt;&gt;"",OR($C$5="(Todos)",KPIs!$L71=$C$5),OR($C$6="(Todas)",KPIs!$M71=$C$6)),N(BO70)+1,N(BO70))</f>
        <v/>
      </c>
      <c r="BR71">
        <f>IF(AND(Hitos!$A71&lt;&gt;"",OR($C$5="(Todos)",Hitos!$I71=$C$5),OR($C$6="(Todas)",Hitos!$J71=$C$6),OR(Hitos!$L71="Vencido",Hitos!$L71="Esta semana",Hitos!$L71="Próximos 30 días")),BS71,"")</f>
        <v/>
      </c>
      <c r="BS71">
        <f>IF(AND(Hitos!$A71&lt;&gt;"",OR($C$5="(Todos)",Hitos!$I71=$C$5),OR($C$6="(Todas)",Hitos!$J71=$C$6),OR(Hitos!$L71="Vencido",Hitos!$L71="Esta semana",Hitos!$L71="Próximos 30 días")),N(BS70)+1,N(BS70))</f>
        <v/>
      </c>
    </row>
    <row r="72" ht="17" customHeight="1">
      <c r="B72" s="19">
        <f>IF($BL72="","",INDEX(KPIs!$K$2:$K$71,$BL72))</f>
        <v/>
      </c>
      <c r="C72" s="19">
        <f>IF($BL72="","",INDEX(KPIs!$C$2:$C$71,$BL72))</f>
        <v/>
      </c>
      <c r="D72" s="24">
        <f>IF($BL72="","",INDEX(KPIs!$D$2:$D$71,$BL72))</f>
        <v/>
      </c>
      <c r="E72" s="24">
        <f>IF($BL72="","",INDEX(KPIs!$E$2:$E$71,$BL72))</f>
        <v/>
      </c>
      <c r="F72" s="32">
        <f>IF($BL72="","",INDEX(KPIs!$F$2:$F$71,$BL72))</f>
        <v/>
      </c>
      <c r="G72" s="32">
        <f>IF($BL72="","",INDEX(KPIs!$G$2:$G$71,$BL72))</f>
        <v/>
      </c>
      <c r="H72" s="32">
        <f>IF($BL72="","",INDEX(KPIs!$H$2:$H$71,$BL72))</f>
        <v/>
      </c>
      <c r="I72" s="21">
        <f>IF($BL72="","",INDEX(KPIs!$N$2:$N$71,$BL72))</f>
        <v/>
      </c>
      <c r="J72" s="24">
        <f>IF($BL72="","",INDEX(KPIs!$O$2:$O$71,$BL72))</f>
        <v/>
      </c>
      <c r="K72" s="24">
        <f>IF($BL72="","",INDEX(KPIs!$I$2:$I$71,$BL72))</f>
        <v/>
      </c>
      <c r="L72" s="24">
        <f>IF($BL72="","",INDEX(KPIs!$J$2:$J$71,$BL72))</f>
        <v/>
      </c>
      <c r="BL72">
        <f>IFERROR(MATCH(16,$BN$2:$BN$71,0),"")</f>
        <v/>
      </c>
      <c r="BR72">
        <f>IF(AND(Hitos!$A72&lt;&gt;"",OR($C$5="(Todos)",Hitos!$I72=$C$5),OR($C$6="(Todas)",Hitos!$J72=$C$6),OR(Hitos!$L72="Vencido",Hitos!$L72="Esta semana",Hitos!$L72="Próximos 30 días")),BS72,"")</f>
        <v/>
      </c>
      <c r="BS72">
        <f>IF(AND(Hitos!$A72&lt;&gt;"",OR($C$5="(Todos)",Hitos!$I72=$C$5),OR($C$6="(Todas)",Hitos!$J72=$C$6),OR(Hitos!$L72="Vencido",Hitos!$L72="Esta semana",Hitos!$L72="Próximos 30 días")),N(BS71)+1,N(BS71))</f>
        <v/>
      </c>
    </row>
    <row r="73" ht="17" customHeight="1">
      <c r="B73" s="19">
        <f>IF($BL73="","",INDEX(KPIs!$K$2:$K$71,$BL73))</f>
        <v/>
      </c>
      <c r="C73" s="19">
        <f>IF($BL73="","",INDEX(KPIs!$C$2:$C$71,$BL73))</f>
        <v/>
      </c>
      <c r="D73" s="24">
        <f>IF($BL73="","",INDEX(KPIs!$D$2:$D$71,$BL73))</f>
        <v/>
      </c>
      <c r="E73" s="24">
        <f>IF($BL73="","",INDEX(KPIs!$E$2:$E$71,$BL73))</f>
        <v/>
      </c>
      <c r="F73" s="32">
        <f>IF($BL73="","",INDEX(KPIs!$F$2:$F$71,$BL73))</f>
        <v/>
      </c>
      <c r="G73" s="32">
        <f>IF($BL73="","",INDEX(KPIs!$G$2:$G$71,$BL73))</f>
        <v/>
      </c>
      <c r="H73" s="32">
        <f>IF($BL73="","",INDEX(KPIs!$H$2:$H$71,$BL73))</f>
        <v/>
      </c>
      <c r="I73" s="21">
        <f>IF($BL73="","",INDEX(KPIs!$N$2:$N$71,$BL73))</f>
        <v/>
      </c>
      <c r="J73" s="24">
        <f>IF($BL73="","",INDEX(KPIs!$O$2:$O$71,$BL73))</f>
        <v/>
      </c>
      <c r="K73" s="24">
        <f>IF($BL73="","",INDEX(KPIs!$I$2:$I$71,$BL73))</f>
        <v/>
      </c>
      <c r="L73" s="24">
        <f>IF($BL73="","",INDEX(KPIs!$J$2:$J$71,$BL73))</f>
        <v/>
      </c>
      <c r="BL73">
        <f>IFERROR(MATCH(17,$BN$2:$BN$71,0),"")</f>
        <v/>
      </c>
      <c r="BR73">
        <f>IF(AND(Hitos!$A73&lt;&gt;"",OR($C$5="(Todos)",Hitos!$I73=$C$5),OR($C$6="(Todas)",Hitos!$J73=$C$6),OR(Hitos!$L73="Vencido",Hitos!$L73="Esta semana",Hitos!$L73="Próximos 30 días")),BS73,"")</f>
        <v/>
      </c>
      <c r="BS73">
        <f>IF(AND(Hitos!$A73&lt;&gt;"",OR($C$5="(Todos)",Hitos!$I73=$C$5),OR($C$6="(Todas)",Hitos!$J73=$C$6),OR(Hitos!$L73="Vencido",Hitos!$L73="Esta semana",Hitos!$L73="Próximos 30 días")),N(BS72)+1,N(BS72))</f>
        <v/>
      </c>
    </row>
    <row r="74" ht="17" customHeight="1">
      <c r="B74" s="19">
        <f>IF($BL74="","",INDEX(KPIs!$K$2:$K$71,$BL74))</f>
        <v/>
      </c>
      <c r="C74" s="19">
        <f>IF($BL74="","",INDEX(KPIs!$C$2:$C$71,$BL74))</f>
        <v/>
      </c>
      <c r="D74" s="24">
        <f>IF($BL74="","",INDEX(KPIs!$D$2:$D$71,$BL74))</f>
        <v/>
      </c>
      <c r="E74" s="24">
        <f>IF($BL74="","",INDEX(KPIs!$E$2:$E$71,$BL74))</f>
        <v/>
      </c>
      <c r="F74" s="32">
        <f>IF($BL74="","",INDEX(KPIs!$F$2:$F$71,$BL74))</f>
        <v/>
      </c>
      <c r="G74" s="32">
        <f>IF($BL74="","",INDEX(KPIs!$G$2:$G$71,$BL74))</f>
        <v/>
      </c>
      <c r="H74" s="32">
        <f>IF($BL74="","",INDEX(KPIs!$H$2:$H$71,$BL74))</f>
        <v/>
      </c>
      <c r="I74" s="21">
        <f>IF($BL74="","",INDEX(KPIs!$N$2:$N$71,$BL74))</f>
        <v/>
      </c>
      <c r="J74" s="24">
        <f>IF($BL74="","",INDEX(KPIs!$O$2:$O$71,$BL74))</f>
        <v/>
      </c>
      <c r="K74" s="24">
        <f>IF($BL74="","",INDEX(KPIs!$I$2:$I$71,$BL74))</f>
        <v/>
      </c>
      <c r="L74" s="24">
        <f>IF($BL74="","",INDEX(KPIs!$J$2:$J$71,$BL74))</f>
        <v/>
      </c>
      <c r="BL74">
        <f>IFERROR(MATCH(18,$BN$2:$BN$71,0),"")</f>
        <v/>
      </c>
      <c r="BR74">
        <f>IF(AND(Hitos!$A74&lt;&gt;"",OR($C$5="(Todos)",Hitos!$I74=$C$5),OR($C$6="(Todas)",Hitos!$J74=$C$6),OR(Hitos!$L74="Vencido",Hitos!$L74="Esta semana",Hitos!$L74="Próximos 30 días")),BS74,"")</f>
        <v/>
      </c>
      <c r="BS74">
        <f>IF(AND(Hitos!$A74&lt;&gt;"",OR($C$5="(Todos)",Hitos!$I74=$C$5),OR($C$6="(Todas)",Hitos!$J74=$C$6),OR(Hitos!$L74="Vencido",Hitos!$L74="Esta semana",Hitos!$L74="Próximos 30 días")),N(BS73)+1,N(BS73))</f>
        <v/>
      </c>
    </row>
    <row r="75" ht="17" customHeight="1">
      <c r="B75" s="19">
        <f>IF($BL75="","",INDEX(KPIs!$K$2:$K$71,$BL75))</f>
        <v/>
      </c>
      <c r="C75" s="19">
        <f>IF($BL75="","",INDEX(KPIs!$C$2:$C$71,$BL75))</f>
        <v/>
      </c>
      <c r="D75" s="24">
        <f>IF($BL75="","",INDEX(KPIs!$D$2:$D$71,$BL75))</f>
        <v/>
      </c>
      <c r="E75" s="24">
        <f>IF($BL75="","",INDEX(KPIs!$E$2:$E$71,$BL75))</f>
        <v/>
      </c>
      <c r="F75" s="32">
        <f>IF($BL75="","",INDEX(KPIs!$F$2:$F$71,$BL75))</f>
        <v/>
      </c>
      <c r="G75" s="32">
        <f>IF($BL75="","",INDEX(KPIs!$G$2:$G$71,$BL75))</f>
        <v/>
      </c>
      <c r="H75" s="32">
        <f>IF($BL75="","",INDEX(KPIs!$H$2:$H$71,$BL75))</f>
        <v/>
      </c>
      <c r="I75" s="21">
        <f>IF($BL75="","",INDEX(KPIs!$N$2:$N$71,$BL75))</f>
        <v/>
      </c>
      <c r="J75" s="24">
        <f>IF($BL75="","",INDEX(KPIs!$O$2:$O$71,$BL75))</f>
        <v/>
      </c>
      <c r="K75" s="24">
        <f>IF($BL75="","",INDEX(KPIs!$I$2:$I$71,$BL75))</f>
        <v/>
      </c>
      <c r="L75" s="24">
        <f>IF($BL75="","",INDEX(KPIs!$J$2:$J$71,$BL75))</f>
        <v/>
      </c>
      <c r="BL75">
        <f>IFERROR(MATCH(19,$BN$2:$BN$71,0),"")</f>
        <v/>
      </c>
      <c r="BR75">
        <f>IF(AND(Hitos!$A75&lt;&gt;"",OR($C$5="(Todos)",Hitos!$I75=$C$5),OR($C$6="(Todas)",Hitos!$J75=$C$6),OR(Hitos!$L75="Vencido",Hitos!$L75="Esta semana",Hitos!$L75="Próximos 30 días")),BS75,"")</f>
        <v/>
      </c>
      <c r="BS75">
        <f>IF(AND(Hitos!$A75&lt;&gt;"",OR($C$5="(Todos)",Hitos!$I75=$C$5),OR($C$6="(Todas)",Hitos!$J75=$C$6),OR(Hitos!$L75="Vencido",Hitos!$L75="Esta semana",Hitos!$L75="Próximos 30 días")),N(BS74)+1,N(BS74))</f>
        <v/>
      </c>
    </row>
    <row r="76" ht="17" customHeight="1">
      <c r="B76" s="19">
        <f>IF($BL76="","",INDEX(KPIs!$K$2:$K$71,$BL76))</f>
        <v/>
      </c>
      <c r="C76" s="19">
        <f>IF($BL76="","",INDEX(KPIs!$C$2:$C$71,$BL76))</f>
        <v/>
      </c>
      <c r="D76" s="24">
        <f>IF($BL76="","",INDEX(KPIs!$D$2:$D$71,$BL76))</f>
        <v/>
      </c>
      <c r="E76" s="24">
        <f>IF($BL76="","",INDEX(KPIs!$E$2:$E$71,$BL76))</f>
        <v/>
      </c>
      <c r="F76" s="32">
        <f>IF($BL76="","",INDEX(KPIs!$F$2:$F$71,$BL76))</f>
        <v/>
      </c>
      <c r="G76" s="32">
        <f>IF($BL76="","",INDEX(KPIs!$G$2:$G$71,$BL76))</f>
        <v/>
      </c>
      <c r="H76" s="32">
        <f>IF($BL76="","",INDEX(KPIs!$H$2:$H$71,$BL76))</f>
        <v/>
      </c>
      <c r="I76" s="21">
        <f>IF($BL76="","",INDEX(KPIs!$N$2:$N$71,$BL76))</f>
        <v/>
      </c>
      <c r="J76" s="24">
        <f>IF($BL76="","",INDEX(KPIs!$O$2:$O$71,$BL76))</f>
        <v/>
      </c>
      <c r="K76" s="24">
        <f>IF($BL76="","",INDEX(KPIs!$I$2:$I$71,$BL76))</f>
        <v/>
      </c>
      <c r="L76" s="24">
        <f>IF($BL76="","",INDEX(KPIs!$J$2:$J$71,$BL76))</f>
        <v/>
      </c>
      <c r="BL76">
        <f>IFERROR(MATCH(20,$BN$2:$BN$71,0),"")</f>
        <v/>
      </c>
      <c r="BR76">
        <f>IF(AND(Hitos!$A76&lt;&gt;"",OR($C$5="(Todos)",Hitos!$I76=$C$5),OR($C$6="(Todas)",Hitos!$J76=$C$6),OR(Hitos!$L76="Vencido",Hitos!$L76="Esta semana",Hitos!$L76="Próximos 30 días")),BS76,"")</f>
        <v/>
      </c>
      <c r="BS76">
        <f>IF(AND(Hitos!$A76&lt;&gt;"",OR($C$5="(Todos)",Hitos!$I76=$C$5),OR($C$6="(Todas)",Hitos!$J76=$C$6),OR(Hitos!$L76="Vencido",Hitos!$L76="Esta semana",Hitos!$L76="Próximos 30 días")),N(BS75)+1,N(BS75))</f>
        <v/>
      </c>
    </row>
    <row r="77" ht="17" customHeight="1">
      <c r="B77" s="19">
        <f>IF($BL77="","",INDEX(KPIs!$K$2:$K$71,$BL77))</f>
        <v/>
      </c>
      <c r="C77" s="19">
        <f>IF($BL77="","",INDEX(KPIs!$C$2:$C$71,$BL77))</f>
        <v/>
      </c>
      <c r="D77" s="24">
        <f>IF($BL77="","",INDEX(KPIs!$D$2:$D$71,$BL77))</f>
        <v/>
      </c>
      <c r="E77" s="24">
        <f>IF($BL77="","",INDEX(KPIs!$E$2:$E$71,$BL77))</f>
        <v/>
      </c>
      <c r="F77" s="32">
        <f>IF($BL77="","",INDEX(KPIs!$F$2:$F$71,$BL77))</f>
        <v/>
      </c>
      <c r="G77" s="32">
        <f>IF($BL77="","",INDEX(KPIs!$G$2:$G$71,$BL77))</f>
        <v/>
      </c>
      <c r="H77" s="32">
        <f>IF($BL77="","",INDEX(KPIs!$H$2:$H$71,$BL77))</f>
        <v/>
      </c>
      <c r="I77" s="21">
        <f>IF($BL77="","",INDEX(KPIs!$N$2:$N$71,$BL77))</f>
        <v/>
      </c>
      <c r="J77" s="24">
        <f>IF($BL77="","",INDEX(KPIs!$O$2:$O$71,$BL77))</f>
        <v/>
      </c>
      <c r="K77" s="24">
        <f>IF($BL77="","",INDEX(KPIs!$I$2:$I$71,$BL77))</f>
        <v/>
      </c>
      <c r="L77" s="24">
        <f>IF($BL77="","",INDEX(KPIs!$J$2:$J$71,$BL77))</f>
        <v/>
      </c>
      <c r="BL77">
        <f>IFERROR(MATCH(21,$BN$2:$BN$71,0),"")</f>
        <v/>
      </c>
      <c r="BR77">
        <f>IF(AND(Hitos!$A77&lt;&gt;"",OR($C$5="(Todos)",Hitos!$I77=$C$5),OR($C$6="(Todas)",Hitos!$J77=$C$6),OR(Hitos!$L77="Vencido",Hitos!$L77="Esta semana",Hitos!$L77="Próximos 30 días")),BS77,"")</f>
        <v/>
      </c>
      <c r="BS77">
        <f>IF(AND(Hitos!$A77&lt;&gt;"",OR($C$5="(Todos)",Hitos!$I77=$C$5),OR($C$6="(Todas)",Hitos!$J77=$C$6),OR(Hitos!$L77="Vencido",Hitos!$L77="Esta semana",Hitos!$L77="Próximos 30 días")),N(BS76)+1,N(BS76))</f>
        <v/>
      </c>
    </row>
    <row r="78" ht="17" customHeight="1">
      <c r="B78" s="19">
        <f>IF($BL78="","",INDEX(KPIs!$K$2:$K$71,$BL78))</f>
        <v/>
      </c>
      <c r="C78" s="19">
        <f>IF($BL78="","",INDEX(KPIs!$C$2:$C$71,$BL78))</f>
        <v/>
      </c>
      <c r="D78" s="24">
        <f>IF($BL78="","",INDEX(KPIs!$D$2:$D$71,$BL78))</f>
        <v/>
      </c>
      <c r="E78" s="24">
        <f>IF($BL78="","",INDEX(KPIs!$E$2:$E$71,$BL78))</f>
        <v/>
      </c>
      <c r="F78" s="32">
        <f>IF($BL78="","",INDEX(KPIs!$F$2:$F$71,$BL78))</f>
        <v/>
      </c>
      <c r="G78" s="32">
        <f>IF($BL78="","",INDEX(KPIs!$G$2:$G$71,$BL78))</f>
        <v/>
      </c>
      <c r="H78" s="32">
        <f>IF($BL78="","",INDEX(KPIs!$H$2:$H$71,$BL78))</f>
        <v/>
      </c>
      <c r="I78" s="21">
        <f>IF($BL78="","",INDEX(KPIs!$N$2:$N$71,$BL78))</f>
        <v/>
      </c>
      <c r="J78" s="24">
        <f>IF($BL78="","",INDEX(KPIs!$O$2:$O$71,$BL78))</f>
        <v/>
      </c>
      <c r="K78" s="24">
        <f>IF($BL78="","",INDEX(KPIs!$I$2:$I$71,$BL78))</f>
        <v/>
      </c>
      <c r="L78" s="24">
        <f>IF($BL78="","",INDEX(KPIs!$J$2:$J$71,$BL78))</f>
        <v/>
      </c>
      <c r="BL78">
        <f>IFERROR(MATCH(22,$BN$2:$BN$71,0),"")</f>
        <v/>
      </c>
      <c r="BR78">
        <f>IF(AND(Hitos!$A78&lt;&gt;"",OR($C$5="(Todos)",Hitos!$I78=$C$5),OR($C$6="(Todas)",Hitos!$J78=$C$6),OR(Hitos!$L78="Vencido",Hitos!$L78="Esta semana",Hitos!$L78="Próximos 30 días")),BS78,"")</f>
        <v/>
      </c>
      <c r="BS78">
        <f>IF(AND(Hitos!$A78&lt;&gt;"",OR($C$5="(Todos)",Hitos!$I78=$C$5),OR($C$6="(Todas)",Hitos!$J78=$C$6),OR(Hitos!$L78="Vencido",Hitos!$L78="Esta semana",Hitos!$L78="Próximos 30 días")),N(BS77)+1,N(BS77))</f>
        <v/>
      </c>
    </row>
    <row r="79" ht="17" customHeight="1">
      <c r="B79" s="19">
        <f>IF($BL79="","",INDEX(KPIs!$K$2:$K$71,$BL79))</f>
        <v/>
      </c>
      <c r="C79" s="19">
        <f>IF($BL79="","",INDEX(KPIs!$C$2:$C$71,$BL79))</f>
        <v/>
      </c>
      <c r="D79" s="24">
        <f>IF($BL79="","",INDEX(KPIs!$D$2:$D$71,$BL79))</f>
        <v/>
      </c>
      <c r="E79" s="24">
        <f>IF($BL79="","",INDEX(KPIs!$E$2:$E$71,$BL79))</f>
        <v/>
      </c>
      <c r="F79" s="32">
        <f>IF($BL79="","",INDEX(KPIs!$F$2:$F$71,$BL79))</f>
        <v/>
      </c>
      <c r="G79" s="32">
        <f>IF($BL79="","",INDEX(KPIs!$G$2:$G$71,$BL79))</f>
        <v/>
      </c>
      <c r="H79" s="32">
        <f>IF($BL79="","",INDEX(KPIs!$H$2:$H$71,$BL79))</f>
        <v/>
      </c>
      <c r="I79" s="21">
        <f>IF($BL79="","",INDEX(KPIs!$N$2:$N$71,$BL79))</f>
        <v/>
      </c>
      <c r="J79" s="24">
        <f>IF($BL79="","",INDEX(KPIs!$O$2:$O$71,$BL79))</f>
        <v/>
      </c>
      <c r="K79" s="24">
        <f>IF($BL79="","",INDEX(KPIs!$I$2:$I$71,$BL79))</f>
        <v/>
      </c>
      <c r="L79" s="24">
        <f>IF($BL79="","",INDEX(KPIs!$J$2:$J$71,$BL79))</f>
        <v/>
      </c>
      <c r="BL79">
        <f>IFERROR(MATCH(23,$BN$2:$BN$71,0),"")</f>
        <v/>
      </c>
      <c r="BR79">
        <f>IF(AND(Hitos!$A79&lt;&gt;"",OR($C$5="(Todos)",Hitos!$I79=$C$5),OR($C$6="(Todas)",Hitos!$J79=$C$6),OR(Hitos!$L79="Vencido",Hitos!$L79="Esta semana",Hitos!$L79="Próximos 30 días")),BS79,"")</f>
        <v/>
      </c>
      <c r="BS79">
        <f>IF(AND(Hitos!$A79&lt;&gt;"",OR($C$5="(Todos)",Hitos!$I79=$C$5),OR($C$6="(Todas)",Hitos!$J79=$C$6),OR(Hitos!$L79="Vencido",Hitos!$L79="Esta semana",Hitos!$L79="Próximos 30 días")),N(BS78)+1,N(BS78))</f>
        <v/>
      </c>
    </row>
    <row r="80" ht="17" customHeight="1">
      <c r="B80" s="19">
        <f>IF($BL80="","",INDEX(KPIs!$K$2:$K$71,$BL80))</f>
        <v/>
      </c>
      <c r="C80" s="19">
        <f>IF($BL80="","",INDEX(KPIs!$C$2:$C$71,$BL80))</f>
        <v/>
      </c>
      <c r="D80" s="24">
        <f>IF($BL80="","",INDEX(KPIs!$D$2:$D$71,$BL80))</f>
        <v/>
      </c>
      <c r="E80" s="24">
        <f>IF($BL80="","",INDEX(KPIs!$E$2:$E$71,$BL80))</f>
        <v/>
      </c>
      <c r="F80" s="32">
        <f>IF($BL80="","",INDEX(KPIs!$F$2:$F$71,$BL80))</f>
        <v/>
      </c>
      <c r="G80" s="32">
        <f>IF($BL80="","",INDEX(KPIs!$G$2:$G$71,$BL80))</f>
        <v/>
      </c>
      <c r="H80" s="32">
        <f>IF($BL80="","",INDEX(KPIs!$H$2:$H$71,$BL80))</f>
        <v/>
      </c>
      <c r="I80" s="21">
        <f>IF($BL80="","",INDEX(KPIs!$N$2:$N$71,$BL80))</f>
        <v/>
      </c>
      <c r="J80" s="24">
        <f>IF($BL80="","",INDEX(KPIs!$O$2:$O$71,$BL80))</f>
        <v/>
      </c>
      <c r="K80" s="24">
        <f>IF($BL80="","",INDEX(KPIs!$I$2:$I$71,$BL80))</f>
        <v/>
      </c>
      <c r="L80" s="24">
        <f>IF($BL80="","",INDEX(KPIs!$J$2:$J$71,$BL80))</f>
        <v/>
      </c>
      <c r="BL80">
        <f>IFERROR(MATCH(24,$BN$2:$BN$71,0),"")</f>
        <v/>
      </c>
      <c r="BR80">
        <f>IF(AND(Hitos!$A80&lt;&gt;"",OR($C$5="(Todos)",Hitos!$I80=$C$5),OR($C$6="(Todas)",Hitos!$J80=$C$6),OR(Hitos!$L80="Vencido",Hitos!$L80="Esta semana",Hitos!$L80="Próximos 30 días")),BS80,"")</f>
        <v/>
      </c>
      <c r="BS80">
        <f>IF(AND(Hitos!$A80&lt;&gt;"",OR($C$5="(Todos)",Hitos!$I80=$C$5),OR($C$6="(Todas)",Hitos!$J80=$C$6),OR(Hitos!$L80="Vencido",Hitos!$L80="Esta semana",Hitos!$L80="Próximos 30 días")),N(BS79)+1,N(BS79))</f>
        <v/>
      </c>
    </row>
    <row r="81" ht="17" customHeight="1">
      <c r="B81" s="19">
        <f>IF($BL81="","",INDEX(KPIs!$K$2:$K$71,$BL81))</f>
        <v/>
      </c>
      <c r="C81" s="19">
        <f>IF($BL81="","",INDEX(KPIs!$C$2:$C$71,$BL81))</f>
        <v/>
      </c>
      <c r="D81" s="24">
        <f>IF($BL81="","",INDEX(KPIs!$D$2:$D$71,$BL81))</f>
        <v/>
      </c>
      <c r="E81" s="24">
        <f>IF($BL81="","",INDEX(KPIs!$E$2:$E$71,$BL81))</f>
        <v/>
      </c>
      <c r="F81" s="32">
        <f>IF($BL81="","",INDEX(KPIs!$F$2:$F$71,$BL81))</f>
        <v/>
      </c>
      <c r="G81" s="32">
        <f>IF($BL81="","",INDEX(KPIs!$G$2:$G$71,$BL81))</f>
        <v/>
      </c>
      <c r="H81" s="32">
        <f>IF($BL81="","",INDEX(KPIs!$H$2:$H$71,$BL81))</f>
        <v/>
      </c>
      <c r="I81" s="21">
        <f>IF($BL81="","",INDEX(KPIs!$N$2:$N$71,$BL81))</f>
        <v/>
      </c>
      <c r="J81" s="24">
        <f>IF($BL81="","",INDEX(KPIs!$O$2:$O$71,$BL81))</f>
        <v/>
      </c>
      <c r="K81" s="24">
        <f>IF($BL81="","",INDEX(KPIs!$I$2:$I$71,$BL81))</f>
        <v/>
      </c>
      <c r="L81" s="24">
        <f>IF($BL81="","",INDEX(KPIs!$J$2:$J$71,$BL81))</f>
        <v/>
      </c>
      <c r="BL81">
        <f>IFERROR(MATCH(25,$BN$2:$BN$71,0),"")</f>
        <v/>
      </c>
      <c r="BR81">
        <f>IF(AND(Hitos!$A81&lt;&gt;"",OR($C$5="(Todos)",Hitos!$I81=$C$5),OR($C$6="(Todas)",Hitos!$J81=$C$6),OR(Hitos!$L81="Vencido",Hitos!$L81="Esta semana",Hitos!$L81="Próximos 30 días")),BS81,"")</f>
        <v/>
      </c>
      <c r="BS81">
        <f>IF(AND(Hitos!$A81&lt;&gt;"",OR($C$5="(Todos)",Hitos!$I81=$C$5),OR($C$6="(Todas)",Hitos!$J81=$C$6),OR(Hitos!$L81="Vencido",Hitos!$L81="Esta semana",Hitos!$L81="Próximos 30 días")),N(BS80)+1,N(BS80))</f>
        <v/>
      </c>
    </row>
    <row r="82" ht="17" customHeight="1">
      <c r="B82" s="19">
        <f>IF($BL82="","",INDEX(KPIs!$K$2:$K$71,$BL82))</f>
        <v/>
      </c>
      <c r="C82" s="19">
        <f>IF($BL82="","",INDEX(KPIs!$C$2:$C$71,$BL82))</f>
        <v/>
      </c>
      <c r="D82" s="24">
        <f>IF($BL82="","",INDEX(KPIs!$D$2:$D$71,$BL82))</f>
        <v/>
      </c>
      <c r="E82" s="24">
        <f>IF($BL82="","",INDEX(KPIs!$E$2:$E$71,$BL82))</f>
        <v/>
      </c>
      <c r="F82" s="32">
        <f>IF($BL82="","",INDEX(KPIs!$F$2:$F$71,$BL82))</f>
        <v/>
      </c>
      <c r="G82" s="32">
        <f>IF($BL82="","",INDEX(KPIs!$G$2:$G$71,$BL82))</f>
        <v/>
      </c>
      <c r="H82" s="32">
        <f>IF($BL82="","",INDEX(KPIs!$H$2:$H$71,$BL82))</f>
        <v/>
      </c>
      <c r="I82" s="21">
        <f>IF($BL82="","",INDEX(KPIs!$N$2:$N$71,$BL82))</f>
        <v/>
      </c>
      <c r="J82" s="24">
        <f>IF($BL82="","",INDEX(KPIs!$O$2:$O$71,$BL82))</f>
        <v/>
      </c>
      <c r="K82" s="24">
        <f>IF($BL82="","",INDEX(KPIs!$I$2:$I$71,$BL82))</f>
        <v/>
      </c>
      <c r="L82" s="24">
        <f>IF($BL82="","",INDEX(KPIs!$J$2:$J$71,$BL82))</f>
        <v/>
      </c>
      <c r="BL82">
        <f>IFERROR(MATCH(26,$BN$2:$BN$71,0),"")</f>
        <v/>
      </c>
    </row>
    <row r="83" ht="17" customHeight="1">
      <c r="B83" s="19">
        <f>IF($BL83="","",INDEX(KPIs!$K$2:$K$71,$BL83))</f>
        <v/>
      </c>
      <c r="C83" s="19">
        <f>IF($BL83="","",INDEX(KPIs!$C$2:$C$71,$BL83))</f>
        <v/>
      </c>
      <c r="D83" s="24">
        <f>IF($BL83="","",INDEX(KPIs!$D$2:$D$71,$BL83))</f>
        <v/>
      </c>
      <c r="E83" s="24">
        <f>IF($BL83="","",INDEX(KPIs!$E$2:$E$71,$BL83))</f>
        <v/>
      </c>
      <c r="F83" s="32">
        <f>IF($BL83="","",INDEX(KPIs!$F$2:$F$71,$BL83))</f>
        <v/>
      </c>
      <c r="G83" s="32">
        <f>IF($BL83="","",INDEX(KPIs!$G$2:$G$71,$BL83))</f>
        <v/>
      </c>
      <c r="H83" s="32">
        <f>IF($BL83="","",INDEX(KPIs!$H$2:$H$71,$BL83))</f>
        <v/>
      </c>
      <c r="I83" s="21">
        <f>IF($BL83="","",INDEX(KPIs!$N$2:$N$71,$BL83))</f>
        <v/>
      </c>
      <c r="J83" s="24">
        <f>IF($BL83="","",INDEX(KPIs!$O$2:$O$71,$BL83))</f>
        <v/>
      </c>
      <c r="K83" s="24">
        <f>IF($BL83="","",INDEX(KPIs!$I$2:$I$71,$BL83))</f>
        <v/>
      </c>
      <c r="L83" s="24">
        <f>IF($BL83="","",INDEX(KPIs!$J$2:$J$71,$BL83))</f>
        <v/>
      </c>
      <c r="BL83">
        <f>IFERROR(MATCH(27,$BN$2:$BN$71,0),"")</f>
        <v/>
      </c>
    </row>
    <row r="84" ht="17" customHeight="1">
      <c r="B84" s="19">
        <f>IF($BL84="","",INDEX(KPIs!$K$2:$K$71,$BL84))</f>
        <v/>
      </c>
      <c r="C84" s="19">
        <f>IF($BL84="","",INDEX(KPIs!$C$2:$C$71,$BL84))</f>
        <v/>
      </c>
      <c r="D84" s="24">
        <f>IF($BL84="","",INDEX(KPIs!$D$2:$D$71,$BL84))</f>
        <v/>
      </c>
      <c r="E84" s="24">
        <f>IF($BL84="","",INDEX(KPIs!$E$2:$E$71,$BL84))</f>
        <v/>
      </c>
      <c r="F84" s="32">
        <f>IF($BL84="","",INDEX(KPIs!$F$2:$F$71,$BL84))</f>
        <v/>
      </c>
      <c r="G84" s="32">
        <f>IF($BL84="","",INDEX(KPIs!$G$2:$G$71,$BL84))</f>
        <v/>
      </c>
      <c r="H84" s="32">
        <f>IF($BL84="","",INDEX(KPIs!$H$2:$H$71,$BL84))</f>
        <v/>
      </c>
      <c r="I84" s="21">
        <f>IF($BL84="","",INDEX(KPIs!$N$2:$N$71,$BL84))</f>
        <v/>
      </c>
      <c r="J84" s="24">
        <f>IF($BL84="","",INDEX(KPIs!$O$2:$O$71,$BL84))</f>
        <v/>
      </c>
      <c r="K84" s="24">
        <f>IF($BL84="","",INDEX(KPIs!$I$2:$I$71,$BL84))</f>
        <v/>
      </c>
      <c r="L84" s="24">
        <f>IF($BL84="","",INDEX(KPIs!$J$2:$J$71,$BL84))</f>
        <v/>
      </c>
      <c r="BL84">
        <f>IFERROR(MATCH(28,$BN$2:$BN$71,0),"")</f>
        <v/>
      </c>
    </row>
    <row r="85" ht="17" customHeight="1">
      <c r="B85" s="19">
        <f>IF($BL85="","",INDEX(KPIs!$K$2:$K$71,$BL85))</f>
        <v/>
      </c>
      <c r="C85" s="19">
        <f>IF($BL85="","",INDEX(KPIs!$C$2:$C$71,$BL85))</f>
        <v/>
      </c>
      <c r="D85" s="24">
        <f>IF($BL85="","",INDEX(KPIs!$D$2:$D$71,$BL85))</f>
        <v/>
      </c>
      <c r="E85" s="24">
        <f>IF($BL85="","",INDEX(KPIs!$E$2:$E$71,$BL85))</f>
        <v/>
      </c>
      <c r="F85" s="32">
        <f>IF($BL85="","",INDEX(KPIs!$F$2:$F$71,$BL85))</f>
        <v/>
      </c>
      <c r="G85" s="32">
        <f>IF($BL85="","",INDEX(KPIs!$G$2:$G$71,$BL85))</f>
        <v/>
      </c>
      <c r="H85" s="32">
        <f>IF($BL85="","",INDEX(KPIs!$H$2:$H$71,$BL85))</f>
        <v/>
      </c>
      <c r="I85" s="21">
        <f>IF($BL85="","",INDEX(KPIs!$N$2:$N$71,$BL85))</f>
        <v/>
      </c>
      <c r="J85" s="24">
        <f>IF($BL85="","",INDEX(KPIs!$O$2:$O$71,$BL85))</f>
        <v/>
      </c>
      <c r="K85" s="24">
        <f>IF($BL85="","",INDEX(KPIs!$I$2:$I$71,$BL85))</f>
        <v/>
      </c>
      <c r="L85" s="24">
        <f>IF($BL85="","",INDEX(KPIs!$J$2:$J$71,$BL85))</f>
        <v/>
      </c>
      <c r="BL85">
        <f>IFERROR(MATCH(29,$BN$2:$BN$71,0),"")</f>
        <v/>
      </c>
    </row>
    <row r="86" ht="17" customHeight="1">
      <c r="B86" s="19">
        <f>IF($BL86="","",INDEX(KPIs!$K$2:$K$71,$BL86))</f>
        <v/>
      </c>
      <c r="C86" s="19">
        <f>IF($BL86="","",INDEX(KPIs!$C$2:$C$71,$BL86))</f>
        <v/>
      </c>
      <c r="D86" s="24">
        <f>IF($BL86="","",INDEX(KPIs!$D$2:$D$71,$BL86))</f>
        <v/>
      </c>
      <c r="E86" s="24">
        <f>IF($BL86="","",INDEX(KPIs!$E$2:$E$71,$BL86))</f>
        <v/>
      </c>
      <c r="F86" s="32">
        <f>IF($BL86="","",INDEX(KPIs!$F$2:$F$71,$BL86))</f>
        <v/>
      </c>
      <c r="G86" s="32">
        <f>IF($BL86="","",INDEX(KPIs!$G$2:$G$71,$BL86))</f>
        <v/>
      </c>
      <c r="H86" s="32">
        <f>IF($BL86="","",INDEX(KPIs!$H$2:$H$71,$BL86))</f>
        <v/>
      </c>
      <c r="I86" s="21">
        <f>IF($BL86="","",INDEX(KPIs!$N$2:$N$71,$BL86))</f>
        <v/>
      </c>
      <c r="J86" s="24">
        <f>IF($BL86="","",INDEX(KPIs!$O$2:$O$71,$BL86))</f>
        <v/>
      </c>
      <c r="K86" s="24">
        <f>IF($BL86="","",INDEX(KPIs!$I$2:$I$71,$BL86))</f>
        <v/>
      </c>
      <c r="L86" s="24">
        <f>IF($BL86="","",INDEX(KPIs!$J$2:$J$71,$BL86))</f>
        <v/>
      </c>
      <c r="BL86">
        <f>IFERROR(MATCH(30,$BN$2:$BN$71,0),"")</f>
        <v/>
      </c>
    </row>
    <row r="87" ht="17" customHeight="1">
      <c r="B87" s="19">
        <f>IF($BL87="","",INDEX(KPIs!$K$2:$K$71,$BL87))</f>
        <v/>
      </c>
      <c r="C87" s="19">
        <f>IF($BL87="","",INDEX(KPIs!$C$2:$C$71,$BL87))</f>
        <v/>
      </c>
      <c r="D87" s="24">
        <f>IF($BL87="","",INDEX(KPIs!$D$2:$D$71,$BL87))</f>
        <v/>
      </c>
      <c r="E87" s="24">
        <f>IF($BL87="","",INDEX(KPIs!$E$2:$E$71,$BL87))</f>
        <v/>
      </c>
      <c r="F87" s="32">
        <f>IF($BL87="","",INDEX(KPIs!$F$2:$F$71,$BL87))</f>
        <v/>
      </c>
      <c r="G87" s="32">
        <f>IF($BL87="","",INDEX(KPIs!$G$2:$G$71,$BL87))</f>
        <v/>
      </c>
      <c r="H87" s="32">
        <f>IF($BL87="","",INDEX(KPIs!$H$2:$H$71,$BL87))</f>
        <v/>
      </c>
      <c r="I87" s="21">
        <f>IF($BL87="","",INDEX(KPIs!$N$2:$N$71,$BL87))</f>
        <v/>
      </c>
      <c r="J87" s="24">
        <f>IF($BL87="","",INDEX(KPIs!$O$2:$O$71,$BL87))</f>
        <v/>
      </c>
      <c r="K87" s="24">
        <f>IF($BL87="","",INDEX(KPIs!$I$2:$I$71,$BL87))</f>
        <v/>
      </c>
      <c r="L87" s="24">
        <f>IF($BL87="","",INDEX(KPIs!$J$2:$J$71,$BL87))</f>
        <v/>
      </c>
      <c r="BL87">
        <f>IFERROR(MATCH(31,$BN$2:$BN$71,0),"")</f>
        <v/>
      </c>
    </row>
    <row r="88" ht="17" customHeight="1">
      <c r="B88" s="19">
        <f>IF($BL88="","",INDEX(KPIs!$K$2:$K$71,$BL88))</f>
        <v/>
      </c>
      <c r="C88" s="19">
        <f>IF($BL88="","",INDEX(KPIs!$C$2:$C$71,$BL88))</f>
        <v/>
      </c>
      <c r="D88" s="24">
        <f>IF($BL88="","",INDEX(KPIs!$D$2:$D$71,$BL88))</f>
        <v/>
      </c>
      <c r="E88" s="24">
        <f>IF($BL88="","",INDEX(KPIs!$E$2:$E$71,$BL88))</f>
        <v/>
      </c>
      <c r="F88" s="32">
        <f>IF($BL88="","",INDEX(KPIs!$F$2:$F$71,$BL88))</f>
        <v/>
      </c>
      <c r="G88" s="32">
        <f>IF($BL88="","",INDEX(KPIs!$G$2:$G$71,$BL88))</f>
        <v/>
      </c>
      <c r="H88" s="32">
        <f>IF($BL88="","",INDEX(KPIs!$H$2:$H$71,$BL88))</f>
        <v/>
      </c>
      <c r="I88" s="21">
        <f>IF($BL88="","",INDEX(KPIs!$N$2:$N$71,$BL88))</f>
        <v/>
      </c>
      <c r="J88" s="24">
        <f>IF($BL88="","",INDEX(KPIs!$O$2:$O$71,$BL88))</f>
        <v/>
      </c>
      <c r="K88" s="24">
        <f>IF($BL88="","",INDEX(KPIs!$I$2:$I$71,$BL88))</f>
        <v/>
      </c>
      <c r="L88" s="24">
        <f>IF($BL88="","",INDEX(KPIs!$J$2:$J$71,$BL88))</f>
        <v/>
      </c>
      <c r="BL88">
        <f>IFERROR(MATCH(32,$BN$2:$BN$71,0),"")</f>
        <v/>
      </c>
    </row>
    <row r="89" ht="17" customHeight="1">
      <c r="B89" s="19">
        <f>IF($BL89="","",INDEX(KPIs!$K$2:$K$71,$BL89))</f>
        <v/>
      </c>
      <c r="C89" s="19">
        <f>IF($BL89="","",INDEX(KPIs!$C$2:$C$71,$BL89))</f>
        <v/>
      </c>
      <c r="D89" s="24">
        <f>IF($BL89="","",INDEX(KPIs!$D$2:$D$71,$BL89))</f>
        <v/>
      </c>
      <c r="E89" s="24">
        <f>IF($BL89="","",INDEX(KPIs!$E$2:$E$71,$BL89))</f>
        <v/>
      </c>
      <c r="F89" s="32">
        <f>IF($BL89="","",INDEX(KPIs!$F$2:$F$71,$BL89))</f>
        <v/>
      </c>
      <c r="G89" s="32">
        <f>IF($BL89="","",INDEX(KPIs!$G$2:$G$71,$BL89))</f>
        <v/>
      </c>
      <c r="H89" s="32">
        <f>IF($BL89="","",INDEX(KPIs!$H$2:$H$71,$BL89))</f>
        <v/>
      </c>
      <c r="I89" s="21">
        <f>IF($BL89="","",INDEX(KPIs!$N$2:$N$71,$BL89))</f>
        <v/>
      </c>
      <c r="J89" s="24">
        <f>IF($BL89="","",INDEX(KPIs!$O$2:$O$71,$BL89))</f>
        <v/>
      </c>
      <c r="K89" s="24">
        <f>IF($BL89="","",INDEX(KPIs!$I$2:$I$71,$BL89))</f>
        <v/>
      </c>
      <c r="L89" s="24">
        <f>IF($BL89="","",INDEX(KPIs!$J$2:$J$71,$BL89))</f>
        <v/>
      </c>
      <c r="BL89">
        <f>IFERROR(MATCH(33,$BN$2:$BN$71,0),"")</f>
        <v/>
      </c>
    </row>
    <row r="90" ht="17" customHeight="1">
      <c r="B90" s="19">
        <f>IF($BL90="","",INDEX(KPIs!$K$2:$K$71,$BL90))</f>
        <v/>
      </c>
      <c r="C90" s="19">
        <f>IF($BL90="","",INDEX(KPIs!$C$2:$C$71,$BL90))</f>
        <v/>
      </c>
      <c r="D90" s="24">
        <f>IF($BL90="","",INDEX(KPIs!$D$2:$D$71,$BL90))</f>
        <v/>
      </c>
      <c r="E90" s="24">
        <f>IF($BL90="","",INDEX(KPIs!$E$2:$E$71,$BL90))</f>
        <v/>
      </c>
      <c r="F90" s="32">
        <f>IF($BL90="","",INDEX(KPIs!$F$2:$F$71,$BL90))</f>
        <v/>
      </c>
      <c r="G90" s="32">
        <f>IF($BL90="","",INDEX(KPIs!$G$2:$G$71,$BL90))</f>
        <v/>
      </c>
      <c r="H90" s="32">
        <f>IF($BL90="","",INDEX(KPIs!$H$2:$H$71,$BL90))</f>
        <v/>
      </c>
      <c r="I90" s="21">
        <f>IF($BL90="","",INDEX(KPIs!$N$2:$N$71,$BL90))</f>
        <v/>
      </c>
      <c r="J90" s="24">
        <f>IF($BL90="","",INDEX(KPIs!$O$2:$O$71,$BL90))</f>
        <v/>
      </c>
      <c r="K90" s="24">
        <f>IF($BL90="","",INDEX(KPIs!$I$2:$I$71,$BL90))</f>
        <v/>
      </c>
      <c r="L90" s="24">
        <f>IF($BL90="","",INDEX(KPIs!$J$2:$J$71,$BL90))</f>
        <v/>
      </c>
      <c r="BL90">
        <f>IFERROR(MATCH(34,$BN$2:$BN$71,0),"")</f>
        <v/>
      </c>
    </row>
    <row r="91" ht="17" customHeight="1">
      <c r="B91" s="19">
        <f>IF($BL91="","",INDEX(KPIs!$K$2:$K$71,$BL91))</f>
        <v/>
      </c>
      <c r="C91" s="19">
        <f>IF($BL91="","",INDEX(KPIs!$C$2:$C$71,$BL91))</f>
        <v/>
      </c>
      <c r="D91" s="24">
        <f>IF($BL91="","",INDEX(KPIs!$D$2:$D$71,$BL91))</f>
        <v/>
      </c>
      <c r="E91" s="24">
        <f>IF($BL91="","",INDEX(KPIs!$E$2:$E$71,$BL91))</f>
        <v/>
      </c>
      <c r="F91" s="32">
        <f>IF($BL91="","",INDEX(KPIs!$F$2:$F$71,$BL91))</f>
        <v/>
      </c>
      <c r="G91" s="32">
        <f>IF($BL91="","",INDEX(KPIs!$G$2:$G$71,$BL91))</f>
        <v/>
      </c>
      <c r="H91" s="32">
        <f>IF($BL91="","",INDEX(KPIs!$H$2:$H$71,$BL91))</f>
        <v/>
      </c>
      <c r="I91" s="21">
        <f>IF($BL91="","",INDEX(KPIs!$N$2:$N$71,$BL91))</f>
        <v/>
      </c>
      <c r="J91" s="24">
        <f>IF($BL91="","",INDEX(KPIs!$O$2:$O$71,$BL91))</f>
        <v/>
      </c>
      <c r="K91" s="24">
        <f>IF($BL91="","",INDEX(KPIs!$I$2:$I$71,$BL91))</f>
        <v/>
      </c>
      <c r="L91" s="24">
        <f>IF($BL91="","",INDEX(KPIs!$J$2:$J$71,$BL91))</f>
        <v/>
      </c>
      <c r="BL91">
        <f>IFERROR(MATCH(35,$BN$2:$BN$71,0),"")</f>
        <v/>
      </c>
    </row>
    <row r="92" ht="17" customHeight="1">
      <c r="B92" s="19">
        <f>IF($BL92="","",INDEX(KPIs!$K$2:$K$71,$BL92))</f>
        <v/>
      </c>
      <c r="C92" s="19">
        <f>IF($BL92="","",INDEX(KPIs!$C$2:$C$71,$BL92))</f>
        <v/>
      </c>
      <c r="D92" s="24">
        <f>IF($BL92="","",INDEX(KPIs!$D$2:$D$71,$BL92))</f>
        <v/>
      </c>
      <c r="E92" s="24">
        <f>IF($BL92="","",INDEX(KPIs!$E$2:$E$71,$BL92))</f>
        <v/>
      </c>
      <c r="F92" s="32">
        <f>IF($BL92="","",INDEX(KPIs!$F$2:$F$71,$BL92))</f>
        <v/>
      </c>
      <c r="G92" s="32">
        <f>IF($BL92="","",INDEX(KPIs!$G$2:$G$71,$BL92))</f>
        <v/>
      </c>
      <c r="H92" s="32">
        <f>IF($BL92="","",INDEX(KPIs!$H$2:$H$71,$BL92))</f>
        <v/>
      </c>
      <c r="I92" s="21">
        <f>IF($BL92="","",INDEX(KPIs!$N$2:$N$71,$BL92))</f>
        <v/>
      </c>
      <c r="J92" s="24">
        <f>IF($BL92="","",INDEX(KPIs!$O$2:$O$71,$BL92))</f>
        <v/>
      </c>
      <c r="K92" s="24">
        <f>IF($BL92="","",INDEX(KPIs!$I$2:$I$71,$BL92))</f>
        <v/>
      </c>
      <c r="L92" s="24">
        <f>IF($BL92="","",INDEX(KPIs!$J$2:$J$71,$BL92))</f>
        <v/>
      </c>
      <c r="BL92">
        <f>IFERROR(MATCH(36,$BN$2:$BN$71,0),"")</f>
        <v/>
      </c>
    </row>
    <row r="93" ht="17" customHeight="1">
      <c r="B93" s="19">
        <f>IF($BL93="","",INDEX(KPIs!$K$2:$K$71,$BL93))</f>
        <v/>
      </c>
      <c r="C93" s="19">
        <f>IF($BL93="","",INDEX(KPIs!$C$2:$C$71,$BL93))</f>
        <v/>
      </c>
      <c r="D93" s="24">
        <f>IF($BL93="","",INDEX(KPIs!$D$2:$D$71,$BL93))</f>
        <v/>
      </c>
      <c r="E93" s="24">
        <f>IF($BL93="","",INDEX(KPIs!$E$2:$E$71,$BL93))</f>
        <v/>
      </c>
      <c r="F93" s="32">
        <f>IF($BL93="","",INDEX(KPIs!$F$2:$F$71,$BL93))</f>
        <v/>
      </c>
      <c r="G93" s="32">
        <f>IF($BL93="","",INDEX(KPIs!$G$2:$G$71,$BL93))</f>
        <v/>
      </c>
      <c r="H93" s="32">
        <f>IF($BL93="","",INDEX(KPIs!$H$2:$H$71,$BL93))</f>
        <v/>
      </c>
      <c r="I93" s="21">
        <f>IF($BL93="","",INDEX(KPIs!$N$2:$N$71,$BL93))</f>
        <v/>
      </c>
      <c r="J93" s="24">
        <f>IF($BL93="","",INDEX(KPIs!$O$2:$O$71,$BL93))</f>
        <v/>
      </c>
      <c r="K93" s="24">
        <f>IF($BL93="","",INDEX(KPIs!$I$2:$I$71,$BL93))</f>
        <v/>
      </c>
      <c r="L93" s="24">
        <f>IF($BL93="","",INDEX(KPIs!$J$2:$J$71,$BL93))</f>
        <v/>
      </c>
      <c r="BL93">
        <f>IFERROR(MATCH(37,$BN$2:$BN$71,0),"")</f>
        <v/>
      </c>
    </row>
    <row r="94" ht="17" customHeight="1">
      <c r="B94" s="19">
        <f>IF($BL94="","",INDEX(KPIs!$K$2:$K$71,$BL94))</f>
        <v/>
      </c>
      <c r="C94" s="19">
        <f>IF($BL94="","",INDEX(KPIs!$C$2:$C$71,$BL94))</f>
        <v/>
      </c>
      <c r="D94" s="24">
        <f>IF($BL94="","",INDEX(KPIs!$D$2:$D$71,$BL94))</f>
        <v/>
      </c>
      <c r="E94" s="24">
        <f>IF($BL94="","",INDEX(KPIs!$E$2:$E$71,$BL94))</f>
        <v/>
      </c>
      <c r="F94" s="32">
        <f>IF($BL94="","",INDEX(KPIs!$F$2:$F$71,$BL94))</f>
        <v/>
      </c>
      <c r="G94" s="32">
        <f>IF($BL94="","",INDEX(KPIs!$G$2:$G$71,$BL94))</f>
        <v/>
      </c>
      <c r="H94" s="32">
        <f>IF($BL94="","",INDEX(KPIs!$H$2:$H$71,$BL94))</f>
        <v/>
      </c>
      <c r="I94" s="21">
        <f>IF($BL94="","",INDEX(KPIs!$N$2:$N$71,$BL94))</f>
        <v/>
      </c>
      <c r="J94" s="24">
        <f>IF($BL94="","",INDEX(KPIs!$O$2:$O$71,$BL94))</f>
        <v/>
      </c>
      <c r="K94" s="24">
        <f>IF($BL94="","",INDEX(KPIs!$I$2:$I$71,$BL94))</f>
        <v/>
      </c>
      <c r="L94" s="24">
        <f>IF($BL94="","",INDEX(KPIs!$J$2:$J$71,$BL94))</f>
        <v/>
      </c>
      <c r="BL94">
        <f>IFERROR(MATCH(38,$BN$2:$BN$71,0),"")</f>
        <v/>
      </c>
    </row>
    <row r="95" ht="17" customHeight="1">
      <c r="B95" s="19">
        <f>IF($BL95="","",INDEX(KPIs!$K$2:$K$71,$BL95))</f>
        <v/>
      </c>
      <c r="C95" s="19">
        <f>IF($BL95="","",INDEX(KPIs!$C$2:$C$71,$BL95))</f>
        <v/>
      </c>
      <c r="D95" s="24">
        <f>IF($BL95="","",INDEX(KPIs!$D$2:$D$71,$BL95))</f>
        <v/>
      </c>
      <c r="E95" s="24">
        <f>IF($BL95="","",INDEX(KPIs!$E$2:$E$71,$BL95))</f>
        <v/>
      </c>
      <c r="F95" s="32">
        <f>IF($BL95="","",INDEX(KPIs!$F$2:$F$71,$BL95))</f>
        <v/>
      </c>
      <c r="G95" s="32">
        <f>IF($BL95="","",INDEX(KPIs!$G$2:$G$71,$BL95))</f>
        <v/>
      </c>
      <c r="H95" s="32">
        <f>IF($BL95="","",INDEX(KPIs!$H$2:$H$71,$BL95))</f>
        <v/>
      </c>
      <c r="I95" s="21">
        <f>IF($BL95="","",INDEX(KPIs!$N$2:$N$71,$BL95))</f>
        <v/>
      </c>
      <c r="J95" s="24">
        <f>IF($BL95="","",INDEX(KPIs!$O$2:$O$71,$BL95))</f>
        <v/>
      </c>
      <c r="K95" s="24">
        <f>IF($BL95="","",INDEX(KPIs!$I$2:$I$71,$BL95))</f>
        <v/>
      </c>
      <c r="L95" s="24">
        <f>IF($BL95="","",INDEX(KPIs!$J$2:$J$71,$BL95))</f>
        <v/>
      </c>
      <c r="BL95">
        <f>IFERROR(MATCH(39,$BN$2:$BN$71,0),"")</f>
        <v/>
      </c>
    </row>
    <row r="96" ht="17" customHeight="1">
      <c r="B96" s="19">
        <f>IF($BL96="","",INDEX(KPIs!$K$2:$K$71,$BL96))</f>
        <v/>
      </c>
      <c r="C96" s="19">
        <f>IF($BL96="","",INDEX(KPIs!$C$2:$C$71,$BL96))</f>
        <v/>
      </c>
      <c r="D96" s="24">
        <f>IF($BL96="","",INDEX(KPIs!$D$2:$D$71,$BL96))</f>
        <v/>
      </c>
      <c r="E96" s="24">
        <f>IF($BL96="","",INDEX(KPIs!$E$2:$E$71,$BL96))</f>
        <v/>
      </c>
      <c r="F96" s="32">
        <f>IF($BL96="","",INDEX(KPIs!$F$2:$F$71,$BL96))</f>
        <v/>
      </c>
      <c r="G96" s="32">
        <f>IF($BL96="","",INDEX(KPIs!$G$2:$G$71,$BL96))</f>
        <v/>
      </c>
      <c r="H96" s="32">
        <f>IF($BL96="","",INDEX(KPIs!$H$2:$H$71,$BL96))</f>
        <v/>
      </c>
      <c r="I96" s="21">
        <f>IF($BL96="","",INDEX(KPIs!$N$2:$N$71,$BL96))</f>
        <v/>
      </c>
      <c r="J96" s="24">
        <f>IF($BL96="","",INDEX(KPIs!$O$2:$O$71,$BL96))</f>
        <v/>
      </c>
      <c r="K96" s="24">
        <f>IF($BL96="","",INDEX(KPIs!$I$2:$I$71,$BL96))</f>
        <v/>
      </c>
      <c r="L96" s="24">
        <f>IF($BL96="","",INDEX(KPIs!$J$2:$J$71,$BL96))</f>
        <v/>
      </c>
      <c r="BL96">
        <f>IFERROR(MATCH(40,$BN$2:$BN$71,0),"")</f>
        <v/>
      </c>
    </row>
    <row r="98">
      <c r="B98" s="5" t="inlineStr">
        <is>
          <t>HITOS VENCIDOS Y DE LOS PRÓXIMOS 30 DÍAS</t>
        </is>
      </c>
    </row>
    <row r="99" ht="34" customHeight="1">
      <c r="B99" s="18" t="inlineStr">
        <is>
          <t>Fecha objetivo</t>
        </is>
      </c>
      <c r="C99" s="18" t="inlineStr">
        <is>
          <t>Alerta</t>
        </is>
      </c>
      <c r="D99" s="18" t="inlineStr">
        <is>
          <t>Hito</t>
        </is>
      </c>
      <c r="E99" s="18" t="inlineStr">
        <is>
          <t>Proyecto</t>
        </is>
      </c>
      <c r="F99" s="18" t="inlineStr">
        <is>
          <t>Responsable</t>
        </is>
      </c>
      <c r="G99" s="18" t="inlineStr">
        <is>
          <t>Estado</t>
        </is>
      </c>
      <c r="H99" s="18" t="inlineStr">
        <is>
          <t>Entregable</t>
        </is>
      </c>
    </row>
    <row r="100" ht="17" customHeight="1">
      <c r="B100" s="25">
        <f>IF($BP100="","",INDEX(Hitos!$E$2:$E$81,$BP100))</f>
        <v/>
      </c>
      <c r="C100" s="24">
        <f>IF($BP100="","",INDEX(Hitos!$L$2:$L$81,$BP100))</f>
        <v/>
      </c>
      <c r="D100" s="19">
        <f>IF($BP100="","",INDEX(Hitos!$C$2:$C$81,$BP100))</f>
        <v/>
      </c>
      <c r="E100" s="19">
        <f>IF($BP100="","",INDEX(Hitos!$H$2:$H$81,$BP100))</f>
        <v/>
      </c>
      <c r="F100" s="19">
        <f>IF($BP100="","",INDEX(Hitos!$D$2:$D$81,$BP100))</f>
        <v/>
      </c>
      <c r="G100" s="24">
        <f>IF($BP100="","",INDEX(Hitos!$F$2:$F$81,$BP100))</f>
        <v/>
      </c>
      <c r="H100" s="19">
        <f>IF($BP100="","",INDEX(Hitos!$G$2:$G$81,$BP100))</f>
        <v/>
      </c>
      <c r="BP100">
        <f>IFERROR(MATCH(1,$BR$2:$BR$81,0),"")</f>
        <v/>
      </c>
    </row>
    <row r="101" ht="17" customHeight="1">
      <c r="B101" s="25">
        <f>IF($BP101="","",INDEX(Hitos!$E$2:$E$81,$BP101))</f>
        <v/>
      </c>
      <c r="C101" s="24">
        <f>IF($BP101="","",INDEX(Hitos!$L$2:$L$81,$BP101))</f>
        <v/>
      </c>
      <c r="D101" s="19">
        <f>IF($BP101="","",INDEX(Hitos!$C$2:$C$81,$BP101))</f>
        <v/>
      </c>
      <c r="E101" s="19">
        <f>IF($BP101="","",INDEX(Hitos!$H$2:$H$81,$BP101))</f>
        <v/>
      </c>
      <c r="F101" s="19">
        <f>IF($BP101="","",INDEX(Hitos!$D$2:$D$81,$BP101))</f>
        <v/>
      </c>
      <c r="G101" s="24">
        <f>IF($BP101="","",INDEX(Hitos!$F$2:$F$81,$BP101))</f>
        <v/>
      </c>
      <c r="H101" s="19">
        <f>IF($BP101="","",INDEX(Hitos!$G$2:$G$81,$BP101))</f>
        <v/>
      </c>
      <c r="BP101">
        <f>IFERROR(MATCH(2,$BR$2:$BR$81,0),"")</f>
        <v/>
      </c>
    </row>
    <row r="102" ht="17" customHeight="1">
      <c r="B102" s="25">
        <f>IF($BP102="","",INDEX(Hitos!$E$2:$E$81,$BP102))</f>
        <v/>
      </c>
      <c r="C102" s="24">
        <f>IF($BP102="","",INDEX(Hitos!$L$2:$L$81,$BP102))</f>
        <v/>
      </c>
      <c r="D102" s="19">
        <f>IF($BP102="","",INDEX(Hitos!$C$2:$C$81,$BP102))</f>
        <v/>
      </c>
      <c r="E102" s="19">
        <f>IF($BP102="","",INDEX(Hitos!$H$2:$H$81,$BP102))</f>
        <v/>
      </c>
      <c r="F102" s="19">
        <f>IF($BP102="","",INDEX(Hitos!$D$2:$D$81,$BP102))</f>
        <v/>
      </c>
      <c r="G102" s="24">
        <f>IF($BP102="","",INDEX(Hitos!$F$2:$F$81,$BP102))</f>
        <v/>
      </c>
      <c r="H102" s="19">
        <f>IF($BP102="","",INDEX(Hitos!$G$2:$G$81,$BP102))</f>
        <v/>
      </c>
      <c r="BP102">
        <f>IFERROR(MATCH(3,$BR$2:$BR$81,0),"")</f>
        <v/>
      </c>
    </row>
    <row r="103" ht="17" customHeight="1">
      <c r="B103" s="25">
        <f>IF($BP103="","",INDEX(Hitos!$E$2:$E$81,$BP103))</f>
        <v/>
      </c>
      <c r="C103" s="24">
        <f>IF($BP103="","",INDEX(Hitos!$L$2:$L$81,$BP103))</f>
        <v/>
      </c>
      <c r="D103" s="19">
        <f>IF($BP103="","",INDEX(Hitos!$C$2:$C$81,$BP103))</f>
        <v/>
      </c>
      <c r="E103" s="19">
        <f>IF($BP103="","",INDEX(Hitos!$H$2:$H$81,$BP103))</f>
        <v/>
      </c>
      <c r="F103" s="19">
        <f>IF($BP103="","",INDEX(Hitos!$D$2:$D$81,$BP103))</f>
        <v/>
      </c>
      <c r="G103" s="24">
        <f>IF($BP103="","",INDEX(Hitos!$F$2:$F$81,$BP103))</f>
        <v/>
      </c>
      <c r="H103" s="19">
        <f>IF($BP103="","",INDEX(Hitos!$G$2:$G$81,$BP103))</f>
        <v/>
      </c>
      <c r="BP103">
        <f>IFERROR(MATCH(4,$BR$2:$BR$81,0),"")</f>
        <v/>
      </c>
    </row>
    <row r="104" ht="17" customHeight="1">
      <c r="B104" s="25">
        <f>IF($BP104="","",INDEX(Hitos!$E$2:$E$81,$BP104))</f>
        <v/>
      </c>
      <c r="C104" s="24">
        <f>IF($BP104="","",INDEX(Hitos!$L$2:$L$81,$BP104))</f>
        <v/>
      </c>
      <c r="D104" s="19">
        <f>IF($BP104="","",INDEX(Hitos!$C$2:$C$81,$BP104))</f>
        <v/>
      </c>
      <c r="E104" s="19">
        <f>IF($BP104="","",INDEX(Hitos!$H$2:$H$81,$BP104))</f>
        <v/>
      </c>
      <c r="F104" s="19">
        <f>IF($BP104="","",INDEX(Hitos!$D$2:$D$81,$BP104))</f>
        <v/>
      </c>
      <c r="G104" s="24">
        <f>IF($BP104="","",INDEX(Hitos!$F$2:$F$81,$BP104))</f>
        <v/>
      </c>
      <c r="H104" s="19">
        <f>IF($BP104="","",INDEX(Hitos!$G$2:$G$81,$BP104))</f>
        <v/>
      </c>
      <c r="BP104">
        <f>IFERROR(MATCH(5,$BR$2:$BR$81,0),"")</f>
        <v/>
      </c>
    </row>
    <row r="105" ht="17" customHeight="1">
      <c r="B105" s="25">
        <f>IF($BP105="","",INDEX(Hitos!$E$2:$E$81,$BP105))</f>
        <v/>
      </c>
      <c r="C105" s="24">
        <f>IF($BP105="","",INDEX(Hitos!$L$2:$L$81,$BP105))</f>
        <v/>
      </c>
      <c r="D105" s="19">
        <f>IF($BP105="","",INDEX(Hitos!$C$2:$C$81,$BP105))</f>
        <v/>
      </c>
      <c r="E105" s="19">
        <f>IF($BP105="","",INDEX(Hitos!$H$2:$H$81,$BP105))</f>
        <v/>
      </c>
      <c r="F105" s="19">
        <f>IF($BP105="","",INDEX(Hitos!$D$2:$D$81,$BP105))</f>
        <v/>
      </c>
      <c r="G105" s="24">
        <f>IF($BP105="","",INDEX(Hitos!$F$2:$F$81,$BP105))</f>
        <v/>
      </c>
      <c r="H105" s="19">
        <f>IF($BP105="","",INDEX(Hitos!$G$2:$G$81,$BP105))</f>
        <v/>
      </c>
      <c r="BP105">
        <f>IFERROR(MATCH(6,$BR$2:$BR$81,0),"")</f>
        <v/>
      </c>
    </row>
    <row r="106" ht="17" customHeight="1">
      <c r="B106" s="25">
        <f>IF($BP106="","",INDEX(Hitos!$E$2:$E$81,$BP106))</f>
        <v/>
      </c>
      <c r="C106" s="24">
        <f>IF($BP106="","",INDEX(Hitos!$L$2:$L$81,$BP106))</f>
        <v/>
      </c>
      <c r="D106" s="19">
        <f>IF($BP106="","",INDEX(Hitos!$C$2:$C$81,$BP106))</f>
        <v/>
      </c>
      <c r="E106" s="19">
        <f>IF($BP106="","",INDEX(Hitos!$H$2:$H$81,$BP106))</f>
        <v/>
      </c>
      <c r="F106" s="19">
        <f>IF($BP106="","",INDEX(Hitos!$D$2:$D$81,$BP106))</f>
        <v/>
      </c>
      <c r="G106" s="24">
        <f>IF($BP106="","",INDEX(Hitos!$F$2:$F$81,$BP106))</f>
        <v/>
      </c>
      <c r="H106" s="19">
        <f>IF($BP106="","",INDEX(Hitos!$G$2:$G$81,$BP106))</f>
        <v/>
      </c>
      <c r="BP106">
        <f>IFERROR(MATCH(7,$BR$2:$BR$81,0),"")</f>
        <v/>
      </c>
    </row>
    <row r="107" ht="17" customHeight="1">
      <c r="B107" s="25">
        <f>IF($BP107="","",INDEX(Hitos!$E$2:$E$81,$BP107))</f>
        <v/>
      </c>
      <c r="C107" s="24">
        <f>IF($BP107="","",INDEX(Hitos!$L$2:$L$81,$BP107))</f>
        <v/>
      </c>
      <c r="D107" s="19">
        <f>IF($BP107="","",INDEX(Hitos!$C$2:$C$81,$BP107))</f>
        <v/>
      </c>
      <c r="E107" s="19">
        <f>IF($BP107="","",INDEX(Hitos!$H$2:$H$81,$BP107))</f>
        <v/>
      </c>
      <c r="F107" s="19">
        <f>IF($BP107="","",INDEX(Hitos!$D$2:$D$81,$BP107))</f>
        <v/>
      </c>
      <c r="G107" s="24">
        <f>IF($BP107="","",INDEX(Hitos!$F$2:$F$81,$BP107))</f>
        <v/>
      </c>
      <c r="H107" s="19">
        <f>IF($BP107="","",INDEX(Hitos!$G$2:$G$81,$BP107))</f>
        <v/>
      </c>
      <c r="BP107">
        <f>IFERROR(MATCH(8,$BR$2:$BR$81,0),"")</f>
        <v/>
      </c>
    </row>
    <row r="108" ht="17" customHeight="1">
      <c r="B108" s="25">
        <f>IF($BP108="","",INDEX(Hitos!$E$2:$E$81,$BP108))</f>
        <v/>
      </c>
      <c r="C108" s="24">
        <f>IF($BP108="","",INDEX(Hitos!$L$2:$L$81,$BP108))</f>
        <v/>
      </c>
      <c r="D108" s="19">
        <f>IF($BP108="","",INDEX(Hitos!$C$2:$C$81,$BP108))</f>
        <v/>
      </c>
      <c r="E108" s="19">
        <f>IF($BP108="","",INDEX(Hitos!$H$2:$H$81,$BP108))</f>
        <v/>
      </c>
      <c r="F108" s="19">
        <f>IF($BP108="","",INDEX(Hitos!$D$2:$D$81,$BP108))</f>
        <v/>
      </c>
      <c r="G108" s="24">
        <f>IF($BP108="","",INDEX(Hitos!$F$2:$F$81,$BP108))</f>
        <v/>
      </c>
      <c r="H108" s="19">
        <f>IF($BP108="","",INDEX(Hitos!$G$2:$G$81,$BP108))</f>
        <v/>
      </c>
      <c r="BP108">
        <f>IFERROR(MATCH(9,$BR$2:$BR$81,0),"")</f>
        <v/>
      </c>
    </row>
    <row r="109" ht="17" customHeight="1">
      <c r="B109" s="25">
        <f>IF($BP109="","",INDEX(Hitos!$E$2:$E$81,$BP109))</f>
        <v/>
      </c>
      <c r="C109" s="24">
        <f>IF($BP109="","",INDEX(Hitos!$L$2:$L$81,$BP109))</f>
        <v/>
      </c>
      <c r="D109" s="19">
        <f>IF($BP109="","",INDEX(Hitos!$C$2:$C$81,$BP109))</f>
        <v/>
      </c>
      <c r="E109" s="19">
        <f>IF($BP109="","",INDEX(Hitos!$H$2:$H$81,$BP109))</f>
        <v/>
      </c>
      <c r="F109" s="19">
        <f>IF($BP109="","",INDEX(Hitos!$D$2:$D$81,$BP109))</f>
        <v/>
      </c>
      <c r="G109" s="24">
        <f>IF($BP109="","",INDEX(Hitos!$F$2:$F$81,$BP109))</f>
        <v/>
      </c>
      <c r="H109" s="19">
        <f>IF($BP109="","",INDEX(Hitos!$G$2:$G$81,$BP109))</f>
        <v/>
      </c>
      <c r="BP109">
        <f>IFERROR(MATCH(10,$BR$2:$BR$81,0),"")</f>
        <v/>
      </c>
    </row>
    <row r="110" ht="17" customHeight="1">
      <c r="B110" s="25">
        <f>IF($BP110="","",INDEX(Hitos!$E$2:$E$81,$BP110))</f>
        <v/>
      </c>
      <c r="C110" s="24">
        <f>IF($BP110="","",INDEX(Hitos!$L$2:$L$81,$BP110))</f>
        <v/>
      </c>
      <c r="D110" s="19">
        <f>IF($BP110="","",INDEX(Hitos!$C$2:$C$81,$BP110))</f>
        <v/>
      </c>
      <c r="E110" s="19">
        <f>IF($BP110="","",INDEX(Hitos!$H$2:$H$81,$BP110))</f>
        <v/>
      </c>
      <c r="F110" s="19">
        <f>IF($BP110="","",INDEX(Hitos!$D$2:$D$81,$BP110))</f>
        <v/>
      </c>
      <c r="G110" s="24">
        <f>IF($BP110="","",INDEX(Hitos!$F$2:$F$81,$BP110))</f>
        <v/>
      </c>
      <c r="H110" s="19">
        <f>IF($BP110="","",INDEX(Hitos!$G$2:$G$81,$BP110))</f>
        <v/>
      </c>
      <c r="BP110">
        <f>IFERROR(MATCH(11,$BR$2:$BR$81,0),"")</f>
        <v/>
      </c>
    </row>
    <row r="111" ht="17" customHeight="1">
      <c r="B111" s="25">
        <f>IF($BP111="","",INDEX(Hitos!$E$2:$E$81,$BP111))</f>
        <v/>
      </c>
      <c r="C111" s="24">
        <f>IF($BP111="","",INDEX(Hitos!$L$2:$L$81,$BP111))</f>
        <v/>
      </c>
      <c r="D111" s="19">
        <f>IF($BP111="","",INDEX(Hitos!$C$2:$C$81,$BP111))</f>
        <v/>
      </c>
      <c r="E111" s="19">
        <f>IF($BP111="","",INDEX(Hitos!$H$2:$H$81,$BP111))</f>
        <v/>
      </c>
      <c r="F111" s="19">
        <f>IF($BP111="","",INDEX(Hitos!$D$2:$D$81,$BP111))</f>
        <v/>
      </c>
      <c r="G111" s="24">
        <f>IF($BP111="","",INDEX(Hitos!$F$2:$F$81,$BP111))</f>
        <v/>
      </c>
      <c r="H111" s="19">
        <f>IF($BP111="","",INDEX(Hitos!$G$2:$G$81,$BP111))</f>
        <v/>
      </c>
      <c r="BP111">
        <f>IFERROR(MATCH(12,$BR$2:$BR$81,0),"")</f>
        <v/>
      </c>
    </row>
    <row r="112" ht="17" customHeight="1">
      <c r="B112" s="25">
        <f>IF($BP112="","",INDEX(Hitos!$E$2:$E$81,$BP112))</f>
        <v/>
      </c>
      <c r="C112" s="24">
        <f>IF($BP112="","",INDEX(Hitos!$L$2:$L$81,$BP112))</f>
        <v/>
      </c>
      <c r="D112" s="19">
        <f>IF($BP112="","",INDEX(Hitos!$C$2:$C$81,$BP112))</f>
        <v/>
      </c>
      <c r="E112" s="19">
        <f>IF($BP112="","",INDEX(Hitos!$H$2:$H$81,$BP112))</f>
        <v/>
      </c>
      <c r="F112" s="19">
        <f>IF($BP112="","",INDEX(Hitos!$D$2:$D$81,$BP112))</f>
        <v/>
      </c>
      <c r="G112" s="24">
        <f>IF($BP112="","",INDEX(Hitos!$F$2:$F$81,$BP112))</f>
        <v/>
      </c>
      <c r="H112" s="19">
        <f>IF($BP112="","",INDEX(Hitos!$G$2:$G$81,$BP112))</f>
        <v/>
      </c>
      <c r="BP112">
        <f>IFERROR(MATCH(13,$BR$2:$BR$81,0),"")</f>
        <v/>
      </c>
    </row>
    <row r="113" ht="17" customHeight="1">
      <c r="B113" s="25">
        <f>IF($BP113="","",INDEX(Hitos!$E$2:$E$81,$BP113))</f>
        <v/>
      </c>
      <c r="C113" s="24">
        <f>IF($BP113="","",INDEX(Hitos!$L$2:$L$81,$BP113))</f>
        <v/>
      </c>
      <c r="D113" s="19">
        <f>IF($BP113="","",INDEX(Hitos!$C$2:$C$81,$BP113))</f>
        <v/>
      </c>
      <c r="E113" s="19">
        <f>IF($BP113="","",INDEX(Hitos!$H$2:$H$81,$BP113))</f>
        <v/>
      </c>
      <c r="F113" s="19">
        <f>IF($BP113="","",INDEX(Hitos!$D$2:$D$81,$BP113))</f>
        <v/>
      </c>
      <c r="G113" s="24">
        <f>IF($BP113="","",INDEX(Hitos!$F$2:$F$81,$BP113))</f>
        <v/>
      </c>
      <c r="H113" s="19">
        <f>IF($BP113="","",INDEX(Hitos!$G$2:$G$81,$BP113))</f>
        <v/>
      </c>
      <c r="BP113">
        <f>IFERROR(MATCH(14,$BR$2:$BR$81,0),"")</f>
        <v/>
      </c>
    </row>
    <row r="114" ht="17" customHeight="1">
      <c r="B114" s="25">
        <f>IF($BP114="","",INDEX(Hitos!$E$2:$E$81,$BP114))</f>
        <v/>
      </c>
      <c r="C114" s="24">
        <f>IF($BP114="","",INDEX(Hitos!$L$2:$L$81,$BP114))</f>
        <v/>
      </c>
      <c r="D114" s="19">
        <f>IF($BP114="","",INDEX(Hitos!$C$2:$C$81,$BP114))</f>
        <v/>
      </c>
      <c r="E114" s="19">
        <f>IF($BP114="","",INDEX(Hitos!$H$2:$H$81,$BP114))</f>
        <v/>
      </c>
      <c r="F114" s="19">
        <f>IF($BP114="","",INDEX(Hitos!$D$2:$D$81,$BP114))</f>
        <v/>
      </c>
      <c r="G114" s="24">
        <f>IF($BP114="","",INDEX(Hitos!$F$2:$F$81,$BP114))</f>
        <v/>
      </c>
      <c r="H114" s="19">
        <f>IF($BP114="","",INDEX(Hitos!$G$2:$G$81,$BP114))</f>
        <v/>
      </c>
      <c r="BP114">
        <f>IFERROR(MATCH(15,$BR$2:$BR$81,0),"")</f>
        <v/>
      </c>
    </row>
    <row r="115" ht="17" customHeight="1">
      <c r="B115" s="25">
        <f>IF($BP115="","",INDEX(Hitos!$E$2:$E$81,$BP115))</f>
        <v/>
      </c>
      <c r="C115" s="24">
        <f>IF($BP115="","",INDEX(Hitos!$L$2:$L$81,$BP115))</f>
        <v/>
      </c>
      <c r="D115" s="19">
        <f>IF($BP115="","",INDEX(Hitos!$C$2:$C$81,$BP115))</f>
        <v/>
      </c>
      <c r="E115" s="19">
        <f>IF($BP115="","",INDEX(Hitos!$H$2:$H$81,$BP115))</f>
        <v/>
      </c>
      <c r="F115" s="19">
        <f>IF($BP115="","",INDEX(Hitos!$D$2:$D$81,$BP115))</f>
        <v/>
      </c>
      <c r="G115" s="24">
        <f>IF($BP115="","",INDEX(Hitos!$F$2:$F$81,$BP115))</f>
        <v/>
      </c>
      <c r="H115" s="19">
        <f>IF($BP115="","",INDEX(Hitos!$G$2:$G$81,$BP115))</f>
        <v/>
      </c>
      <c r="BP115">
        <f>IFERROR(MATCH(16,$BR$2:$BR$81,0),"")</f>
        <v/>
      </c>
    </row>
    <row r="116" ht="17" customHeight="1">
      <c r="B116" s="25">
        <f>IF($BP116="","",INDEX(Hitos!$E$2:$E$81,$BP116))</f>
        <v/>
      </c>
      <c r="C116" s="24">
        <f>IF($BP116="","",INDEX(Hitos!$L$2:$L$81,$BP116))</f>
        <v/>
      </c>
      <c r="D116" s="19">
        <f>IF($BP116="","",INDEX(Hitos!$C$2:$C$81,$BP116))</f>
        <v/>
      </c>
      <c r="E116" s="19">
        <f>IF($BP116="","",INDEX(Hitos!$H$2:$H$81,$BP116))</f>
        <v/>
      </c>
      <c r="F116" s="19">
        <f>IF($BP116="","",INDEX(Hitos!$D$2:$D$81,$BP116))</f>
        <v/>
      </c>
      <c r="G116" s="24">
        <f>IF($BP116="","",INDEX(Hitos!$F$2:$F$81,$BP116))</f>
        <v/>
      </c>
      <c r="H116" s="19">
        <f>IF($BP116="","",INDEX(Hitos!$G$2:$G$81,$BP116))</f>
        <v/>
      </c>
      <c r="BP116">
        <f>IFERROR(MATCH(17,$BR$2:$BR$81,0),"")</f>
        <v/>
      </c>
    </row>
    <row r="117" ht="17" customHeight="1">
      <c r="B117" s="25">
        <f>IF($BP117="","",INDEX(Hitos!$E$2:$E$81,$BP117))</f>
        <v/>
      </c>
      <c r="C117" s="24">
        <f>IF($BP117="","",INDEX(Hitos!$L$2:$L$81,$BP117))</f>
        <v/>
      </c>
      <c r="D117" s="19">
        <f>IF($BP117="","",INDEX(Hitos!$C$2:$C$81,$BP117))</f>
        <v/>
      </c>
      <c r="E117" s="19">
        <f>IF($BP117="","",INDEX(Hitos!$H$2:$H$81,$BP117))</f>
        <v/>
      </c>
      <c r="F117" s="19">
        <f>IF($BP117="","",INDEX(Hitos!$D$2:$D$81,$BP117))</f>
        <v/>
      </c>
      <c r="G117" s="24">
        <f>IF($BP117="","",INDEX(Hitos!$F$2:$F$81,$BP117))</f>
        <v/>
      </c>
      <c r="H117" s="19">
        <f>IF($BP117="","",INDEX(Hitos!$G$2:$G$81,$BP117))</f>
        <v/>
      </c>
      <c r="BP117">
        <f>IFERROR(MATCH(18,$BR$2:$BR$81,0),"")</f>
        <v/>
      </c>
    </row>
    <row r="118" ht="17" customHeight="1">
      <c r="B118" s="25">
        <f>IF($BP118="","",INDEX(Hitos!$E$2:$E$81,$BP118))</f>
        <v/>
      </c>
      <c r="C118" s="24">
        <f>IF($BP118="","",INDEX(Hitos!$L$2:$L$81,$BP118))</f>
        <v/>
      </c>
      <c r="D118" s="19">
        <f>IF($BP118="","",INDEX(Hitos!$C$2:$C$81,$BP118))</f>
        <v/>
      </c>
      <c r="E118" s="19">
        <f>IF($BP118="","",INDEX(Hitos!$H$2:$H$81,$BP118))</f>
        <v/>
      </c>
      <c r="F118" s="19">
        <f>IF($BP118="","",INDEX(Hitos!$D$2:$D$81,$BP118))</f>
        <v/>
      </c>
      <c r="G118" s="24">
        <f>IF($BP118="","",INDEX(Hitos!$F$2:$F$81,$BP118))</f>
        <v/>
      </c>
      <c r="H118" s="19">
        <f>IF($BP118="","",INDEX(Hitos!$G$2:$G$81,$BP118))</f>
        <v/>
      </c>
      <c r="BP118">
        <f>IFERROR(MATCH(19,$BR$2:$BR$81,0),"")</f>
        <v/>
      </c>
    </row>
    <row r="119" ht="17" customHeight="1">
      <c r="B119" s="25">
        <f>IF($BP119="","",INDEX(Hitos!$E$2:$E$81,$BP119))</f>
        <v/>
      </c>
      <c r="C119" s="24">
        <f>IF($BP119="","",INDEX(Hitos!$L$2:$L$81,$BP119))</f>
        <v/>
      </c>
      <c r="D119" s="19">
        <f>IF($BP119="","",INDEX(Hitos!$C$2:$C$81,$BP119))</f>
        <v/>
      </c>
      <c r="E119" s="19">
        <f>IF($BP119="","",INDEX(Hitos!$H$2:$H$81,$BP119))</f>
        <v/>
      </c>
      <c r="F119" s="19">
        <f>IF($BP119="","",INDEX(Hitos!$D$2:$D$81,$BP119))</f>
        <v/>
      </c>
      <c r="G119" s="24">
        <f>IF($BP119="","",INDEX(Hitos!$F$2:$F$81,$BP119))</f>
        <v/>
      </c>
      <c r="H119" s="19">
        <f>IF($BP119="","",INDEX(Hitos!$G$2:$G$81,$BP119))</f>
        <v/>
      </c>
      <c r="BP119">
        <f>IFERROR(MATCH(20,$BR$2:$BR$81,0),"")</f>
        <v/>
      </c>
    </row>
    <row r="120" ht="17" customHeight="1">
      <c r="B120" s="25">
        <f>IF($BP120="","",INDEX(Hitos!$E$2:$E$81,$BP120))</f>
        <v/>
      </c>
      <c r="C120" s="24">
        <f>IF($BP120="","",INDEX(Hitos!$L$2:$L$81,$BP120))</f>
        <v/>
      </c>
      <c r="D120" s="19">
        <f>IF($BP120="","",INDEX(Hitos!$C$2:$C$81,$BP120))</f>
        <v/>
      </c>
      <c r="E120" s="19">
        <f>IF($BP120="","",INDEX(Hitos!$H$2:$H$81,$BP120))</f>
        <v/>
      </c>
      <c r="F120" s="19">
        <f>IF($BP120="","",INDEX(Hitos!$D$2:$D$81,$BP120))</f>
        <v/>
      </c>
      <c r="G120" s="24">
        <f>IF($BP120="","",INDEX(Hitos!$F$2:$F$81,$BP120))</f>
        <v/>
      </c>
      <c r="H120" s="19">
        <f>IF($BP120="","",INDEX(Hitos!$G$2:$G$81,$BP120))</f>
        <v/>
      </c>
      <c r="BP120">
        <f>IFERROR(MATCH(21,$BR$2:$BR$81,0),"")</f>
        <v/>
      </c>
    </row>
    <row r="121" ht="17" customHeight="1">
      <c r="B121" s="25">
        <f>IF($BP121="","",INDEX(Hitos!$E$2:$E$81,$BP121))</f>
        <v/>
      </c>
      <c r="C121" s="24">
        <f>IF($BP121="","",INDEX(Hitos!$L$2:$L$81,$BP121))</f>
        <v/>
      </c>
      <c r="D121" s="19">
        <f>IF($BP121="","",INDEX(Hitos!$C$2:$C$81,$BP121))</f>
        <v/>
      </c>
      <c r="E121" s="19">
        <f>IF($BP121="","",INDEX(Hitos!$H$2:$H$81,$BP121))</f>
        <v/>
      </c>
      <c r="F121" s="19">
        <f>IF($BP121="","",INDEX(Hitos!$D$2:$D$81,$BP121))</f>
        <v/>
      </c>
      <c r="G121" s="24">
        <f>IF($BP121="","",INDEX(Hitos!$F$2:$F$81,$BP121))</f>
        <v/>
      </c>
      <c r="H121" s="19">
        <f>IF($BP121="","",INDEX(Hitos!$G$2:$G$81,$BP121))</f>
        <v/>
      </c>
      <c r="BP121">
        <f>IFERROR(MATCH(22,$BR$2:$BR$81,0),"")</f>
        <v/>
      </c>
    </row>
    <row r="122" ht="17" customHeight="1">
      <c r="B122" s="25">
        <f>IF($BP122="","",INDEX(Hitos!$E$2:$E$81,$BP122))</f>
        <v/>
      </c>
      <c r="C122" s="24">
        <f>IF($BP122="","",INDEX(Hitos!$L$2:$L$81,$BP122))</f>
        <v/>
      </c>
      <c r="D122" s="19">
        <f>IF($BP122="","",INDEX(Hitos!$C$2:$C$81,$BP122))</f>
        <v/>
      </c>
      <c r="E122" s="19">
        <f>IF($BP122="","",INDEX(Hitos!$H$2:$H$81,$BP122))</f>
        <v/>
      </c>
      <c r="F122" s="19">
        <f>IF($BP122="","",INDEX(Hitos!$D$2:$D$81,$BP122))</f>
        <v/>
      </c>
      <c r="G122" s="24">
        <f>IF($BP122="","",INDEX(Hitos!$F$2:$F$81,$BP122))</f>
        <v/>
      </c>
      <c r="H122" s="19">
        <f>IF($BP122="","",INDEX(Hitos!$G$2:$G$81,$BP122))</f>
        <v/>
      </c>
      <c r="BP122">
        <f>IFERROR(MATCH(23,$BR$2:$BR$81,0),"")</f>
        <v/>
      </c>
    </row>
    <row r="123" ht="17" customHeight="1">
      <c r="B123" s="25">
        <f>IF($BP123="","",INDEX(Hitos!$E$2:$E$81,$BP123))</f>
        <v/>
      </c>
      <c r="C123" s="24">
        <f>IF($BP123="","",INDEX(Hitos!$L$2:$L$81,$BP123))</f>
        <v/>
      </c>
      <c r="D123" s="19">
        <f>IF($BP123="","",INDEX(Hitos!$C$2:$C$81,$BP123))</f>
        <v/>
      </c>
      <c r="E123" s="19">
        <f>IF($BP123="","",INDEX(Hitos!$H$2:$H$81,$BP123))</f>
        <v/>
      </c>
      <c r="F123" s="19">
        <f>IF($BP123="","",INDEX(Hitos!$D$2:$D$81,$BP123))</f>
        <v/>
      </c>
      <c r="G123" s="24">
        <f>IF($BP123="","",INDEX(Hitos!$F$2:$F$81,$BP123))</f>
        <v/>
      </c>
      <c r="H123" s="19">
        <f>IF($BP123="","",INDEX(Hitos!$G$2:$G$81,$BP123))</f>
        <v/>
      </c>
      <c r="BP123">
        <f>IFERROR(MATCH(24,$BR$2:$BR$81,0),"")</f>
        <v/>
      </c>
    </row>
    <row r="124" ht="17" customHeight="1">
      <c r="B124" s="25">
        <f>IF($BP124="","",INDEX(Hitos!$E$2:$E$81,$BP124))</f>
        <v/>
      </c>
      <c r="C124" s="24">
        <f>IF($BP124="","",INDEX(Hitos!$L$2:$L$81,$BP124))</f>
        <v/>
      </c>
      <c r="D124" s="19">
        <f>IF($BP124="","",INDEX(Hitos!$C$2:$C$81,$BP124))</f>
        <v/>
      </c>
      <c r="E124" s="19">
        <f>IF($BP124="","",INDEX(Hitos!$H$2:$H$81,$BP124))</f>
        <v/>
      </c>
      <c r="F124" s="19">
        <f>IF($BP124="","",INDEX(Hitos!$D$2:$D$81,$BP124))</f>
        <v/>
      </c>
      <c r="G124" s="24">
        <f>IF($BP124="","",INDEX(Hitos!$F$2:$F$81,$BP124))</f>
        <v/>
      </c>
      <c r="H124" s="19">
        <f>IF($BP124="","",INDEX(Hitos!$G$2:$G$81,$BP124))</f>
        <v/>
      </c>
      <c r="BP124">
        <f>IFERROR(MATCH(25,$BR$2:$BR$81,0),"")</f>
        <v/>
      </c>
    </row>
    <row r="125" ht="17" customHeight="1">
      <c r="B125" s="25">
        <f>IF($BP125="","",INDEX(Hitos!$E$2:$E$81,$BP125))</f>
        <v/>
      </c>
      <c r="C125" s="24">
        <f>IF($BP125="","",INDEX(Hitos!$L$2:$L$81,$BP125))</f>
        <v/>
      </c>
      <c r="D125" s="19">
        <f>IF($BP125="","",INDEX(Hitos!$C$2:$C$81,$BP125))</f>
        <v/>
      </c>
      <c r="E125" s="19">
        <f>IF($BP125="","",INDEX(Hitos!$H$2:$H$81,$BP125))</f>
        <v/>
      </c>
      <c r="F125" s="19">
        <f>IF($BP125="","",INDEX(Hitos!$D$2:$D$81,$BP125))</f>
        <v/>
      </c>
      <c r="G125" s="24">
        <f>IF($BP125="","",INDEX(Hitos!$F$2:$F$81,$BP125))</f>
        <v/>
      </c>
      <c r="H125" s="19">
        <f>IF($BP125="","",INDEX(Hitos!$G$2:$G$81,$BP125))</f>
        <v/>
      </c>
      <c r="BP125">
        <f>IFERROR(MATCH(26,$BR$2:$BR$81,0),"")</f>
        <v/>
      </c>
    </row>
    <row r="126" ht="17" customHeight="1">
      <c r="B126" s="25">
        <f>IF($BP126="","",INDEX(Hitos!$E$2:$E$81,$BP126))</f>
        <v/>
      </c>
      <c r="C126" s="24">
        <f>IF($BP126="","",INDEX(Hitos!$L$2:$L$81,$BP126))</f>
        <v/>
      </c>
      <c r="D126" s="19">
        <f>IF($BP126="","",INDEX(Hitos!$C$2:$C$81,$BP126))</f>
        <v/>
      </c>
      <c r="E126" s="19">
        <f>IF($BP126="","",INDEX(Hitos!$H$2:$H$81,$BP126))</f>
        <v/>
      </c>
      <c r="F126" s="19">
        <f>IF($BP126="","",INDEX(Hitos!$D$2:$D$81,$BP126))</f>
        <v/>
      </c>
      <c r="G126" s="24">
        <f>IF($BP126="","",INDEX(Hitos!$F$2:$F$81,$BP126))</f>
        <v/>
      </c>
      <c r="H126" s="19">
        <f>IF($BP126="","",INDEX(Hitos!$G$2:$G$81,$BP126))</f>
        <v/>
      </c>
      <c r="BP126">
        <f>IFERROR(MATCH(27,$BR$2:$BR$81,0),"")</f>
        <v/>
      </c>
    </row>
    <row r="127" ht="17" customHeight="1">
      <c r="B127" s="25">
        <f>IF($BP127="","",INDEX(Hitos!$E$2:$E$81,$BP127))</f>
        <v/>
      </c>
      <c r="C127" s="24">
        <f>IF($BP127="","",INDEX(Hitos!$L$2:$L$81,$BP127))</f>
        <v/>
      </c>
      <c r="D127" s="19">
        <f>IF($BP127="","",INDEX(Hitos!$C$2:$C$81,$BP127))</f>
        <v/>
      </c>
      <c r="E127" s="19">
        <f>IF($BP127="","",INDEX(Hitos!$H$2:$H$81,$BP127))</f>
        <v/>
      </c>
      <c r="F127" s="19">
        <f>IF($BP127="","",INDEX(Hitos!$D$2:$D$81,$BP127))</f>
        <v/>
      </c>
      <c r="G127" s="24">
        <f>IF($BP127="","",INDEX(Hitos!$F$2:$F$81,$BP127))</f>
        <v/>
      </c>
      <c r="H127" s="19">
        <f>IF($BP127="","",INDEX(Hitos!$G$2:$G$81,$BP127))</f>
        <v/>
      </c>
      <c r="BP127">
        <f>IFERROR(MATCH(28,$BR$2:$BR$81,0),"")</f>
        <v/>
      </c>
    </row>
    <row r="128" ht="17" customHeight="1">
      <c r="B128" s="25">
        <f>IF($BP128="","",INDEX(Hitos!$E$2:$E$81,$BP128))</f>
        <v/>
      </c>
      <c r="C128" s="24">
        <f>IF($BP128="","",INDEX(Hitos!$L$2:$L$81,$BP128))</f>
        <v/>
      </c>
      <c r="D128" s="19">
        <f>IF($BP128="","",INDEX(Hitos!$C$2:$C$81,$BP128))</f>
        <v/>
      </c>
      <c r="E128" s="19">
        <f>IF($BP128="","",INDEX(Hitos!$H$2:$H$81,$BP128))</f>
        <v/>
      </c>
      <c r="F128" s="19">
        <f>IF($BP128="","",INDEX(Hitos!$D$2:$D$81,$BP128))</f>
        <v/>
      </c>
      <c r="G128" s="24">
        <f>IF($BP128="","",INDEX(Hitos!$F$2:$F$81,$BP128))</f>
        <v/>
      </c>
      <c r="H128" s="19">
        <f>IF($BP128="","",INDEX(Hitos!$G$2:$G$81,$BP128))</f>
        <v/>
      </c>
      <c r="BP128">
        <f>IFERROR(MATCH(29,$BR$2:$BR$81,0),"")</f>
        <v/>
      </c>
    </row>
    <row r="129" ht="17" customHeight="1">
      <c r="B129" s="25">
        <f>IF($BP129="","",INDEX(Hitos!$E$2:$E$81,$BP129))</f>
        <v/>
      </c>
      <c r="C129" s="24">
        <f>IF($BP129="","",INDEX(Hitos!$L$2:$L$81,$BP129))</f>
        <v/>
      </c>
      <c r="D129" s="19">
        <f>IF($BP129="","",INDEX(Hitos!$C$2:$C$81,$BP129))</f>
        <v/>
      </c>
      <c r="E129" s="19">
        <f>IF($BP129="","",INDEX(Hitos!$H$2:$H$81,$BP129))</f>
        <v/>
      </c>
      <c r="F129" s="19">
        <f>IF($BP129="","",INDEX(Hitos!$D$2:$D$81,$BP129))</f>
        <v/>
      </c>
      <c r="G129" s="24">
        <f>IF($BP129="","",INDEX(Hitos!$F$2:$F$81,$BP129))</f>
        <v/>
      </c>
      <c r="H129" s="19">
        <f>IF($BP129="","",INDEX(Hitos!$G$2:$G$81,$BP129))</f>
        <v/>
      </c>
      <c r="BP129">
        <f>IFERROR(MATCH(30,$BR$2:$BR$81,0),"")</f>
        <v/>
      </c>
    </row>
  </sheetData>
  <mergeCells count="3">
    <mergeCell ref="C7:E7"/>
    <mergeCell ref="C6:E6"/>
    <mergeCell ref="C5:E5"/>
  </mergeCells>
  <conditionalFormatting sqref="G14:G53">
    <cfRule type="cellIs" priority="1" operator="equal" dxfId="0">
      <formula>"Backlog"</formula>
    </cfRule>
    <cfRule type="cellIs" priority="2" operator="equal" dxfId="1">
      <formula>"En curso"</formula>
    </cfRule>
    <cfRule type="cellIs" priority="3" operator="equal" dxfId="2">
      <formula>"En riesgo"</formula>
    </cfRule>
    <cfRule type="cellIs" priority="4" operator="equal" dxfId="3">
      <formula>"Bloqueado"</formula>
    </cfRule>
    <cfRule type="cellIs" priority="5" operator="equal" dxfId="4">
      <formula>"Completado"</formula>
    </cfRule>
    <cfRule type="cellIs" priority="6" operator="equal" dxfId="0">
      <formula>"Cancelado"</formula>
    </cfRule>
  </conditionalFormatting>
  <conditionalFormatting sqref="M14:M53">
    <cfRule type="cellIs" priority="7" operator="equal" dxfId="3">
      <formula>"Vencido"</formula>
    </cfRule>
    <cfRule type="cellIs" priority="8" operator="equal" dxfId="2">
      <formula>"Desviado"</formula>
    </cfRule>
    <cfRule type="cellIs" priority="9" operator="equal" dxfId="2">
      <formula>"Inminente"</formula>
    </cfRule>
    <cfRule type="cellIs" priority="10" operator="equal" dxfId="4">
      <formula>"En plazo"</formula>
    </cfRule>
  </conditionalFormatting>
  <conditionalFormatting sqref="J14:J53">
    <cfRule type="dataBar" priority="11">
      <dataBar>
        <cfvo type="num" val="0"/>
        <cfvo type="num" val="1"/>
        <color rgb="005045C8"/>
      </dataBar>
    </cfRule>
  </conditionalFormatting>
  <conditionalFormatting sqref="J57:J96">
    <cfRule type="cellIs" priority="12" operator="equal" dxfId="4">
      <formula>"Conseguido"</formula>
    </cfRule>
    <cfRule type="cellIs" priority="13" operator="equal" dxfId="1">
      <formula>"En camino"</formula>
    </cfRule>
    <cfRule type="cellIs" priority="14" operator="equal" dxfId="2">
      <formula>"Atención"</formula>
    </cfRule>
    <cfRule type="cellIs" priority="15" operator="equal" dxfId="3">
      <formula>"Crítico"</formula>
    </cfRule>
  </conditionalFormatting>
  <conditionalFormatting sqref="I57:I96">
    <cfRule type="dataBar" priority="16">
      <dataBar>
        <cfvo type="num" val="0"/>
        <cfvo type="num" val="1"/>
        <color rgb="005045C8"/>
      </dataBar>
    </cfRule>
  </conditionalFormatting>
  <conditionalFormatting sqref="C100:C129">
    <cfRule type="cellIs" priority="17" operator="equal" dxfId="3">
      <formula>"Vencido"</formula>
    </cfRule>
    <cfRule type="cellIs" priority="18" operator="equal" dxfId="2">
      <formula>"Esta semana"</formula>
    </cfRule>
    <cfRule type="cellIs" priority="19" operator="equal" dxfId="1">
      <formula>"Próximos 30 días"</formula>
    </cfRule>
    <cfRule type="cellIs" priority="20" operator="equal" dxfId="4">
      <formula>"En plazo"</formula>
    </cfRule>
  </conditionalFormatting>
  <dataValidations count="3">
    <dataValidation sqref="C5" showDropDown="0" showInputMessage="0" showErrorMessage="0" allowBlank="1" errorTitle="Valor no previsto" error="Valor fuera de la lista. Si necesitas uno nuevo, añádelo en taxonomia.yaml y regenera." type="list" errorStyle="warning">
      <formula1>=Config!$O$2:$O$3</formula1>
    </dataValidation>
    <dataValidation sqref="C6" showDropDown="0" showInputMessage="0" showErrorMessage="0" allowBlank="1" errorTitle="Valor no previsto" error="Valor fuera de la lista. Si necesitas uno nuevo, añádelo en taxonomia.yaml y regenera." type="list" errorStyle="warning">
      <formula1>=Config!$P$2:$P$9</formula1>
    </dataValidation>
    <dataValidation sqref="C7" showDropDown="0" showInputMessage="0" showErrorMessage="0" allowBlank="1" errorTitle="Valor no previsto" error="Valor fuera de la lista. Si necesitas uno nuevo, añádelo en taxonomia.yaml y regenera." type="list" errorStyle="warning">
      <formula1>=Config!$Q$2:$Q$8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F2976"/>
    <outlinePr summaryBelow="1" summaryRight="1"/>
    <pageSetUpPr/>
  </sheetPr>
  <dimension ref="B1:BO8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18" customWidth="1" min="4" max="4"/>
    <col width="16" customWidth="1" min="5" max="5"/>
    <col width="13" customWidth="1" min="6" max="6"/>
    <col width="13" customWidth="1" min="7" max="7"/>
    <col width="15" customWidth="1" min="8" max="8"/>
    <col width="14" customWidth="1" min="9" max="9"/>
    <col width="13" customWidth="1" min="10" max="10"/>
    <col width="13" customWidth="1" min="11" max="11"/>
    <col width="14" customWidth="1" min="12" max="12"/>
    <col hidden="1" width="3" customWidth="1" min="56" max="56"/>
    <col hidden="1" width="3" customWidth="1" min="60" max="60"/>
    <col hidden="1" width="3" customWidth="1" min="62" max="62"/>
    <col hidden="1" width="3" customWidth="1" min="63" max="63"/>
    <col hidden="1" width="3" customWidth="1" min="64" max="64"/>
    <col hidden="1" width="3" customWidth="1" min="66" max="66"/>
    <col hidden="1" width="3" customWidth="1" min="67" max="67"/>
  </cols>
  <sheetData>
    <row r="1">
      <c r="BD1">
        <f>IFERROR(MATCH($C$5,Proyectos!$B$2:$B$41,0),"")</f>
        <v/>
      </c>
    </row>
    <row r="2">
      <c r="B2" s="1" t="inlineStr">
        <is>
          <t>Detalle de proyecto</t>
        </is>
      </c>
      <c r="BD2">
        <f>IF($BD$1="","",INDEX(Proyectos!$A$2:$A$41,$BD$1))</f>
        <v/>
      </c>
      <c r="BJ2">
        <f>IF(AND(KPIs!$A2&lt;&gt;"",KPIs!$B2=$BD$2),BK2,"")</f>
        <v/>
      </c>
      <c r="BK2">
        <f>IF(AND(KPIs!$A2&lt;&gt;"",KPIs!$B2=$BD$2),N(BK1)+1,N(BK1))</f>
        <v/>
      </c>
      <c r="BN2">
        <f>IF(AND(Hitos!$A2&lt;&gt;"",Hitos!$B2=$BD$2),BO2,"")</f>
        <v/>
      </c>
      <c r="BO2">
        <f>IF(AND(Hitos!$A2&lt;&gt;"",Hitos!$B2=$BD$2),N(BO1)+1,N(BO1))</f>
        <v/>
      </c>
    </row>
    <row r="3">
      <c r="B3" s="12" t="inlineStr">
        <is>
          <t>Elige un proyecto y verás su ficha completa, sus KPIs y sus hitos. Es el último nivel de zoom: compañía → departamento → proyecto.</t>
        </is>
      </c>
      <c r="BJ3">
        <f>IF(AND(KPIs!$A3&lt;&gt;"",KPIs!$B3=$BD$2),BK3,"")</f>
        <v/>
      </c>
      <c r="BK3">
        <f>IF(AND(KPIs!$A3&lt;&gt;"",KPIs!$B3=$BD$2),N(BK2)+1,N(BK2))</f>
        <v/>
      </c>
      <c r="BN3">
        <f>IF(AND(Hitos!$A3&lt;&gt;"",Hitos!$B3=$BD$2),BO3,"")</f>
        <v/>
      </c>
      <c r="BO3">
        <f>IF(AND(Hitos!$A3&lt;&gt;"",Hitos!$B3=$BD$2),N(BO2)+1,N(BO2))</f>
        <v/>
      </c>
    </row>
    <row r="4">
      <c r="BJ4">
        <f>IF(AND(KPIs!$A4&lt;&gt;"",KPIs!$B4=$BD$2),BK4,"")</f>
        <v/>
      </c>
      <c r="BK4">
        <f>IF(AND(KPIs!$A4&lt;&gt;"",KPIs!$B4=$BD$2),N(BK3)+1,N(BK3))</f>
        <v/>
      </c>
      <c r="BN4">
        <f>IF(AND(Hitos!$A4&lt;&gt;"",Hitos!$B4=$BD$2),BO4,"")</f>
        <v/>
      </c>
      <c r="BO4">
        <f>IF(AND(Hitos!$A4&lt;&gt;"",Hitos!$B4=$BD$2),N(BO3)+1,N(BO3))</f>
        <v/>
      </c>
    </row>
    <row r="5" ht="22" customHeight="1">
      <c r="B5" s="27" t="inlineStr">
        <is>
          <t>Proyecto</t>
        </is>
      </c>
      <c r="C5" s="33" t="inlineStr">
        <is>
          <t>Escalado Paid Q4 — Meta + Google</t>
        </is>
      </c>
      <c r="D5" s="29" t="n"/>
      <c r="E5" s="29" t="n"/>
      <c r="F5" s="29" t="n"/>
      <c r="G5" s="29" t="n"/>
      <c r="H5" s="30" t="n"/>
      <c r="BJ5">
        <f>IF(AND(KPIs!$A5&lt;&gt;"",KPIs!$B5=$BD$2),BK5,"")</f>
        <v/>
      </c>
      <c r="BK5">
        <f>IF(AND(KPIs!$A5&lt;&gt;"",KPIs!$B5=$BD$2),N(BK4)+1,N(BK4))</f>
        <v/>
      </c>
      <c r="BN5">
        <f>IF(AND(Hitos!$A5&lt;&gt;"",Hitos!$B5=$BD$2),BO5,"")</f>
        <v/>
      </c>
      <c r="BO5">
        <f>IF(AND(Hitos!$A5&lt;&gt;"",Hitos!$B5=$BD$2),N(BO4)+1,N(BO4))</f>
        <v/>
      </c>
    </row>
    <row r="6">
      <c r="BJ6">
        <f>IF(AND(KPIs!$A6&lt;&gt;"",KPIs!$B6=$BD$2),BK6,"")</f>
        <v/>
      </c>
      <c r="BK6">
        <f>IF(AND(KPIs!$A6&lt;&gt;"",KPIs!$B6=$BD$2),N(BK5)+1,N(BK5))</f>
        <v/>
      </c>
      <c r="BN6">
        <f>IF(AND(Hitos!$A6&lt;&gt;"",Hitos!$B6=$BD$2),BO6,"")</f>
        <v/>
      </c>
      <c r="BO6">
        <f>IF(AND(Hitos!$A6&lt;&gt;"",Hitos!$B6=$BD$2),N(BO5)+1,N(BO5))</f>
        <v/>
      </c>
    </row>
    <row r="7" ht="18" customHeight="1">
      <c r="B7" s="34" t="inlineStr">
        <is>
          <t>ID</t>
        </is>
      </c>
      <c r="C7" s="35">
        <f>IF($BD$1="","",INDEX(Proyectos!$A$2:$A$41,$BD$1))</f>
        <v/>
      </c>
      <c r="D7" s="36" t="n"/>
      <c r="E7" s="36" t="n"/>
      <c r="F7" s="36" t="n"/>
      <c r="G7" s="36" t="n"/>
      <c r="H7" s="36" t="n"/>
      <c r="BJ7">
        <f>IF(AND(KPIs!$A7&lt;&gt;"",KPIs!$B7=$BD$2),BK7,"")</f>
        <v/>
      </c>
      <c r="BK7">
        <f>IF(AND(KPIs!$A7&lt;&gt;"",KPIs!$B7=$BD$2),N(BK6)+1,N(BK6))</f>
        <v/>
      </c>
      <c r="BN7">
        <f>IF(AND(Hitos!$A7&lt;&gt;"",Hitos!$B7=$BD$2),BO7,"")</f>
        <v/>
      </c>
      <c r="BO7">
        <f>IF(AND(Hitos!$A7&lt;&gt;"",Hitos!$B7=$BD$2),N(BO6)+1,N(BO6))</f>
        <v/>
      </c>
    </row>
    <row r="8" ht="18" customHeight="1">
      <c r="B8" s="34" t="inlineStr">
        <is>
          <t>Departamento</t>
        </is>
      </c>
      <c r="C8" s="35">
        <f>IF($BD$1="","",INDEX(Proyectos!$C$2:$C$41,$BD$1))</f>
        <v/>
      </c>
      <c r="D8" s="36" t="n"/>
      <c r="E8" s="36" t="n"/>
      <c r="F8" s="36" t="n"/>
      <c r="G8" s="36" t="n"/>
      <c r="H8" s="36" t="n"/>
      <c r="BJ8">
        <f>IF(AND(KPIs!$A8&lt;&gt;"",KPIs!$B8=$BD$2),BK8,"")</f>
        <v/>
      </c>
      <c r="BK8">
        <f>IF(AND(KPIs!$A8&lt;&gt;"",KPIs!$B8=$BD$2),N(BK7)+1,N(BK7))</f>
        <v/>
      </c>
      <c r="BN8">
        <f>IF(AND(Hitos!$A8&lt;&gt;"",Hitos!$B8=$BD$2),BO8,"")</f>
        <v/>
      </c>
      <c r="BO8">
        <f>IF(AND(Hitos!$A8&lt;&gt;"",Hitos!$B8=$BD$2),N(BO7)+1,N(BO7))</f>
        <v/>
      </c>
    </row>
    <row r="9" ht="18" customHeight="1">
      <c r="B9" s="34" t="inlineStr">
        <is>
          <t>Subárea</t>
        </is>
      </c>
      <c r="C9" s="35">
        <f>IF($BD$1="","",INDEX(Proyectos!$D$2:$D$41,$BD$1))</f>
        <v/>
      </c>
      <c r="D9" s="36" t="n"/>
      <c r="E9" s="36" t="n"/>
      <c r="F9" s="36" t="n"/>
      <c r="G9" s="36" t="n"/>
      <c r="H9" s="36" t="n"/>
      <c r="BJ9">
        <f>IF(AND(KPIs!$A9&lt;&gt;"",KPIs!$B9=$BD$2),BK9,"")</f>
        <v/>
      </c>
      <c r="BK9">
        <f>IF(AND(KPIs!$A9&lt;&gt;"",KPIs!$B9=$BD$2),N(BK8)+1,N(BK8))</f>
        <v/>
      </c>
      <c r="BN9">
        <f>IF(AND(Hitos!$A9&lt;&gt;"",Hitos!$B9=$BD$2),BO9,"")</f>
        <v/>
      </c>
      <c r="BO9">
        <f>IF(AND(Hitos!$A9&lt;&gt;"",Hitos!$B9=$BD$2),N(BO8)+1,N(BO8))</f>
        <v/>
      </c>
    </row>
    <row r="10" ht="18" customHeight="1">
      <c r="B10" s="34" t="inlineStr">
        <is>
          <t>Owner</t>
        </is>
      </c>
      <c r="C10" s="35">
        <f>IF($BD$1="","",INDEX(Proyectos!$E$2:$E$41,$BD$1))</f>
        <v/>
      </c>
      <c r="D10" s="36" t="n"/>
      <c r="E10" s="36" t="n"/>
      <c r="F10" s="36" t="n"/>
      <c r="G10" s="36" t="n"/>
      <c r="H10" s="36" t="n"/>
      <c r="BJ10">
        <f>IF(AND(KPIs!$A10&lt;&gt;"",KPIs!$B10=$BD$2),BK10,"")</f>
        <v/>
      </c>
      <c r="BK10">
        <f>IF(AND(KPIs!$A10&lt;&gt;"",KPIs!$B10=$BD$2),N(BK9)+1,N(BK9))</f>
        <v/>
      </c>
      <c r="BN10">
        <f>IF(AND(Hitos!$A10&lt;&gt;"",Hitos!$B10=$BD$2),BO10,"")</f>
        <v/>
      </c>
      <c r="BO10">
        <f>IF(AND(Hitos!$A10&lt;&gt;"",Hitos!$B10=$BD$2),N(BO9)+1,N(BO9))</f>
        <v/>
      </c>
    </row>
    <row r="11" ht="18" customHeight="1">
      <c r="B11" s="34" t="inlineStr">
        <is>
          <t>Tipo</t>
        </is>
      </c>
      <c r="C11" s="35">
        <f>IF($BD$1="","",INDEX(Proyectos!$F$2:$F$41,$BD$1))</f>
        <v/>
      </c>
      <c r="D11" s="36" t="n"/>
      <c r="E11" s="36" t="n"/>
      <c r="F11" s="36" t="n"/>
      <c r="G11" s="36" t="n"/>
      <c r="H11" s="36" t="n"/>
      <c r="BJ11">
        <f>IF(AND(KPIs!$A11&lt;&gt;"",KPIs!$B11=$BD$2),BK11,"")</f>
        <v/>
      </c>
      <c r="BK11">
        <f>IF(AND(KPIs!$A11&lt;&gt;"",KPIs!$B11=$BD$2),N(BK10)+1,N(BK10))</f>
        <v/>
      </c>
      <c r="BN11">
        <f>IF(AND(Hitos!$A11&lt;&gt;"",Hitos!$B11=$BD$2),BO11,"")</f>
        <v/>
      </c>
      <c r="BO11">
        <f>IF(AND(Hitos!$A11&lt;&gt;"",Hitos!$B11=$BD$2),N(BO10)+1,N(BO10))</f>
        <v/>
      </c>
    </row>
    <row r="12" ht="18" customHeight="1">
      <c r="B12" s="34" t="inlineStr">
        <is>
          <t>Prioridad</t>
        </is>
      </c>
      <c r="C12" s="35">
        <f>IF($BD$1="","",INDEX(Proyectos!$G$2:$G$41,$BD$1))</f>
        <v/>
      </c>
      <c r="D12" s="36" t="n"/>
      <c r="E12" s="36" t="n"/>
      <c r="F12" s="36" t="n"/>
      <c r="G12" s="36" t="n"/>
      <c r="H12" s="36" t="n"/>
      <c r="BJ12">
        <f>IF(AND(KPIs!$A12&lt;&gt;"",KPIs!$B12=$BD$2),BK12,"")</f>
        <v/>
      </c>
      <c r="BK12">
        <f>IF(AND(KPIs!$A12&lt;&gt;"",KPIs!$B12=$BD$2),N(BK11)+1,N(BK11))</f>
        <v/>
      </c>
      <c r="BN12">
        <f>IF(AND(Hitos!$A12&lt;&gt;"",Hitos!$B12=$BD$2),BO12,"")</f>
        <v/>
      </c>
      <c r="BO12">
        <f>IF(AND(Hitos!$A12&lt;&gt;"",Hitos!$B12=$BD$2),N(BO11)+1,N(BO11))</f>
        <v/>
      </c>
    </row>
    <row r="13" ht="18" customHeight="1">
      <c r="B13" s="34" t="inlineStr">
        <is>
          <t>Estado</t>
        </is>
      </c>
      <c r="C13" s="35">
        <f>IF($BD$1="","",INDEX(Proyectos!$H$2:$H$41,$BD$1))</f>
        <v/>
      </c>
      <c r="D13" s="36" t="n"/>
      <c r="E13" s="36" t="n"/>
      <c r="F13" s="36" t="n"/>
      <c r="G13" s="36" t="n"/>
      <c r="H13" s="36" t="n"/>
      <c r="BJ13">
        <f>IF(AND(KPIs!$A13&lt;&gt;"",KPIs!$B13=$BD$2),BK13,"")</f>
        <v/>
      </c>
      <c r="BK13">
        <f>IF(AND(KPIs!$A13&lt;&gt;"",KPIs!$B13=$BD$2),N(BK12)+1,N(BK12))</f>
        <v/>
      </c>
      <c r="BN13">
        <f>IF(AND(Hitos!$A13&lt;&gt;"",Hitos!$B13=$BD$2),BO13,"")</f>
        <v/>
      </c>
      <c r="BO13">
        <f>IF(AND(Hitos!$A13&lt;&gt;"",Hitos!$B13=$BD$2),N(BO12)+1,N(BO12))</f>
        <v/>
      </c>
    </row>
    <row r="14" ht="18" customHeight="1">
      <c r="B14" s="34" t="inlineStr">
        <is>
          <t>Fase</t>
        </is>
      </c>
      <c r="C14" s="35">
        <f>IF($BD$1="","",INDEX(Proyectos!$I$2:$I$41,$BD$1))</f>
        <v/>
      </c>
      <c r="D14" s="36" t="n"/>
      <c r="E14" s="36" t="n"/>
      <c r="F14" s="36" t="n"/>
      <c r="G14" s="36" t="n"/>
      <c r="H14" s="36" t="n"/>
      <c r="BJ14">
        <f>IF(AND(KPIs!$A14&lt;&gt;"",KPIs!$B14=$BD$2),BK14,"")</f>
        <v/>
      </c>
      <c r="BK14">
        <f>IF(AND(KPIs!$A14&lt;&gt;"",KPIs!$B14=$BD$2),N(BK13)+1,N(BK13))</f>
        <v/>
      </c>
      <c r="BN14">
        <f>IF(AND(Hitos!$A14&lt;&gt;"",Hitos!$B14=$BD$2),BO14,"")</f>
        <v/>
      </c>
      <c r="BO14">
        <f>IF(AND(Hitos!$A14&lt;&gt;"",Hitos!$B14=$BD$2),N(BO13)+1,N(BO13))</f>
        <v/>
      </c>
    </row>
    <row r="15" ht="18" customHeight="1">
      <c r="B15" s="34" t="inlineStr">
        <is>
          <t>Fecha de inicio</t>
        </is>
      </c>
      <c r="C15" s="37">
        <f>IF($BD$1="","",INDEX(Proyectos!$J$2:$J$41,$BD$1))</f>
        <v/>
      </c>
      <c r="D15" s="36" t="n"/>
      <c r="E15" s="36" t="n"/>
      <c r="F15" s="36" t="n"/>
      <c r="G15" s="36" t="n"/>
      <c r="H15" s="36" t="n"/>
      <c r="BJ15">
        <f>IF(AND(KPIs!$A15&lt;&gt;"",KPIs!$B15=$BD$2),BK15,"")</f>
        <v/>
      </c>
      <c r="BK15">
        <f>IF(AND(KPIs!$A15&lt;&gt;"",KPIs!$B15=$BD$2),N(BK14)+1,N(BK14))</f>
        <v/>
      </c>
      <c r="BN15">
        <f>IF(AND(Hitos!$A15&lt;&gt;"",Hitos!$B15=$BD$2),BO15,"")</f>
        <v/>
      </c>
      <c r="BO15">
        <f>IF(AND(Hitos!$A15&lt;&gt;"",Hitos!$B15=$BD$2),N(BO14)+1,N(BO14))</f>
        <v/>
      </c>
    </row>
    <row r="16" ht="18" customHeight="1">
      <c r="B16" s="34" t="inlineStr">
        <is>
          <t>Fin previsto</t>
        </is>
      </c>
      <c r="C16" s="37">
        <f>IF($BD$1="","",INDEX(Proyectos!$K$2:$K$41,$BD$1))</f>
        <v/>
      </c>
      <c r="D16" s="36" t="n"/>
      <c r="E16" s="36" t="n"/>
      <c r="F16" s="36" t="n"/>
      <c r="G16" s="36" t="n"/>
      <c r="H16" s="36" t="n"/>
      <c r="BJ16">
        <f>IF(AND(KPIs!$A16&lt;&gt;"",KPIs!$B16=$BD$2),BK16,"")</f>
        <v/>
      </c>
      <c r="BK16">
        <f>IF(AND(KPIs!$A16&lt;&gt;"",KPIs!$B16=$BD$2),N(BK15)+1,N(BK15))</f>
        <v/>
      </c>
      <c r="BN16">
        <f>IF(AND(Hitos!$A16&lt;&gt;"",Hitos!$B16=$BD$2),BO16,"")</f>
        <v/>
      </c>
      <c r="BO16">
        <f>IF(AND(Hitos!$A16&lt;&gt;"",Hitos!$B16=$BD$2),N(BO15)+1,N(BO15))</f>
        <v/>
      </c>
    </row>
    <row r="17" ht="18" customHeight="1">
      <c r="B17" s="34" t="inlineStr">
        <is>
          <t>Días restantes</t>
        </is>
      </c>
      <c r="C17" s="38">
        <f>IF($BD$1="","",INDEX(Proyectos!$T$2:$T$41,$BD$1))</f>
        <v/>
      </c>
      <c r="D17" s="36" t="n"/>
      <c r="E17" s="36" t="n"/>
      <c r="F17" s="36" t="n"/>
      <c r="G17" s="36" t="n"/>
      <c r="H17" s="36" t="n"/>
      <c r="BJ17">
        <f>IF(AND(KPIs!$A17&lt;&gt;"",KPIs!$B17=$BD$2),BK17,"")</f>
        <v/>
      </c>
      <c r="BK17">
        <f>IF(AND(KPIs!$A17&lt;&gt;"",KPIs!$B17=$BD$2),N(BK16)+1,N(BK16))</f>
        <v/>
      </c>
      <c r="BN17">
        <f>IF(AND(Hitos!$A17&lt;&gt;"",Hitos!$B17=$BD$2),BO17,"")</f>
        <v/>
      </c>
      <c r="BO17">
        <f>IF(AND(Hitos!$A17&lt;&gt;"",Hitos!$B17=$BD$2),N(BO16)+1,N(BO16))</f>
        <v/>
      </c>
    </row>
    <row r="18" ht="18" customHeight="1">
      <c r="B18" s="34" t="inlineStr">
        <is>
          <t>Avance real</t>
        </is>
      </c>
      <c r="C18" s="39">
        <f>IF($BD$1="","",INDEX(Proyectos!$L$2:$L$41,$BD$1))</f>
        <v/>
      </c>
      <c r="D18" s="36" t="n"/>
      <c r="E18" s="36" t="n"/>
      <c r="F18" s="36" t="n"/>
      <c r="G18" s="36" t="n"/>
      <c r="H18" s="36" t="n"/>
      <c r="BJ18">
        <f>IF(AND(KPIs!$A18&lt;&gt;"",KPIs!$B18=$BD$2),BK18,"")</f>
        <v/>
      </c>
      <c r="BK18">
        <f>IF(AND(KPIs!$A18&lt;&gt;"",KPIs!$B18=$BD$2),N(BK17)+1,N(BK17))</f>
        <v/>
      </c>
      <c r="BN18">
        <f>IF(AND(Hitos!$A18&lt;&gt;"",Hitos!$B18=$BD$2),BO18,"")</f>
        <v/>
      </c>
      <c r="BO18">
        <f>IF(AND(Hitos!$A18&lt;&gt;"",Hitos!$B18=$BD$2),N(BO17)+1,N(BO17))</f>
        <v/>
      </c>
    </row>
    <row r="19" ht="18" customHeight="1">
      <c r="B19" s="34" t="inlineStr">
        <is>
          <t>Avance esperado por calendario</t>
        </is>
      </c>
      <c r="C19" s="39">
        <f>IF($BD$1="","",INDEX(Proyectos!$U$2:$U$41,$BD$1))</f>
        <v/>
      </c>
      <c r="D19" s="36" t="n"/>
      <c r="E19" s="36" t="n"/>
      <c r="F19" s="36" t="n"/>
      <c r="G19" s="36" t="n"/>
      <c r="H19" s="36" t="n"/>
      <c r="BJ19">
        <f>IF(AND(KPIs!$A19&lt;&gt;"",KPIs!$B19=$BD$2),BK19,"")</f>
        <v/>
      </c>
      <c r="BK19">
        <f>IF(AND(KPIs!$A19&lt;&gt;"",KPIs!$B19=$BD$2),N(BK18)+1,N(BK18))</f>
        <v/>
      </c>
      <c r="BN19">
        <f>IF(AND(Hitos!$A19&lt;&gt;"",Hitos!$B19=$BD$2),BO19,"")</f>
        <v/>
      </c>
      <c r="BO19">
        <f>IF(AND(Hitos!$A19&lt;&gt;"",Hitos!$B19=$BD$2),N(BO18)+1,N(BO18))</f>
        <v/>
      </c>
    </row>
    <row r="20" ht="18" customHeight="1">
      <c r="B20" s="34" t="inlineStr">
        <is>
          <t>Desviación</t>
        </is>
      </c>
      <c r="C20" s="40">
        <f>IF($BD$1="","",INDEX(Proyectos!$V$2:$V$41,$BD$1))</f>
        <v/>
      </c>
      <c r="D20" s="36" t="n"/>
      <c r="E20" s="36" t="n"/>
      <c r="F20" s="36" t="n"/>
      <c r="G20" s="36" t="n"/>
      <c r="H20" s="36" t="n"/>
      <c r="BJ20">
        <f>IF(AND(KPIs!$A20&lt;&gt;"",KPIs!$B20=$BD$2),BK20,"")</f>
        <v/>
      </c>
      <c r="BK20">
        <f>IF(AND(KPIs!$A20&lt;&gt;"",KPIs!$B20=$BD$2),N(BK19)+1,N(BK19))</f>
        <v/>
      </c>
      <c r="BN20">
        <f>IF(AND(Hitos!$A20&lt;&gt;"",Hitos!$B20=$BD$2),BO20,"")</f>
        <v/>
      </c>
      <c r="BO20">
        <f>IF(AND(Hitos!$A20&lt;&gt;"",Hitos!$B20=$BD$2),N(BO19)+1,N(BO19))</f>
        <v/>
      </c>
    </row>
    <row r="21" ht="18" customHeight="1">
      <c r="B21" s="34" t="inlineStr">
        <is>
          <t>Semáforo</t>
        </is>
      </c>
      <c r="C21" s="35">
        <f>IF($BD$1="","",INDEX(Proyectos!$W$2:$W$41,$BD$1))</f>
        <v/>
      </c>
      <c r="D21" s="36" t="n"/>
      <c r="E21" s="36" t="n"/>
      <c r="F21" s="36" t="n"/>
      <c r="G21" s="36" t="n"/>
      <c r="H21" s="36" t="n"/>
      <c r="BJ21">
        <f>IF(AND(KPIs!$A21&lt;&gt;"",KPIs!$B21=$BD$2),BK21,"")</f>
        <v/>
      </c>
      <c r="BK21">
        <f>IF(AND(KPIs!$A21&lt;&gt;"",KPIs!$B21=$BD$2),N(BK20)+1,N(BK20))</f>
        <v/>
      </c>
      <c r="BN21">
        <f>IF(AND(Hitos!$A21&lt;&gt;"",Hitos!$B21=$BD$2),BO21,"")</f>
        <v/>
      </c>
      <c r="BO21">
        <f>IF(AND(Hitos!$A21&lt;&gt;"",Hitos!$B21=$BD$2),N(BO20)+1,N(BO20))</f>
        <v/>
      </c>
    </row>
    <row r="22" ht="18" customHeight="1">
      <c r="B22" s="34" t="inlineStr">
        <is>
          <t>Riesgo</t>
        </is>
      </c>
      <c r="C22" s="35">
        <f>IF($BD$1="","",INDEX(Proyectos!$M$2:$M$41,$BD$1))</f>
        <v/>
      </c>
      <c r="D22" s="36" t="n"/>
      <c r="E22" s="36" t="n"/>
      <c r="F22" s="36" t="n"/>
      <c r="G22" s="36" t="n"/>
      <c r="H22" s="36" t="n"/>
      <c r="BJ22">
        <f>IF(AND(KPIs!$A22&lt;&gt;"",KPIs!$B22=$BD$2),BK22,"")</f>
        <v/>
      </c>
      <c r="BK22">
        <f>IF(AND(KPIs!$A22&lt;&gt;"",KPIs!$B22=$BD$2),N(BK21)+1,N(BK21))</f>
        <v/>
      </c>
      <c r="BN22">
        <f>IF(AND(Hitos!$A22&lt;&gt;"",Hitos!$B22=$BD$2),BO22,"")</f>
        <v/>
      </c>
      <c r="BO22">
        <f>IF(AND(Hitos!$A22&lt;&gt;"",Hitos!$B22=$BD$2),N(BO21)+1,N(BO21))</f>
        <v/>
      </c>
    </row>
    <row r="23" ht="18" customHeight="1">
      <c r="B23" s="34" t="inlineStr">
        <is>
          <t>Presupuesto €</t>
        </is>
      </c>
      <c r="C23" s="41">
        <f>IF($BD$1="","",INDEX(Proyectos!$N$2:$N$41,$BD$1))</f>
        <v/>
      </c>
      <c r="D23" s="36" t="n"/>
      <c r="E23" s="36" t="n"/>
      <c r="F23" s="36" t="n"/>
      <c r="G23" s="36" t="n"/>
      <c r="H23" s="36" t="n"/>
      <c r="BJ23">
        <f>IF(AND(KPIs!$A23&lt;&gt;"",KPIs!$B23=$BD$2),BK23,"")</f>
        <v/>
      </c>
      <c r="BK23">
        <f>IF(AND(KPIs!$A23&lt;&gt;"",KPIs!$B23=$BD$2),N(BK22)+1,N(BK22))</f>
        <v/>
      </c>
      <c r="BN23">
        <f>IF(AND(Hitos!$A23&lt;&gt;"",Hitos!$B23=$BD$2),BO23,"")</f>
        <v/>
      </c>
      <c r="BO23">
        <f>IF(AND(Hitos!$A23&lt;&gt;"",Hitos!$B23=$BD$2),N(BO22)+1,N(BO22))</f>
        <v/>
      </c>
    </row>
    <row r="24" ht="18" customHeight="1">
      <c r="B24" s="34" t="inlineStr">
        <is>
          <t>Gasto €</t>
        </is>
      </c>
      <c r="C24" s="41">
        <f>IF($BD$1="","",INDEX(Proyectos!$O$2:$O$41,$BD$1))</f>
        <v/>
      </c>
      <c r="D24" s="36" t="n"/>
      <c r="E24" s="36" t="n"/>
      <c r="F24" s="36" t="n"/>
      <c r="G24" s="36" t="n"/>
      <c r="H24" s="36" t="n"/>
      <c r="BJ24">
        <f>IF(AND(KPIs!$A24&lt;&gt;"",KPIs!$B24=$BD$2),BK24,"")</f>
        <v/>
      </c>
      <c r="BK24">
        <f>IF(AND(KPIs!$A24&lt;&gt;"",KPIs!$B24=$BD$2),N(BK23)+1,N(BK23))</f>
        <v/>
      </c>
      <c r="BN24">
        <f>IF(AND(Hitos!$A24&lt;&gt;"",Hitos!$B24=$BD$2),BO24,"")</f>
        <v/>
      </c>
      <c r="BO24">
        <f>IF(AND(Hitos!$A24&lt;&gt;"",Hitos!$B24=$BD$2),N(BO23)+1,N(BO23))</f>
        <v/>
      </c>
    </row>
    <row r="25" ht="18" customHeight="1">
      <c r="B25" s="34" t="inlineStr">
        <is>
          <t>% presupuesto consumido</t>
        </is>
      </c>
      <c r="C25" s="39">
        <f>IF($BD$1="","",INDEX(Proyectos!$S$2:$S$41,$BD$1))</f>
        <v/>
      </c>
      <c r="D25" s="36" t="n"/>
      <c r="E25" s="36" t="n"/>
      <c r="F25" s="36" t="n"/>
      <c r="G25" s="36" t="n"/>
      <c r="H25" s="36" t="n"/>
      <c r="BJ25">
        <f>IF(AND(KPIs!$A25&lt;&gt;"",KPIs!$B25=$BD$2),BK25,"")</f>
        <v/>
      </c>
      <c r="BK25">
        <f>IF(AND(KPIs!$A25&lt;&gt;"",KPIs!$B25=$BD$2),N(BK24)+1,N(BK24))</f>
        <v/>
      </c>
      <c r="BN25">
        <f>IF(AND(Hitos!$A25&lt;&gt;"",Hitos!$B25=$BD$2),BO25,"")</f>
        <v/>
      </c>
      <c r="BO25">
        <f>IF(AND(Hitos!$A25&lt;&gt;"",Hitos!$B25=$BD$2),N(BO24)+1,N(BO24))</f>
        <v/>
      </c>
    </row>
    <row r="26" ht="18" customHeight="1">
      <c r="B26" s="34" t="inlineStr">
        <is>
          <t>% consecución media de KPIs</t>
        </is>
      </c>
      <c r="C26" s="39">
        <f>IF($BD$1="","",INDEX(Proyectos!$Y$2:$Y$41,$BD$1))</f>
        <v/>
      </c>
      <c r="D26" s="36" t="n"/>
      <c r="E26" s="36" t="n"/>
      <c r="F26" s="36" t="n"/>
      <c r="G26" s="36" t="n"/>
      <c r="H26" s="36" t="n"/>
      <c r="BJ26">
        <f>IF(AND(KPIs!$A26&lt;&gt;"",KPIs!$B26=$BD$2),BK26,"")</f>
        <v/>
      </c>
      <c r="BK26">
        <f>IF(AND(KPIs!$A26&lt;&gt;"",KPIs!$B26=$BD$2),N(BK25)+1,N(BK25))</f>
        <v/>
      </c>
      <c r="BN26">
        <f>IF(AND(Hitos!$A26&lt;&gt;"",Hitos!$B26=$BD$2),BO26,"")</f>
        <v/>
      </c>
      <c r="BO26">
        <f>IF(AND(Hitos!$A26&lt;&gt;"",Hitos!$B26=$BD$2),N(BO25)+1,N(BO25))</f>
        <v/>
      </c>
    </row>
    <row r="27" ht="32" customHeight="1">
      <c r="B27" s="34" t="inlineStr">
        <is>
          <t>Objetivo de negocio</t>
        </is>
      </c>
      <c r="C27" s="42">
        <f>IF($BD$1="","",INDEX(Proyectos!$P$2:$P$41,$BD$1))</f>
        <v/>
      </c>
      <c r="D27" s="36" t="n"/>
      <c r="E27" s="36" t="n"/>
      <c r="F27" s="36" t="n"/>
      <c r="G27" s="36" t="n"/>
      <c r="H27" s="36" t="n"/>
      <c r="BJ27">
        <f>IF(AND(KPIs!$A27&lt;&gt;"",KPIs!$B27=$BD$2),BK27,"")</f>
        <v/>
      </c>
      <c r="BK27">
        <f>IF(AND(KPIs!$A27&lt;&gt;"",KPIs!$B27=$BD$2),N(BK26)+1,N(BK26))</f>
        <v/>
      </c>
      <c r="BN27">
        <f>IF(AND(Hitos!$A27&lt;&gt;"",Hitos!$B27=$BD$2),BO27,"")</f>
        <v/>
      </c>
      <c r="BO27">
        <f>IF(AND(Hitos!$A27&lt;&gt;"",Hitos!$B27=$BD$2),N(BO26)+1,N(BO26))</f>
        <v/>
      </c>
    </row>
    <row r="28" ht="32" customHeight="1">
      <c r="B28" s="34" t="inlineStr">
        <is>
          <t>Impacto esperado</t>
        </is>
      </c>
      <c r="C28" s="42">
        <f>IF($BD$1="","",INDEX(Proyectos!$Q$2:$Q$41,$BD$1))</f>
        <v/>
      </c>
      <c r="D28" s="36" t="n"/>
      <c r="E28" s="36" t="n"/>
      <c r="F28" s="36" t="n"/>
      <c r="G28" s="36" t="n"/>
      <c r="H28" s="36" t="n"/>
      <c r="BJ28">
        <f>IF(AND(KPIs!$A28&lt;&gt;"",KPIs!$B28=$BD$2),BK28,"")</f>
        <v/>
      </c>
      <c r="BK28">
        <f>IF(AND(KPIs!$A28&lt;&gt;"",KPIs!$B28=$BD$2),N(BK27)+1,N(BK27))</f>
        <v/>
      </c>
      <c r="BN28">
        <f>IF(AND(Hitos!$A28&lt;&gt;"",Hitos!$B28=$BD$2),BO28,"")</f>
        <v/>
      </c>
      <c r="BO28">
        <f>IF(AND(Hitos!$A28&lt;&gt;"",Hitos!$B28=$BD$2),N(BO27)+1,N(BO27))</f>
        <v/>
      </c>
    </row>
    <row r="29" ht="32" customHeight="1">
      <c r="B29" s="34" t="inlineStr">
        <is>
          <t>Notas</t>
        </is>
      </c>
      <c r="C29" s="42">
        <f>IF($BD$1="","",INDEX(Proyectos!$R$2:$R$41,$BD$1))</f>
        <v/>
      </c>
      <c r="D29" s="36" t="n"/>
      <c r="E29" s="36" t="n"/>
      <c r="F29" s="36" t="n"/>
      <c r="G29" s="36" t="n"/>
      <c r="H29" s="36" t="n"/>
      <c r="BJ29">
        <f>IF(AND(KPIs!$A29&lt;&gt;"",KPIs!$B29=$BD$2),BK29,"")</f>
        <v/>
      </c>
      <c r="BK29">
        <f>IF(AND(KPIs!$A29&lt;&gt;"",KPIs!$B29=$BD$2),N(BK28)+1,N(BK28))</f>
        <v/>
      </c>
      <c r="BN29">
        <f>IF(AND(Hitos!$A29&lt;&gt;"",Hitos!$B29=$BD$2),BO29,"")</f>
        <v/>
      </c>
      <c r="BO29">
        <f>IF(AND(Hitos!$A29&lt;&gt;"",Hitos!$B29=$BD$2),N(BO28)+1,N(BO28))</f>
        <v/>
      </c>
    </row>
    <row r="30">
      <c r="B30" s="34" t="inlineStr">
        <is>
          <t>Hitos (total / completados / vencidos)</t>
        </is>
      </c>
      <c r="C30" s="43">
        <f>IF($BD$1="","",INDEX(Proyectos!$Z$2:$Z$41,$BD$1)&amp;"  /  "&amp;INDEX(Proyectos!$AA$2:$AA$41,$BD$1)&amp;"  /  "&amp;INDEX(Proyectos!$AB$2:$AB$41,$BD$1))</f>
        <v/>
      </c>
      <c r="D30" s="36" t="n"/>
      <c r="E30" s="36" t="n"/>
      <c r="F30" s="36" t="n"/>
      <c r="G30" s="36" t="n"/>
      <c r="H30" s="36" t="n"/>
      <c r="BJ30">
        <f>IF(AND(KPIs!$A30&lt;&gt;"",KPIs!$B30=$BD$2),BK30,"")</f>
        <v/>
      </c>
      <c r="BK30">
        <f>IF(AND(KPIs!$A30&lt;&gt;"",KPIs!$B30=$BD$2),N(BK29)+1,N(BK29))</f>
        <v/>
      </c>
      <c r="BN30">
        <f>IF(AND(Hitos!$A30&lt;&gt;"",Hitos!$B30=$BD$2),BO30,"")</f>
        <v/>
      </c>
      <c r="BO30">
        <f>IF(AND(Hitos!$A30&lt;&gt;"",Hitos!$B30=$BD$2),N(BO29)+1,N(BO29))</f>
        <v/>
      </c>
    </row>
    <row r="31">
      <c r="BJ31">
        <f>IF(AND(KPIs!$A31&lt;&gt;"",KPIs!$B31=$BD$2),BK31,"")</f>
        <v/>
      </c>
      <c r="BK31">
        <f>IF(AND(KPIs!$A31&lt;&gt;"",KPIs!$B31=$BD$2),N(BK30)+1,N(BK30))</f>
        <v/>
      </c>
      <c r="BN31">
        <f>IF(AND(Hitos!$A31&lt;&gt;"",Hitos!$B31=$BD$2),BO31,"")</f>
        <v/>
      </c>
      <c r="BO31">
        <f>IF(AND(Hitos!$A31&lt;&gt;"",Hitos!$B31=$BD$2),N(BO30)+1,N(BO30))</f>
        <v/>
      </c>
    </row>
    <row r="32">
      <c r="B32" s="5" t="inlineStr">
        <is>
          <t>KPIS DEL PROYECTO</t>
        </is>
      </c>
      <c r="BJ32">
        <f>IF(AND(KPIs!$A32&lt;&gt;"",KPIs!$B32=$BD$2),BK32,"")</f>
        <v/>
      </c>
      <c r="BK32">
        <f>IF(AND(KPIs!$A32&lt;&gt;"",KPIs!$B32=$BD$2),N(BK31)+1,N(BK31))</f>
        <v/>
      </c>
      <c r="BN32">
        <f>IF(AND(Hitos!$A32&lt;&gt;"",Hitos!$B32=$BD$2),BO32,"")</f>
        <v/>
      </c>
      <c r="BO32">
        <f>IF(AND(Hitos!$A32&lt;&gt;"",Hitos!$B32=$BD$2),N(BO31)+1,N(BO31))</f>
        <v/>
      </c>
    </row>
    <row r="33" ht="34" customHeight="1">
      <c r="B33" s="18" t="inlineStr">
        <is>
          <t>ID</t>
        </is>
      </c>
      <c r="C33" s="18" t="inlineStr">
        <is>
          <t>KPI</t>
        </is>
      </c>
      <c r="D33" s="18" t="inlineStr">
        <is>
          <t>Unidad</t>
        </is>
      </c>
      <c r="E33" s="18" t="inlineStr">
        <is>
          <t>Dirección</t>
        </is>
      </c>
      <c r="F33" s="18" t="inlineStr">
        <is>
          <t>Baseline</t>
        </is>
      </c>
      <c r="G33" s="18" t="inlineStr">
        <is>
          <t>Target</t>
        </is>
      </c>
      <c r="H33" s="18" t="inlineStr">
        <is>
          <t>Actual</t>
        </is>
      </c>
      <c r="I33" s="18" t="inlineStr">
        <is>
          <t>% consecución</t>
        </is>
      </c>
      <c r="J33" s="18" t="inlineStr">
        <is>
          <t>Estado</t>
        </is>
      </c>
      <c r="K33" s="18" t="inlineStr">
        <is>
          <t>Frecuencia</t>
        </is>
      </c>
      <c r="L33" s="18" t="inlineStr">
        <is>
          <t>Fuente</t>
        </is>
      </c>
      <c r="BJ33">
        <f>IF(AND(KPIs!$A33&lt;&gt;"",KPIs!$B33=$BD$2),BK33,"")</f>
        <v/>
      </c>
      <c r="BK33">
        <f>IF(AND(KPIs!$A33&lt;&gt;"",KPIs!$B33=$BD$2),N(BK32)+1,N(BK32))</f>
        <v/>
      </c>
      <c r="BN33">
        <f>IF(AND(Hitos!$A33&lt;&gt;"",Hitos!$B33=$BD$2),BO33,"")</f>
        <v/>
      </c>
      <c r="BO33">
        <f>IF(AND(Hitos!$A33&lt;&gt;"",Hitos!$B33=$BD$2),N(BO32)+1,N(BO32))</f>
        <v/>
      </c>
    </row>
    <row r="34" ht="17" customHeight="1">
      <c r="B34" s="24">
        <f>IF($BH34="","",INDEX(KPIs!$A$2:$A$71,$BH34))</f>
        <v/>
      </c>
      <c r="C34" s="19">
        <f>IF($BH34="","",INDEX(KPIs!$C$2:$C$71,$BH34))</f>
        <v/>
      </c>
      <c r="D34" s="24">
        <f>IF($BH34="","",INDEX(KPIs!$D$2:$D$71,$BH34))</f>
        <v/>
      </c>
      <c r="E34" s="24">
        <f>IF($BH34="","",INDEX(KPIs!$E$2:$E$71,$BH34))</f>
        <v/>
      </c>
      <c r="F34" s="32">
        <f>IF($BH34="","",INDEX(KPIs!$F$2:$F$71,$BH34))</f>
        <v/>
      </c>
      <c r="G34" s="32">
        <f>IF($BH34="","",INDEX(KPIs!$G$2:$G$71,$BH34))</f>
        <v/>
      </c>
      <c r="H34" s="32">
        <f>IF($BH34="","",INDEX(KPIs!$H$2:$H$71,$BH34))</f>
        <v/>
      </c>
      <c r="I34" s="21">
        <f>IF($BH34="","",INDEX(KPIs!$N$2:$N$71,$BH34))</f>
        <v/>
      </c>
      <c r="J34" s="24">
        <f>IF($BH34="","",INDEX(KPIs!$O$2:$O$71,$BH34))</f>
        <v/>
      </c>
      <c r="K34" s="24">
        <f>IF($BH34="","",INDEX(KPIs!$I$2:$I$71,$BH34))</f>
        <v/>
      </c>
      <c r="L34" s="24">
        <f>IF($BH34="","",INDEX(KPIs!$J$2:$J$71,$BH34))</f>
        <v/>
      </c>
      <c r="BH34">
        <f>IFERROR(MATCH(1,$BJ$2:$BJ$71,0),"")</f>
        <v/>
      </c>
      <c r="BJ34">
        <f>IF(AND(KPIs!$A34&lt;&gt;"",KPIs!$B34=$BD$2),BK34,"")</f>
        <v/>
      </c>
      <c r="BK34">
        <f>IF(AND(KPIs!$A34&lt;&gt;"",KPIs!$B34=$BD$2),N(BK33)+1,N(BK33))</f>
        <v/>
      </c>
      <c r="BN34">
        <f>IF(AND(Hitos!$A34&lt;&gt;"",Hitos!$B34=$BD$2),BO34,"")</f>
        <v/>
      </c>
      <c r="BO34">
        <f>IF(AND(Hitos!$A34&lt;&gt;"",Hitos!$B34=$BD$2),N(BO33)+1,N(BO33))</f>
        <v/>
      </c>
    </row>
    <row r="35" ht="17" customHeight="1">
      <c r="B35" s="24">
        <f>IF($BH35="","",INDEX(KPIs!$A$2:$A$71,$BH35))</f>
        <v/>
      </c>
      <c r="C35" s="19">
        <f>IF($BH35="","",INDEX(KPIs!$C$2:$C$71,$BH35))</f>
        <v/>
      </c>
      <c r="D35" s="24">
        <f>IF($BH35="","",INDEX(KPIs!$D$2:$D$71,$BH35))</f>
        <v/>
      </c>
      <c r="E35" s="24">
        <f>IF($BH35="","",INDEX(KPIs!$E$2:$E$71,$BH35))</f>
        <v/>
      </c>
      <c r="F35" s="32">
        <f>IF($BH35="","",INDEX(KPIs!$F$2:$F$71,$BH35))</f>
        <v/>
      </c>
      <c r="G35" s="32">
        <f>IF($BH35="","",INDEX(KPIs!$G$2:$G$71,$BH35))</f>
        <v/>
      </c>
      <c r="H35" s="32">
        <f>IF($BH35="","",INDEX(KPIs!$H$2:$H$71,$BH35))</f>
        <v/>
      </c>
      <c r="I35" s="21">
        <f>IF($BH35="","",INDEX(KPIs!$N$2:$N$71,$BH35))</f>
        <v/>
      </c>
      <c r="J35" s="24">
        <f>IF($BH35="","",INDEX(KPIs!$O$2:$O$71,$BH35))</f>
        <v/>
      </c>
      <c r="K35" s="24">
        <f>IF($BH35="","",INDEX(KPIs!$I$2:$I$71,$BH35))</f>
        <v/>
      </c>
      <c r="L35" s="24">
        <f>IF($BH35="","",INDEX(KPIs!$J$2:$J$71,$BH35))</f>
        <v/>
      </c>
      <c r="BH35">
        <f>IFERROR(MATCH(2,$BJ$2:$BJ$71,0),"")</f>
        <v/>
      </c>
      <c r="BJ35">
        <f>IF(AND(KPIs!$A35&lt;&gt;"",KPIs!$B35=$BD$2),BK35,"")</f>
        <v/>
      </c>
      <c r="BK35">
        <f>IF(AND(KPIs!$A35&lt;&gt;"",KPIs!$B35=$BD$2),N(BK34)+1,N(BK34))</f>
        <v/>
      </c>
      <c r="BN35">
        <f>IF(AND(Hitos!$A35&lt;&gt;"",Hitos!$B35=$BD$2),BO35,"")</f>
        <v/>
      </c>
      <c r="BO35">
        <f>IF(AND(Hitos!$A35&lt;&gt;"",Hitos!$B35=$BD$2),N(BO34)+1,N(BO34))</f>
        <v/>
      </c>
    </row>
    <row r="36" ht="17" customHeight="1">
      <c r="B36" s="24">
        <f>IF($BH36="","",INDEX(KPIs!$A$2:$A$71,$BH36))</f>
        <v/>
      </c>
      <c r="C36" s="19">
        <f>IF($BH36="","",INDEX(KPIs!$C$2:$C$71,$BH36))</f>
        <v/>
      </c>
      <c r="D36" s="24">
        <f>IF($BH36="","",INDEX(KPIs!$D$2:$D$71,$BH36))</f>
        <v/>
      </c>
      <c r="E36" s="24">
        <f>IF($BH36="","",INDEX(KPIs!$E$2:$E$71,$BH36))</f>
        <v/>
      </c>
      <c r="F36" s="32">
        <f>IF($BH36="","",INDEX(KPIs!$F$2:$F$71,$BH36))</f>
        <v/>
      </c>
      <c r="G36" s="32">
        <f>IF($BH36="","",INDEX(KPIs!$G$2:$G$71,$BH36))</f>
        <v/>
      </c>
      <c r="H36" s="32">
        <f>IF($BH36="","",INDEX(KPIs!$H$2:$H$71,$BH36))</f>
        <v/>
      </c>
      <c r="I36" s="21">
        <f>IF($BH36="","",INDEX(KPIs!$N$2:$N$71,$BH36))</f>
        <v/>
      </c>
      <c r="J36" s="24">
        <f>IF($BH36="","",INDEX(KPIs!$O$2:$O$71,$BH36))</f>
        <v/>
      </c>
      <c r="K36" s="24">
        <f>IF($BH36="","",INDEX(KPIs!$I$2:$I$71,$BH36))</f>
        <v/>
      </c>
      <c r="L36" s="24">
        <f>IF($BH36="","",INDEX(KPIs!$J$2:$J$71,$BH36))</f>
        <v/>
      </c>
      <c r="BH36">
        <f>IFERROR(MATCH(3,$BJ$2:$BJ$71,0),"")</f>
        <v/>
      </c>
      <c r="BJ36">
        <f>IF(AND(KPIs!$A36&lt;&gt;"",KPIs!$B36=$BD$2),BK36,"")</f>
        <v/>
      </c>
      <c r="BK36">
        <f>IF(AND(KPIs!$A36&lt;&gt;"",KPIs!$B36=$BD$2),N(BK35)+1,N(BK35))</f>
        <v/>
      </c>
      <c r="BN36">
        <f>IF(AND(Hitos!$A36&lt;&gt;"",Hitos!$B36=$BD$2),BO36,"")</f>
        <v/>
      </c>
      <c r="BO36">
        <f>IF(AND(Hitos!$A36&lt;&gt;"",Hitos!$B36=$BD$2),N(BO35)+1,N(BO35))</f>
        <v/>
      </c>
    </row>
    <row r="37" ht="17" customHeight="1">
      <c r="B37" s="24">
        <f>IF($BH37="","",INDEX(KPIs!$A$2:$A$71,$BH37))</f>
        <v/>
      </c>
      <c r="C37" s="19">
        <f>IF($BH37="","",INDEX(KPIs!$C$2:$C$71,$BH37))</f>
        <v/>
      </c>
      <c r="D37" s="24">
        <f>IF($BH37="","",INDEX(KPIs!$D$2:$D$71,$BH37))</f>
        <v/>
      </c>
      <c r="E37" s="24">
        <f>IF($BH37="","",INDEX(KPIs!$E$2:$E$71,$BH37))</f>
        <v/>
      </c>
      <c r="F37" s="32">
        <f>IF($BH37="","",INDEX(KPIs!$F$2:$F$71,$BH37))</f>
        <v/>
      </c>
      <c r="G37" s="32">
        <f>IF($BH37="","",INDEX(KPIs!$G$2:$G$71,$BH37))</f>
        <v/>
      </c>
      <c r="H37" s="32">
        <f>IF($BH37="","",INDEX(KPIs!$H$2:$H$71,$BH37))</f>
        <v/>
      </c>
      <c r="I37" s="21">
        <f>IF($BH37="","",INDEX(KPIs!$N$2:$N$71,$BH37))</f>
        <v/>
      </c>
      <c r="J37" s="24">
        <f>IF($BH37="","",INDEX(KPIs!$O$2:$O$71,$BH37))</f>
        <v/>
      </c>
      <c r="K37" s="24">
        <f>IF($BH37="","",INDEX(KPIs!$I$2:$I$71,$BH37))</f>
        <v/>
      </c>
      <c r="L37" s="24">
        <f>IF($BH37="","",INDEX(KPIs!$J$2:$J$71,$BH37))</f>
        <v/>
      </c>
      <c r="BH37">
        <f>IFERROR(MATCH(4,$BJ$2:$BJ$71,0),"")</f>
        <v/>
      </c>
      <c r="BJ37">
        <f>IF(AND(KPIs!$A37&lt;&gt;"",KPIs!$B37=$BD$2),BK37,"")</f>
        <v/>
      </c>
      <c r="BK37">
        <f>IF(AND(KPIs!$A37&lt;&gt;"",KPIs!$B37=$BD$2),N(BK36)+1,N(BK36))</f>
        <v/>
      </c>
      <c r="BN37">
        <f>IF(AND(Hitos!$A37&lt;&gt;"",Hitos!$B37=$BD$2),BO37,"")</f>
        <v/>
      </c>
      <c r="BO37">
        <f>IF(AND(Hitos!$A37&lt;&gt;"",Hitos!$B37=$BD$2),N(BO36)+1,N(BO36))</f>
        <v/>
      </c>
    </row>
    <row r="38" ht="17" customHeight="1">
      <c r="B38" s="24">
        <f>IF($BH38="","",INDEX(KPIs!$A$2:$A$71,$BH38))</f>
        <v/>
      </c>
      <c r="C38" s="19">
        <f>IF($BH38="","",INDEX(KPIs!$C$2:$C$71,$BH38))</f>
        <v/>
      </c>
      <c r="D38" s="24">
        <f>IF($BH38="","",INDEX(KPIs!$D$2:$D$71,$BH38))</f>
        <v/>
      </c>
      <c r="E38" s="24">
        <f>IF($BH38="","",INDEX(KPIs!$E$2:$E$71,$BH38))</f>
        <v/>
      </c>
      <c r="F38" s="32">
        <f>IF($BH38="","",INDEX(KPIs!$F$2:$F$71,$BH38))</f>
        <v/>
      </c>
      <c r="G38" s="32">
        <f>IF($BH38="","",INDEX(KPIs!$G$2:$G$71,$BH38))</f>
        <v/>
      </c>
      <c r="H38" s="32">
        <f>IF($BH38="","",INDEX(KPIs!$H$2:$H$71,$BH38))</f>
        <v/>
      </c>
      <c r="I38" s="21">
        <f>IF($BH38="","",INDEX(KPIs!$N$2:$N$71,$BH38))</f>
        <v/>
      </c>
      <c r="J38" s="24">
        <f>IF($BH38="","",INDEX(KPIs!$O$2:$O$71,$BH38))</f>
        <v/>
      </c>
      <c r="K38" s="24">
        <f>IF($BH38="","",INDEX(KPIs!$I$2:$I$71,$BH38))</f>
        <v/>
      </c>
      <c r="L38" s="24">
        <f>IF($BH38="","",INDEX(KPIs!$J$2:$J$71,$BH38))</f>
        <v/>
      </c>
      <c r="BH38">
        <f>IFERROR(MATCH(5,$BJ$2:$BJ$71,0),"")</f>
        <v/>
      </c>
      <c r="BJ38">
        <f>IF(AND(KPIs!$A38&lt;&gt;"",KPIs!$B38=$BD$2),BK38,"")</f>
        <v/>
      </c>
      <c r="BK38">
        <f>IF(AND(KPIs!$A38&lt;&gt;"",KPIs!$B38=$BD$2),N(BK37)+1,N(BK37))</f>
        <v/>
      </c>
      <c r="BN38">
        <f>IF(AND(Hitos!$A38&lt;&gt;"",Hitos!$B38=$BD$2),BO38,"")</f>
        <v/>
      </c>
      <c r="BO38">
        <f>IF(AND(Hitos!$A38&lt;&gt;"",Hitos!$B38=$BD$2),N(BO37)+1,N(BO37))</f>
        <v/>
      </c>
    </row>
    <row r="39" ht="17" customHeight="1">
      <c r="B39" s="24">
        <f>IF($BH39="","",INDEX(KPIs!$A$2:$A$71,$BH39))</f>
        <v/>
      </c>
      <c r="C39" s="19">
        <f>IF($BH39="","",INDEX(KPIs!$C$2:$C$71,$BH39))</f>
        <v/>
      </c>
      <c r="D39" s="24">
        <f>IF($BH39="","",INDEX(KPIs!$D$2:$D$71,$BH39))</f>
        <v/>
      </c>
      <c r="E39" s="24">
        <f>IF($BH39="","",INDEX(KPIs!$E$2:$E$71,$BH39))</f>
        <v/>
      </c>
      <c r="F39" s="32">
        <f>IF($BH39="","",INDEX(KPIs!$F$2:$F$71,$BH39))</f>
        <v/>
      </c>
      <c r="G39" s="32">
        <f>IF($BH39="","",INDEX(KPIs!$G$2:$G$71,$BH39))</f>
        <v/>
      </c>
      <c r="H39" s="32">
        <f>IF($BH39="","",INDEX(KPIs!$H$2:$H$71,$BH39))</f>
        <v/>
      </c>
      <c r="I39" s="21">
        <f>IF($BH39="","",INDEX(KPIs!$N$2:$N$71,$BH39))</f>
        <v/>
      </c>
      <c r="J39" s="24">
        <f>IF($BH39="","",INDEX(KPIs!$O$2:$O$71,$BH39))</f>
        <v/>
      </c>
      <c r="K39" s="24">
        <f>IF($BH39="","",INDEX(KPIs!$I$2:$I$71,$BH39))</f>
        <v/>
      </c>
      <c r="L39" s="24">
        <f>IF($BH39="","",INDEX(KPIs!$J$2:$J$71,$BH39))</f>
        <v/>
      </c>
      <c r="BH39">
        <f>IFERROR(MATCH(6,$BJ$2:$BJ$71,0),"")</f>
        <v/>
      </c>
      <c r="BJ39">
        <f>IF(AND(KPIs!$A39&lt;&gt;"",KPIs!$B39=$BD$2),BK39,"")</f>
        <v/>
      </c>
      <c r="BK39">
        <f>IF(AND(KPIs!$A39&lt;&gt;"",KPIs!$B39=$BD$2),N(BK38)+1,N(BK38))</f>
        <v/>
      </c>
      <c r="BN39">
        <f>IF(AND(Hitos!$A39&lt;&gt;"",Hitos!$B39=$BD$2),BO39,"")</f>
        <v/>
      </c>
      <c r="BO39">
        <f>IF(AND(Hitos!$A39&lt;&gt;"",Hitos!$B39=$BD$2),N(BO38)+1,N(BO38))</f>
        <v/>
      </c>
    </row>
    <row r="40" ht="17" customHeight="1">
      <c r="B40" s="24">
        <f>IF($BH40="","",INDEX(KPIs!$A$2:$A$71,$BH40))</f>
        <v/>
      </c>
      <c r="C40" s="19">
        <f>IF($BH40="","",INDEX(KPIs!$C$2:$C$71,$BH40))</f>
        <v/>
      </c>
      <c r="D40" s="24">
        <f>IF($BH40="","",INDEX(KPIs!$D$2:$D$71,$BH40))</f>
        <v/>
      </c>
      <c r="E40" s="24">
        <f>IF($BH40="","",INDEX(KPIs!$E$2:$E$71,$BH40))</f>
        <v/>
      </c>
      <c r="F40" s="32">
        <f>IF($BH40="","",INDEX(KPIs!$F$2:$F$71,$BH40))</f>
        <v/>
      </c>
      <c r="G40" s="32">
        <f>IF($BH40="","",INDEX(KPIs!$G$2:$G$71,$BH40))</f>
        <v/>
      </c>
      <c r="H40" s="32">
        <f>IF($BH40="","",INDEX(KPIs!$H$2:$H$71,$BH40))</f>
        <v/>
      </c>
      <c r="I40" s="21">
        <f>IF($BH40="","",INDEX(KPIs!$N$2:$N$71,$BH40))</f>
        <v/>
      </c>
      <c r="J40" s="24">
        <f>IF($BH40="","",INDEX(KPIs!$O$2:$O$71,$BH40))</f>
        <v/>
      </c>
      <c r="K40" s="24">
        <f>IF($BH40="","",INDEX(KPIs!$I$2:$I$71,$BH40))</f>
        <v/>
      </c>
      <c r="L40" s="24">
        <f>IF($BH40="","",INDEX(KPIs!$J$2:$J$71,$BH40))</f>
        <v/>
      </c>
      <c r="BH40">
        <f>IFERROR(MATCH(7,$BJ$2:$BJ$71,0),"")</f>
        <v/>
      </c>
      <c r="BJ40">
        <f>IF(AND(KPIs!$A40&lt;&gt;"",KPIs!$B40=$BD$2),BK40,"")</f>
        <v/>
      </c>
      <c r="BK40">
        <f>IF(AND(KPIs!$A40&lt;&gt;"",KPIs!$B40=$BD$2),N(BK39)+1,N(BK39))</f>
        <v/>
      </c>
      <c r="BN40">
        <f>IF(AND(Hitos!$A40&lt;&gt;"",Hitos!$B40=$BD$2),BO40,"")</f>
        <v/>
      </c>
      <c r="BO40">
        <f>IF(AND(Hitos!$A40&lt;&gt;"",Hitos!$B40=$BD$2),N(BO39)+1,N(BO39))</f>
        <v/>
      </c>
    </row>
    <row r="41" ht="17" customHeight="1">
      <c r="B41" s="24">
        <f>IF($BH41="","",INDEX(KPIs!$A$2:$A$71,$BH41))</f>
        <v/>
      </c>
      <c r="C41" s="19">
        <f>IF($BH41="","",INDEX(KPIs!$C$2:$C$71,$BH41))</f>
        <v/>
      </c>
      <c r="D41" s="24">
        <f>IF($BH41="","",INDEX(KPIs!$D$2:$D$71,$BH41))</f>
        <v/>
      </c>
      <c r="E41" s="24">
        <f>IF($BH41="","",INDEX(KPIs!$E$2:$E$71,$BH41))</f>
        <v/>
      </c>
      <c r="F41" s="32">
        <f>IF($BH41="","",INDEX(KPIs!$F$2:$F$71,$BH41))</f>
        <v/>
      </c>
      <c r="G41" s="32">
        <f>IF($BH41="","",INDEX(KPIs!$G$2:$G$71,$BH41))</f>
        <v/>
      </c>
      <c r="H41" s="32">
        <f>IF($BH41="","",INDEX(KPIs!$H$2:$H$71,$BH41))</f>
        <v/>
      </c>
      <c r="I41" s="21">
        <f>IF($BH41="","",INDEX(KPIs!$N$2:$N$71,$BH41))</f>
        <v/>
      </c>
      <c r="J41" s="24">
        <f>IF($BH41="","",INDEX(KPIs!$O$2:$O$71,$BH41))</f>
        <v/>
      </c>
      <c r="K41" s="24">
        <f>IF($BH41="","",INDEX(KPIs!$I$2:$I$71,$BH41))</f>
        <v/>
      </c>
      <c r="L41" s="24">
        <f>IF($BH41="","",INDEX(KPIs!$J$2:$J$71,$BH41))</f>
        <v/>
      </c>
      <c r="BH41">
        <f>IFERROR(MATCH(8,$BJ$2:$BJ$71,0),"")</f>
        <v/>
      </c>
      <c r="BJ41">
        <f>IF(AND(KPIs!$A41&lt;&gt;"",KPIs!$B41=$BD$2),BK41,"")</f>
        <v/>
      </c>
      <c r="BK41">
        <f>IF(AND(KPIs!$A41&lt;&gt;"",KPIs!$B41=$BD$2),N(BK40)+1,N(BK40))</f>
        <v/>
      </c>
      <c r="BN41">
        <f>IF(AND(Hitos!$A41&lt;&gt;"",Hitos!$B41=$BD$2),BO41,"")</f>
        <v/>
      </c>
      <c r="BO41">
        <f>IF(AND(Hitos!$A41&lt;&gt;"",Hitos!$B41=$BD$2),N(BO40)+1,N(BO40))</f>
        <v/>
      </c>
    </row>
    <row r="42" ht="17" customHeight="1">
      <c r="B42" s="24">
        <f>IF($BH42="","",INDEX(KPIs!$A$2:$A$71,$BH42))</f>
        <v/>
      </c>
      <c r="C42" s="19">
        <f>IF($BH42="","",INDEX(KPIs!$C$2:$C$71,$BH42))</f>
        <v/>
      </c>
      <c r="D42" s="24">
        <f>IF($BH42="","",INDEX(KPIs!$D$2:$D$71,$BH42))</f>
        <v/>
      </c>
      <c r="E42" s="24">
        <f>IF($BH42="","",INDEX(KPIs!$E$2:$E$71,$BH42))</f>
        <v/>
      </c>
      <c r="F42" s="32">
        <f>IF($BH42="","",INDEX(KPIs!$F$2:$F$71,$BH42))</f>
        <v/>
      </c>
      <c r="G42" s="32">
        <f>IF($BH42="","",INDEX(KPIs!$G$2:$G$71,$BH42))</f>
        <v/>
      </c>
      <c r="H42" s="32">
        <f>IF($BH42="","",INDEX(KPIs!$H$2:$H$71,$BH42))</f>
        <v/>
      </c>
      <c r="I42" s="21">
        <f>IF($BH42="","",INDEX(KPIs!$N$2:$N$71,$BH42))</f>
        <v/>
      </c>
      <c r="J42" s="24">
        <f>IF($BH42="","",INDEX(KPIs!$O$2:$O$71,$BH42))</f>
        <v/>
      </c>
      <c r="K42" s="24">
        <f>IF($BH42="","",INDEX(KPIs!$I$2:$I$71,$BH42))</f>
        <v/>
      </c>
      <c r="L42" s="24">
        <f>IF($BH42="","",INDEX(KPIs!$J$2:$J$71,$BH42))</f>
        <v/>
      </c>
      <c r="BH42">
        <f>IFERROR(MATCH(9,$BJ$2:$BJ$71,0),"")</f>
        <v/>
      </c>
      <c r="BJ42">
        <f>IF(AND(KPIs!$A42&lt;&gt;"",KPIs!$B42=$BD$2),BK42,"")</f>
        <v/>
      </c>
      <c r="BK42">
        <f>IF(AND(KPIs!$A42&lt;&gt;"",KPIs!$B42=$BD$2),N(BK41)+1,N(BK41))</f>
        <v/>
      </c>
      <c r="BN42">
        <f>IF(AND(Hitos!$A42&lt;&gt;"",Hitos!$B42=$BD$2),BO42,"")</f>
        <v/>
      </c>
      <c r="BO42">
        <f>IF(AND(Hitos!$A42&lt;&gt;"",Hitos!$B42=$BD$2),N(BO41)+1,N(BO41))</f>
        <v/>
      </c>
    </row>
    <row r="43" ht="17" customHeight="1">
      <c r="B43" s="24">
        <f>IF($BH43="","",INDEX(KPIs!$A$2:$A$71,$BH43))</f>
        <v/>
      </c>
      <c r="C43" s="19">
        <f>IF($BH43="","",INDEX(KPIs!$C$2:$C$71,$BH43))</f>
        <v/>
      </c>
      <c r="D43" s="24">
        <f>IF($BH43="","",INDEX(KPIs!$D$2:$D$71,$BH43))</f>
        <v/>
      </c>
      <c r="E43" s="24">
        <f>IF($BH43="","",INDEX(KPIs!$E$2:$E$71,$BH43))</f>
        <v/>
      </c>
      <c r="F43" s="32">
        <f>IF($BH43="","",INDEX(KPIs!$F$2:$F$71,$BH43))</f>
        <v/>
      </c>
      <c r="G43" s="32">
        <f>IF($BH43="","",INDEX(KPIs!$G$2:$G$71,$BH43))</f>
        <v/>
      </c>
      <c r="H43" s="32">
        <f>IF($BH43="","",INDEX(KPIs!$H$2:$H$71,$BH43))</f>
        <v/>
      </c>
      <c r="I43" s="21">
        <f>IF($BH43="","",INDEX(KPIs!$N$2:$N$71,$BH43))</f>
        <v/>
      </c>
      <c r="J43" s="24">
        <f>IF($BH43="","",INDEX(KPIs!$O$2:$O$71,$BH43))</f>
        <v/>
      </c>
      <c r="K43" s="24">
        <f>IF($BH43="","",INDEX(KPIs!$I$2:$I$71,$BH43))</f>
        <v/>
      </c>
      <c r="L43" s="24">
        <f>IF($BH43="","",INDEX(KPIs!$J$2:$J$71,$BH43))</f>
        <v/>
      </c>
      <c r="BH43">
        <f>IFERROR(MATCH(10,$BJ$2:$BJ$71,0),"")</f>
        <v/>
      </c>
      <c r="BJ43">
        <f>IF(AND(KPIs!$A43&lt;&gt;"",KPIs!$B43=$BD$2),BK43,"")</f>
        <v/>
      </c>
      <c r="BK43">
        <f>IF(AND(KPIs!$A43&lt;&gt;"",KPIs!$B43=$BD$2),N(BK42)+1,N(BK42))</f>
        <v/>
      </c>
      <c r="BN43">
        <f>IF(AND(Hitos!$A43&lt;&gt;"",Hitos!$B43=$BD$2),BO43,"")</f>
        <v/>
      </c>
      <c r="BO43">
        <f>IF(AND(Hitos!$A43&lt;&gt;"",Hitos!$B43=$BD$2),N(BO42)+1,N(BO42))</f>
        <v/>
      </c>
    </row>
    <row r="44" ht="17" customHeight="1">
      <c r="B44" s="24">
        <f>IF($BH44="","",INDEX(KPIs!$A$2:$A$71,$BH44))</f>
        <v/>
      </c>
      <c r="C44" s="19">
        <f>IF($BH44="","",INDEX(KPIs!$C$2:$C$71,$BH44))</f>
        <v/>
      </c>
      <c r="D44" s="24">
        <f>IF($BH44="","",INDEX(KPIs!$D$2:$D$71,$BH44))</f>
        <v/>
      </c>
      <c r="E44" s="24">
        <f>IF($BH44="","",INDEX(KPIs!$E$2:$E$71,$BH44))</f>
        <v/>
      </c>
      <c r="F44" s="32">
        <f>IF($BH44="","",INDEX(KPIs!$F$2:$F$71,$BH44))</f>
        <v/>
      </c>
      <c r="G44" s="32">
        <f>IF($BH44="","",INDEX(KPIs!$G$2:$G$71,$BH44))</f>
        <v/>
      </c>
      <c r="H44" s="32">
        <f>IF($BH44="","",INDEX(KPIs!$H$2:$H$71,$BH44))</f>
        <v/>
      </c>
      <c r="I44" s="21">
        <f>IF($BH44="","",INDEX(KPIs!$N$2:$N$71,$BH44))</f>
        <v/>
      </c>
      <c r="J44" s="24">
        <f>IF($BH44="","",INDEX(KPIs!$O$2:$O$71,$BH44))</f>
        <v/>
      </c>
      <c r="K44" s="24">
        <f>IF($BH44="","",INDEX(KPIs!$I$2:$I$71,$BH44))</f>
        <v/>
      </c>
      <c r="L44" s="24">
        <f>IF($BH44="","",INDEX(KPIs!$J$2:$J$71,$BH44))</f>
        <v/>
      </c>
      <c r="BH44">
        <f>IFERROR(MATCH(11,$BJ$2:$BJ$71,0),"")</f>
        <v/>
      </c>
      <c r="BJ44">
        <f>IF(AND(KPIs!$A44&lt;&gt;"",KPIs!$B44=$BD$2),BK44,"")</f>
        <v/>
      </c>
      <c r="BK44">
        <f>IF(AND(KPIs!$A44&lt;&gt;"",KPIs!$B44=$BD$2),N(BK43)+1,N(BK43))</f>
        <v/>
      </c>
      <c r="BN44">
        <f>IF(AND(Hitos!$A44&lt;&gt;"",Hitos!$B44=$BD$2),BO44,"")</f>
        <v/>
      </c>
      <c r="BO44">
        <f>IF(AND(Hitos!$A44&lt;&gt;"",Hitos!$B44=$BD$2),N(BO43)+1,N(BO43))</f>
        <v/>
      </c>
    </row>
    <row r="45" ht="17" customHeight="1">
      <c r="B45" s="24">
        <f>IF($BH45="","",INDEX(KPIs!$A$2:$A$71,$BH45))</f>
        <v/>
      </c>
      <c r="C45" s="19">
        <f>IF($BH45="","",INDEX(KPIs!$C$2:$C$71,$BH45))</f>
        <v/>
      </c>
      <c r="D45" s="24">
        <f>IF($BH45="","",INDEX(KPIs!$D$2:$D$71,$BH45))</f>
        <v/>
      </c>
      <c r="E45" s="24">
        <f>IF($BH45="","",INDEX(KPIs!$E$2:$E$71,$BH45))</f>
        <v/>
      </c>
      <c r="F45" s="32">
        <f>IF($BH45="","",INDEX(KPIs!$F$2:$F$71,$BH45))</f>
        <v/>
      </c>
      <c r="G45" s="32">
        <f>IF($BH45="","",INDEX(KPIs!$G$2:$G$71,$BH45))</f>
        <v/>
      </c>
      <c r="H45" s="32">
        <f>IF($BH45="","",INDEX(KPIs!$H$2:$H$71,$BH45))</f>
        <v/>
      </c>
      <c r="I45" s="21">
        <f>IF($BH45="","",INDEX(KPIs!$N$2:$N$71,$BH45))</f>
        <v/>
      </c>
      <c r="J45" s="24">
        <f>IF($BH45="","",INDEX(KPIs!$O$2:$O$71,$BH45))</f>
        <v/>
      </c>
      <c r="K45" s="24">
        <f>IF($BH45="","",INDEX(KPIs!$I$2:$I$71,$BH45))</f>
        <v/>
      </c>
      <c r="L45" s="24">
        <f>IF($BH45="","",INDEX(KPIs!$J$2:$J$71,$BH45))</f>
        <v/>
      </c>
      <c r="BH45">
        <f>IFERROR(MATCH(12,$BJ$2:$BJ$71,0),"")</f>
        <v/>
      </c>
      <c r="BJ45">
        <f>IF(AND(KPIs!$A45&lt;&gt;"",KPIs!$B45=$BD$2),BK45,"")</f>
        <v/>
      </c>
      <c r="BK45">
        <f>IF(AND(KPIs!$A45&lt;&gt;"",KPIs!$B45=$BD$2),N(BK44)+1,N(BK44))</f>
        <v/>
      </c>
      <c r="BN45">
        <f>IF(AND(Hitos!$A45&lt;&gt;"",Hitos!$B45=$BD$2),BO45,"")</f>
        <v/>
      </c>
      <c r="BO45">
        <f>IF(AND(Hitos!$A45&lt;&gt;"",Hitos!$B45=$BD$2),N(BO44)+1,N(BO44))</f>
        <v/>
      </c>
    </row>
    <row r="46" ht="17" customHeight="1">
      <c r="B46" s="24">
        <f>IF($BH46="","",INDEX(KPIs!$A$2:$A$71,$BH46))</f>
        <v/>
      </c>
      <c r="C46" s="19">
        <f>IF($BH46="","",INDEX(KPIs!$C$2:$C$71,$BH46))</f>
        <v/>
      </c>
      <c r="D46" s="24">
        <f>IF($BH46="","",INDEX(KPIs!$D$2:$D$71,$BH46))</f>
        <v/>
      </c>
      <c r="E46" s="24">
        <f>IF($BH46="","",INDEX(KPIs!$E$2:$E$71,$BH46))</f>
        <v/>
      </c>
      <c r="F46" s="32">
        <f>IF($BH46="","",INDEX(KPIs!$F$2:$F$71,$BH46))</f>
        <v/>
      </c>
      <c r="G46" s="32">
        <f>IF($BH46="","",INDEX(KPIs!$G$2:$G$71,$BH46))</f>
        <v/>
      </c>
      <c r="H46" s="32">
        <f>IF($BH46="","",INDEX(KPIs!$H$2:$H$71,$BH46))</f>
        <v/>
      </c>
      <c r="I46" s="21">
        <f>IF($BH46="","",INDEX(KPIs!$N$2:$N$71,$BH46))</f>
        <v/>
      </c>
      <c r="J46" s="24">
        <f>IF($BH46="","",INDEX(KPIs!$O$2:$O$71,$BH46))</f>
        <v/>
      </c>
      <c r="K46" s="24">
        <f>IF($BH46="","",INDEX(KPIs!$I$2:$I$71,$BH46))</f>
        <v/>
      </c>
      <c r="L46" s="24">
        <f>IF($BH46="","",INDEX(KPIs!$J$2:$J$71,$BH46))</f>
        <v/>
      </c>
      <c r="BH46">
        <f>IFERROR(MATCH(13,$BJ$2:$BJ$71,0),"")</f>
        <v/>
      </c>
      <c r="BJ46">
        <f>IF(AND(KPIs!$A46&lt;&gt;"",KPIs!$B46=$BD$2),BK46,"")</f>
        <v/>
      </c>
      <c r="BK46">
        <f>IF(AND(KPIs!$A46&lt;&gt;"",KPIs!$B46=$BD$2),N(BK45)+1,N(BK45))</f>
        <v/>
      </c>
      <c r="BN46">
        <f>IF(AND(Hitos!$A46&lt;&gt;"",Hitos!$B46=$BD$2),BO46,"")</f>
        <v/>
      </c>
      <c r="BO46">
        <f>IF(AND(Hitos!$A46&lt;&gt;"",Hitos!$B46=$BD$2),N(BO45)+1,N(BO45))</f>
        <v/>
      </c>
    </row>
    <row r="47" ht="17" customHeight="1">
      <c r="B47" s="24">
        <f>IF($BH47="","",INDEX(KPIs!$A$2:$A$71,$BH47))</f>
        <v/>
      </c>
      <c r="C47" s="19">
        <f>IF($BH47="","",INDEX(KPIs!$C$2:$C$71,$BH47))</f>
        <v/>
      </c>
      <c r="D47" s="24">
        <f>IF($BH47="","",INDEX(KPIs!$D$2:$D$71,$BH47))</f>
        <v/>
      </c>
      <c r="E47" s="24">
        <f>IF($BH47="","",INDEX(KPIs!$E$2:$E$71,$BH47))</f>
        <v/>
      </c>
      <c r="F47" s="32">
        <f>IF($BH47="","",INDEX(KPIs!$F$2:$F$71,$BH47))</f>
        <v/>
      </c>
      <c r="G47" s="32">
        <f>IF($BH47="","",INDEX(KPIs!$G$2:$G$71,$BH47))</f>
        <v/>
      </c>
      <c r="H47" s="32">
        <f>IF($BH47="","",INDEX(KPIs!$H$2:$H$71,$BH47))</f>
        <v/>
      </c>
      <c r="I47" s="21">
        <f>IF($BH47="","",INDEX(KPIs!$N$2:$N$71,$BH47))</f>
        <v/>
      </c>
      <c r="J47" s="24">
        <f>IF($BH47="","",INDEX(KPIs!$O$2:$O$71,$BH47))</f>
        <v/>
      </c>
      <c r="K47" s="24">
        <f>IF($BH47="","",INDEX(KPIs!$I$2:$I$71,$BH47))</f>
        <v/>
      </c>
      <c r="L47" s="24">
        <f>IF($BH47="","",INDEX(KPIs!$J$2:$J$71,$BH47))</f>
        <v/>
      </c>
      <c r="BH47">
        <f>IFERROR(MATCH(14,$BJ$2:$BJ$71,0),"")</f>
        <v/>
      </c>
      <c r="BJ47">
        <f>IF(AND(KPIs!$A47&lt;&gt;"",KPIs!$B47=$BD$2),BK47,"")</f>
        <v/>
      </c>
      <c r="BK47">
        <f>IF(AND(KPIs!$A47&lt;&gt;"",KPIs!$B47=$BD$2),N(BK46)+1,N(BK46))</f>
        <v/>
      </c>
      <c r="BN47">
        <f>IF(AND(Hitos!$A47&lt;&gt;"",Hitos!$B47=$BD$2),BO47,"")</f>
        <v/>
      </c>
      <c r="BO47">
        <f>IF(AND(Hitos!$A47&lt;&gt;"",Hitos!$B47=$BD$2),N(BO46)+1,N(BO46))</f>
        <v/>
      </c>
    </row>
    <row r="48" ht="17" customHeight="1">
      <c r="B48" s="24">
        <f>IF($BH48="","",INDEX(KPIs!$A$2:$A$71,$BH48))</f>
        <v/>
      </c>
      <c r="C48" s="19">
        <f>IF($BH48="","",INDEX(KPIs!$C$2:$C$71,$BH48))</f>
        <v/>
      </c>
      <c r="D48" s="24">
        <f>IF($BH48="","",INDEX(KPIs!$D$2:$D$71,$BH48))</f>
        <v/>
      </c>
      <c r="E48" s="24">
        <f>IF($BH48="","",INDEX(KPIs!$E$2:$E$71,$BH48))</f>
        <v/>
      </c>
      <c r="F48" s="32">
        <f>IF($BH48="","",INDEX(KPIs!$F$2:$F$71,$BH48))</f>
        <v/>
      </c>
      <c r="G48" s="32">
        <f>IF($BH48="","",INDEX(KPIs!$G$2:$G$71,$BH48))</f>
        <v/>
      </c>
      <c r="H48" s="32">
        <f>IF($BH48="","",INDEX(KPIs!$H$2:$H$71,$BH48))</f>
        <v/>
      </c>
      <c r="I48" s="21">
        <f>IF($BH48="","",INDEX(KPIs!$N$2:$N$71,$BH48))</f>
        <v/>
      </c>
      <c r="J48" s="24">
        <f>IF($BH48="","",INDEX(KPIs!$O$2:$O$71,$BH48))</f>
        <v/>
      </c>
      <c r="K48" s="24">
        <f>IF($BH48="","",INDEX(KPIs!$I$2:$I$71,$BH48))</f>
        <v/>
      </c>
      <c r="L48" s="24">
        <f>IF($BH48="","",INDEX(KPIs!$J$2:$J$71,$BH48))</f>
        <v/>
      </c>
      <c r="BH48">
        <f>IFERROR(MATCH(15,$BJ$2:$BJ$71,0),"")</f>
        <v/>
      </c>
      <c r="BJ48">
        <f>IF(AND(KPIs!$A48&lt;&gt;"",KPIs!$B48=$BD$2),BK48,"")</f>
        <v/>
      </c>
      <c r="BK48">
        <f>IF(AND(KPIs!$A48&lt;&gt;"",KPIs!$B48=$BD$2),N(BK47)+1,N(BK47))</f>
        <v/>
      </c>
      <c r="BN48">
        <f>IF(AND(Hitos!$A48&lt;&gt;"",Hitos!$B48=$BD$2),BO48,"")</f>
        <v/>
      </c>
      <c r="BO48">
        <f>IF(AND(Hitos!$A48&lt;&gt;"",Hitos!$B48=$BD$2),N(BO47)+1,N(BO47))</f>
        <v/>
      </c>
    </row>
    <row r="49" ht="17" customHeight="1">
      <c r="B49" s="24">
        <f>IF($BH49="","",INDEX(KPIs!$A$2:$A$71,$BH49))</f>
        <v/>
      </c>
      <c r="C49" s="19">
        <f>IF($BH49="","",INDEX(KPIs!$C$2:$C$71,$BH49))</f>
        <v/>
      </c>
      <c r="D49" s="24">
        <f>IF($BH49="","",INDEX(KPIs!$D$2:$D$71,$BH49))</f>
        <v/>
      </c>
      <c r="E49" s="24">
        <f>IF($BH49="","",INDEX(KPIs!$E$2:$E$71,$BH49))</f>
        <v/>
      </c>
      <c r="F49" s="32">
        <f>IF($BH49="","",INDEX(KPIs!$F$2:$F$71,$BH49))</f>
        <v/>
      </c>
      <c r="G49" s="32">
        <f>IF($BH49="","",INDEX(KPIs!$G$2:$G$71,$BH49))</f>
        <v/>
      </c>
      <c r="H49" s="32">
        <f>IF($BH49="","",INDEX(KPIs!$H$2:$H$71,$BH49))</f>
        <v/>
      </c>
      <c r="I49" s="21">
        <f>IF($BH49="","",INDEX(KPIs!$N$2:$N$71,$BH49))</f>
        <v/>
      </c>
      <c r="J49" s="24">
        <f>IF($BH49="","",INDEX(KPIs!$O$2:$O$71,$BH49))</f>
        <v/>
      </c>
      <c r="K49" s="24">
        <f>IF($BH49="","",INDEX(KPIs!$I$2:$I$71,$BH49))</f>
        <v/>
      </c>
      <c r="L49" s="24">
        <f>IF($BH49="","",INDEX(KPIs!$J$2:$J$71,$BH49))</f>
        <v/>
      </c>
      <c r="BH49">
        <f>IFERROR(MATCH(16,$BJ$2:$BJ$71,0),"")</f>
        <v/>
      </c>
      <c r="BJ49">
        <f>IF(AND(KPIs!$A49&lt;&gt;"",KPIs!$B49=$BD$2),BK49,"")</f>
        <v/>
      </c>
      <c r="BK49">
        <f>IF(AND(KPIs!$A49&lt;&gt;"",KPIs!$B49=$BD$2),N(BK48)+1,N(BK48))</f>
        <v/>
      </c>
      <c r="BN49">
        <f>IF(AND(Hitos!$A49&lt;&gt;"",Hitos!$B49=$BD$2),BO49,"")</f>
        <v/>
      </c>
      <c r="BO49">
        <f>IF(AND(Hitos!$A49&lt;&gt;"",Hitos!$B49=$BD$2),N(BO48)+1,N(BO48))</f>
        <v/>
      </c>
    </row>
    <row r="50" ht="17" customHeight="1">
      <c r="B50" s="24">
        <f>IF($BH50="","",INDEX(KPIs!$A$2:$A$71,$BH50))</f>
        <v/>
      </c>
      <c r="C50" s="19">
        <f>IF($BH50="","",INDEX(KPIs!$C$2:$C$71,$BH50))</f>
        <v/>
      </c>
      <c r="D50" s="24">
        <f>IF($BH50="","",INDEX(KPIs!$D$2:$D$71,$BH50))</f>
        <v/>
      </c>
      <c r="E50" s="24">
        <f>IF($BH50="","",INDEX(KPIs!$E$2:$E$71,$BH50))</f>
        <v/>
      </c>
      <c r="F50" s="32">
        <f>IF($BH50="","",INDEX(KPIs!$F$2:$F$71,$BH50))</f>
        <v/>
      </c>
      <c r="G50" s="32">
        <f>IF($BH50="","",INDEX(KPIs!$G$2:$G$71,$BH50))</f>
        <v/>
      </c>
      <c r="H50" s="32">
        <f>IF($BH50="","",INDEX(KPIs!$H$2:$H$71,$BH50))</f>
        <v/>
      </c>
      <c r="I50" s="21">
        <f>IF($BH50="","",INDEX(KPIs!$N$2:$N$71,$BH50))</f>
        <v/>
      </c>
      <c r="J50" s="24">
        <f>IF($BH50="","",INDEX(KPIs!$O$2:$O$71,$BH50))</f>
        <v/>
      </c>
      <c r="K50" s="24">
        <f>IF($BH50="","",INDEX(KPIs!$I$2:$I$71,$BH50))</f>
        <v/>
      </c>
      <c r="L50" s="24">
        <f>IF($BH50="","",INDEX(KPIs!$J$2:$J$71,$BH50))</f>
        <v/>
      </c>
      <c r="BH50">
        <f>IFERROR(MATCH(17,$BJ$2:$BJ$71,0),"")</f>
        <v/>
      </c>
      <c r="BJ50">
        <f>IF(AND(KPIs!$A50&lt;&gt;"",KPIs!$B50=$BD$2),BK50,"")</f>
        <v/>
      </c>
      <c r="BK50">
        <f>IF(AND(KPIs!$A50&lt;&gt;"",KPIs!$B50=$BD$2),N(BK49)+1,N(BK49))</f>
        <v/>
      </c>
      <c r="BN50">
        <f>IF(AND(Hitos!$A50&lt;&gt;"",Hitos!$B50=$BD$2),BO50,"")</f>
        <v/>
      </c>
      <c r="BO50">
        <f>IF(AND(Hitos!$A50&lt;&gt;"",Hitos!$B50=$BD$2),N(BO49)+1,N(BO49))</f>
        <v/>
      </c>
    </row>
    <row r="51" ht="17" customHeight="1">
      <c r="B51" s="24">
        <f>IF($BH51="","",INDEX(KPIs!$A$2:$A$71,$BH51))</f>
        <v/>
      </c>
      <c r="C51" s="19">
        <f>IF($BH51="","",INDEX(KPIs!$C$2:$C$71,$BH51))</f>
        <v/>
      </c>
      <c r="D51" s="24">
        <f>IF($BH51="","",INDEX(KPIs!$D$2:$D$71,$BH51))</f>
        <v/>
      </c>
      <c r="E51" s="24">
        <f>IF($BH51="","",INDEX(KPIs!$E$2:$E$71,$BH51))</f>
        <v/>
      </c>
      <c r="F51" s="32">
        <f>IF($BH51="","",INDEX(KPIs!$F$2:$F$71,$BH51))</f>
        <v/>
      </c>
      <c r="G51" s="32">
        <f>IF($BH51="","",INDEX(KPIs!$G$2:$G$71,$BH51))</f>
        <v/>
      </c>
      <c r="H51" s="32">
        <f>IF($BH51="","",INDEX(KPIs!$H$2:$H$71,$BH51))</f>
        <v/>
      </c>
      <c r="I51" s="21">
        <f>IF($BH51="","",INDEX(KPIs!$N$2:$N$71,$BH51))</f>
        <v/>
      </c>
      <c r="J51" s="24">
        <f>IF($BH51="","",INDEX(KPIs!$O$2:$O$71,$BH51))</f>
        <v/>
      </c>
      <c r="K51" s="24">
        <f>IF($BH51="","",INDEX(KPIs!$I$2:$I$71,$BH51))</f>
        <v/>
      </c>
      <c r="L51" s="24">
        <f>IF($BH51="","",INDEX(KPIs!$J$2:$J$71,$BH51))</f>
        <v/>
      </c>
      <c r="BH51">
        <f>IFERROR(MATCH(18,$BJ$2:$BJ$71,0),"")</f>
        <v/>
      </c>
      <c r="BJ51">
        <f>IF(AND(KPIs!$A51&lt;&gt;"",KPIs!$B51=$BD$2),BK51,"")</f>
        <v/>
      </c>
      <c r="BK51">
        <f>IF(AND(KPIs!$A51&lt;&gt;"",KPIs!$B51=$BD$2),N(BK50)+1,N(BK50))</f>
        <v/>
      </c>
      <c r="BN51">
        <f>IF(AND(Hitos!$A51&lt;&gt;"",Hitos!$B51=$BD$2),BO51,"")</f>
        <v/>
      </c>
      <c r="BO51">
        <f>IF(AND(Hitos!$A51&lt;&gt;"",Hitos!$B51=$BD$2),N(BO50)+1,N(BO50))</f>
        <v/>
      </c>
    </row>
    <row r="52" ht="17" customHeight="1">
      <c r="B52" s="24">
        <f>IF($BH52="","",INDEX(KPIs!$A$2:$A$71,$BH52))</f>
        <v/>
      </c>
      <c r="C52" s="19">
        <f>IF($BH52="","",INDEX(KPIs!$C$2:$C$71,$BH52))</f>
        <v/>
      </c>
      <c r="D52" s="24">
        <f>IF($BH52="","",INDEX(KPIs!$D$2:$D$71,$BH52))</f>
        <v/>
      </c>
      <c r="E52" s="24">
        <f>IF($BH52="","",INDEX(KPIs!$E$2:$E$71,$BH52))</f>
        <v/>
      </c>
      <c r="F52" s="32">
        <f>IF($BH52="","",INDEX(KPIs!$F$2:$F$71,$BH52))</f>
        <v/>
      </c>
      <c r="G52" s="32">
        <f>IF($BH52="","",INDEX(KPIs!$G$2:$G$71,$BH52))</f>
        <v/>
      </c>
      <c r="H52" s="32">
        <f>IF($BH52="","",INDEX(KPIs!$H$2:$H$71,$BH52))</f>
        <v/>
      </c>
      <c r="I52" s="21">
        <f>IF($BH52="","",INDEX(KPIs!$N$2:$N$71,$BH52))</f>
        <v/>
      </c>
      <c r="J52" s="24">
        <f>IF($BH52="","",INDEX(KPIs!$O$2:$O$71,$BH52))</f>
        <v/>
      </c>
      <c r="K52" s="24">
        <f>IF($BH52="","",INDEX(KPIs!$I$2:$I$71,$BH52))</f>
        <v/>
      </c>
      <c r="L52" s="24">
        <f>IF($BH52="","",INDEX(KPIs!$J$2:$J$71,$BH52))</f>
        <v/>
      </c>
      <c r="BH52">
        <f>IFERROR(MATCH(19,$BJ$2:$BJ$71,0),"")</f>
        <v/>
      </c>
      <c r="BJ52">
        <f>IF(AND(KPIs!$A52&lt;&gt;"",KPIs!$B52=$BD$2),BK52,"")</f>
        <v/>
      </c>
      <c r="BK52">
        <f>IF(AND(KPIs!$A52&lt;&gt;"",KPIs!$B52=$BD$2),N(BK51)+1,N(BK51))</f>
        <v/>
      </c>
      <c r="BN52">
        <f>IF(AND(Hitos!$A52&lt;&gt;"",Hitos!$B52=$BD$2),BO52,"")</f>
        <v/>
      </c>
      <c r="BO52">
        <f>IF(AND(Hitos!$A52&lt;&gt;"",Hitos!$B52=$BD$2),N(BO51)+1,N(BO51))</f>
        <v/>
      </c>
    </row>
    <row r="53" ht="17" customHeight="1">
      <c r="B53" s="24">
        <f>IF($BH53="","",INDEX(KPIs!$A$2:$A$71,$BH53))</f>
        <v/>
      </c>
      <c r="C53" s="19">
        <f>IF($BH53="","",INDEX(KPIs!$C$2:$C$71,$BH53))</f>
        <v/>
      </c>
      <c r="D53" s="24">
        <f>IF($BH53="","",INDEX(KPIs!$D$2:$D$71,$BH53))</f>
        <v/>
      </c>
      <c r="E53" s="24">
        <f>IF($BH53="","",INDEX(KPIs!$E$2:$E$71,$BH53))</f>
        <v/>
      </c>
      <c r="F53" s="32">
        <f>IF($BH53="","",INDEX(KPIs!$F$2:$F$71,$BH53))</f>
        <v/>
      </c>
      <c r="G53" s="32">
        <f>IF($BH53="","",INDEX(KPIs!$G$2:$G$71,$BH53))</f>
        <v/>
      </c>
      <c r="H53" s="32">
        <f>IF($BH53="","",INDEX(KPIs!$H$2:$H$71,$BH53))</f>
        <v/>
      </c>
      <c r="I53" s="21">
        <f>IF($BH53="","",INDEX(KPIs!$N$2:$N$71,$BH53))</f>
        <v/>
      </c>
      <c r="J53" s="24">
        <f>IF($BH53="","",INDEX(KPIs!$O$2:$O$71,$BH53))</f>
        <v/>
      </c>
      <c r="K53" s="24">
        <f>IF($BH53="","",INDEX(KPIs!$I$2:$I$71,$BH53))</f>
        <v/>
      </c>
      <c r="L53" s="24">
        <f>IF($BH53="","",INDEX(KPIs!$J$2:$J$71,$BH53))</f>
        <v/>
      </c>
      <c r="BH53">
        <f>IFERROR(MATCH(20,$BJ$2:$BJ$71,0),"")</f>
        <v/>
      </c>
      <c r="BJ53">
        <f>IF(AND(KPIs!$A53&lt;&gt;"",KPIs!$B53=$BD$2),BK53,"")</f>
        <v/>
      </c>
      <c r="BK53">
        <f>IF(AND(KPIs!$A53&lt;&gt;"",KPIs!$B53=$BD$2),N(BK52)+1,N(BK52))</f>
        <v/>
      </c>
      <c r="BN53">
        <f>IF(AND(Hitos!$A53&lt;&gt;"",Hitos!$B53=$BD$2),BO53,"")</f>
        <v/>
      </c>
      <c r="BO53">
        <f>IF(AND(Hitos!$A53&lt;&gt;"",Hitos!$B53=$BD$2),N(BO52)+1,N(BO52))</f>
        <v/>
      </c>
    </row>
    <row r="54">
      <c r="BJ54">
        <f>IF(AND(KPIs!$A54&lt;&gt;"",KPIs!$B54=$BD$2),BK54,"")</f>
        <v/>
      </c>
      <c r="BK54">
        <f>IF(AND(KPIs!$A54&lt;&gt;"",KPIs!$B54=$BD$2),N(BK53)+1,N(BK53))</f>
        <v/>
      </c>
      <c r="BN54">
        <f>IF(AND(Hitos!$A54&lt;&gt;"",Hitos!$B54=$BD$2),BO54,"")</f>
        <v/>
      </c>
      <c r="BO54">
        <f>IF(AND(Hitos!$A54&lt;&gt;"",Hitos!$B54=$BD$2),N(BO53)+1,N(BO53))</f>
        <v/>
      </c>
    </row>
    <row r="55">
      <c r="B55" s="5" t="inlineStr">
        <is>
          <t>HITOS DEL PROYECTO</t>
        </is>
      </c>
      <c r="BJ55">
        <f>IF(AND(KPIs!$A55&lt;&gt;"",KPIs!$B55=$BD$2),BK55,"")</f>
        <v/>
      </c>
      <c r="BK55">
        <f>IF(AND(KPIs!$A55&lt;&gt;"",KPIs!$B55=$BD$2),N(BK54)+1,N(BK54))</f>
        <v/>
      </c>
      <c r="BN55">
        <f>IF(AND(Hitos!$A55&lt;&gt;"",Hitos!$B55=$BD$2),BO55,"")</f>
        <v/>
      </c>
      <c r="BO55">
        <f>IF(AND(Hitos!$A55&lt;&gt;"",Hitos!$B55=$BD$2),N(BO54)+1,N(BO54))</f>
        <v/>
      </c>
    </row>
    <row r="56" ht="34" customHeight="1">
      <c r="B56" s="18" t="inlineStr">
        <is>
          <t>ID</t>
        </is>
      </c>
      <c r="C56" s="18" t="inlineStr">
        <is>
          <t>Hito</t>
        </is>
      </c>
      <c r="D56" s="18" t="inlineStr">
        <is>
          <t>Responsable</t>
        </is>
      </c>
      <c r="E56" s="18" t="inlineStr">
        <is>
          <t>Fecha objetivo</t>
        </is>
      </c>
      <c r="F56" s="18" t="inlineStr">
        <is>
          <t>Estado</t>
        </is>
      </c>
      <c r="G56" s="18" t="inlineStr">
        <is>
          <t>Días restantes</t>
        </is>
      </c>
      <c r="H56" s="18" t="inlineStr">
        <is>
          <t>Alerta</t>
        </is>
      </c>
      <c r="I56" s="18" t="inlineStr">
        <is>
          <t>Entregable</t>
        </is>
      </c>
      <c r="BJ56">
        <f>IF(AND(KPIs!$A56&lt;&gt;"",KPIs!$B56=$BD$2),BK56,"")</f>
        <v/>
      </c>
      <c r="BK56">
        <f>IF(AND(KPIs!$A56&lt;&gt;"",KPIs!$B56=$BD$2),N(BK55)+1,N(BK55))</f>
        <v/>
      </c>
      <c r="BN56">
        <f>IF(AND(Hitos!$A56&lt;&gt;"",Hitos!$B56=$BD$2),BO56,"")</f>
        <v/>
      </c>
      <c r="BO56">
        <f>IF(AND(Hitos!$A56&lt;&gt;"",Hitos!$B56=$BD$2),N(BO55)+1,N(BO55))</f>
        <v/>
      </c>
    </row>
    <row r="57" ht="17" customHeight="1">
      <c r="B57" s="24">
        <f>IF($BL57="","",INDEX(Hitos!$A$2:$A$81,$BL57))</f>
        <v/>
      </c>
      <c r="C57" s="19">
        <f>IF($BL57="","",INDEX(Hitos!$C$2:$C$81,$BL57))</f>
        <v/>
      </c>
      <c r="D57" s="19">
        <f>IF($BL57="","",INDEX(Hitos!$D$2:$D$81,$BL57))</f>
        <v/>
      </c>
      <c r="E57" s="25">
        <f>IF($BL57="","",INDEX(Hitos!$E$2:$E$81,$BL57))</f>
        <v/>
      </c>
      <c r="F57" s="24">
        <f>IF($BL57="","",INDEX(Hitos!$F$2:$F$81,$BL57))</f>
        <v/>
      </c>
      <c r="G57" s="20">
        <f>IF($BL57="","",INDEX(Hitos!$K$2:$K$81,$BL57))</f>
        <v/>
      </c>
      <c r="H57" s="24">
        <f>IF($BL57="","",INDEX(Hitos!$L$2:$L$81,$BL57))</f>
        <v/>
      </c>
      <c r="I57" s="19">
        <f>IF($BL57="","",INDEX(Hitos!$G$2:$G$81,$BL57))</f>
        <v/>
      </c>
      <c r="BJ57">
        <f>IF(AND(KPIs!$A57&lt;&gt;"",KPIs!$B57=$BD$2),BK57,"")</f>
        <v/>
      </c>
      <c r="BK57">
        <f>IF(AND(KPIs!$A57&lt;&gt;"",KPIs!$B57=$BD$2),N(BK56)+1,N(BK56))</f>
        <v/>
      </c>
      <c r="BL57">
        <f>IFERROR(MATCH(1,$BN$2:$BN$81,0),"")</f>
        <v/>
      </c>
      <c r="BN57">
        <f>IF(AND(Hitos!$A57&lt;&gt;"",Hitos!$B57=$BD$2),BO57,"")</f>
        <v/>
      </c>
      <c r="BO57">
        <f>IF(AND(Hitos!$A57&lt;&gt;"",Hitos!$B57=$BD$2),N(BO56)+1,N(BO56))</f>
        <v/>
      </c>
    </row>
    <row r="58" ht="17" customHeight="1">
      <c r="B58" s="24">
        <f>IF($BL58="","",INDEX(Hitos!$A$2:$A$81,$BL58))</f>
        <v/>
      </c>
      <c r="C58" s="19">
        <f>IF($BL58="","",INDEX(Hitos!$C$2:$C$81,$BL58))</f>
        <v/>
      </c>
      <c r="D58" s="19">
        <f>IF($BL58="","",INDEX(Hitos!$D$2:$D$81,$BL58))</f>
        <v/>
      </c>
      <c r="E58" s="25">
        <f>IF($BL58="","",INDEX(Hitos!$E$2:$E$81,$BL58))</f>
        <v/>
      </c>
      <c r="F58" s="24">
        <f>IF($BL58="","",INDEX(Hitos!$F$2:$F$81,$BL58))</f>
        <v/>
      </c>
      <c r="G58" s="20">
        <f>IF($BL58="","",INDEX(Hitos!$K$2:$K$81,$BL58))</f>
        <v/>
      </c>
      <c r="H58" s="24">
        <f>IF($BL58="","",INDEX(Hitos!$L$2:$L$81,$BL58))</f>
        <v/>
      </c>
      <c r="I58" s="19">
        <f>IF($BL58="","",INDEX(Hitos!$G$2:$G$81,$BL58))</f>
        <v/>
      </c>
      <c r="BJ58">
        <f>IF(AND(KPIs!$A58&lt;&gt;"",KPIs!$B58=$BD$2),BK58,"")</f>
        <v/>
      </c>
      <c r="BK58">
        <f>IF(AND(KPIs!$A58&lt;&gt;"",KPIs!$B58=$BD$2),N(BK57)+1,N(BK57))</f>
        <v/>
      </c>
      <c r="BL58">
        <f>IFERROR(MATCH(2,$BN$2:$BN$81,0),"")</f>
        <v/>
      </c>
      <c r="BN58">
        <f>IF(AND(Hitos!$A58&lt;&gt;"",Hitos!$B58=$BD$2),BO58,"")</f>
        <v/>
      </c>
      <c r="BO58">
        <f>IF(AND(Hitos!$A58&lt;&gt;"",Hitos!$B58=$BD$2),N(BO57)+1,N(BO57))</f>
        <v/>
      </c>
    </row>
    <row r="59" ht="17" customHeight="1">
      <c r="B59" s="24">
        <f>IF($BL59="","",INDEX(Hitos!$A$2:$A$81,$BL59))</f>
        <v/>
      </c>
      <c r="C59" s="19">
        <f>IF($BL59="","",INDEX(Hitos!$C$2:$C$81,$BL59))</f>
        <v/>
      </c>
      <c r="D59" s="19">
        <f>IF($BL59="","",INDEX(Hitos!$D$2:$D$81,$BL59))</f>
        <v/>
      </c>
      <c r="E59" s="25">
        <f>IF($BL59="","",INDEX(Hitos!$E$2:$E$81,$BL59))</f>
        <v/>
      </c>
      <c r="F59" s="24">
        <f>IF($BL59="","",INDEX(Hitos!$F$2:$F$81,$BL59))</f>
        <v/>
      </c>
      <c r="G59" s="20">
        <f>IF($BL59="","",INDEX(Hitos!$K$2:$K$81,$BL59))</f>
        <v/>
      </c>
      <c r="H59" s="24">
        <f>IF($BL59="","",INDEX(Hitos!$L$2:$L$81,$BL59))</f>
        <v/>
      </c>
      <c r="I59" s="19">
        <f>IF($BL59="","",INDEX(Hitos!$G$2:$G$81,$BL59))</f>
        <v/>
      </c>
      <c r="BJ59">
        <f>IF(AND(KPIs!$A59&lt;&gt;"",KPIs!$B59=$BD$2),BK59,"")</f>
        <v/>
      </c>
      <c r="BK59">
        <f>IF(AND(KPIs!$A59&lt;&gt;"",KPIs!$B59=$BD$2),N(BK58)+1,N(BK58))</f>
        <v/>
      </c>
      <c r="BL59">
        <f>IFERROR(MATCH(3,$BN$2:$BN$81,0),"")</f>
        <v/>
      </c>
      <c r="BN59">
        <f>IF(AND(Hitos!$A59&lt;&gt;"",Hitos!$B59=$BD$2),BO59,"")</f>
        <v/>
      </c>
      <c r="BO59">
        <f>IF(AND(Hitos!$A59&lt;&gt;"",Hitos!$B59=$BD$2),N(BO58)+1,N(BO58))</f>
        <v/>
      </c>
    </row>
    <row r="60" ht="17" customHeight="1">
      <c r="B60" s="24">
        <f>IF($BL60="","",INDEX(Hitos!$A$2:$A$81,$BL60))</f>
        <v/>
      </c>
      <c r="C60" s="19">
        <f>IF($BL60="","",INDEX(Hitos!$C$2:$C$81,$BL60))</f>
        <v/>
      </c>
      <c r="D60" s="19">
        <f>IF($BL60="","",INDEX(Hitos!$D$2:$D$81,$BL60))</f>
        <v/>
      </c>
      <c r="E60" s="25">
        <f>IF($BL60="","",INDEX(Hitos!$E$2:$E$81,$BL60))</f>
        <v/>
      </c>
      <c r="F60" s="24">
        <f>IF($BL60="","",INDEX(Hitos!$F$2:$F$81,$BL60))</f>
        <v/>
      </c>
      <c r="G60" s="20">
        <f>IF($BL60="","",INDEX(Hitos!$K$2:$K$81,$BL60))</f>
        <v/>
      </c>
      <c r="H60" s="24">
        <f>IF($BL60="","",INDEX(Hitos!$L$2:$L$81,$BL60))</f>
        <v/>
      </c>
      <c r="I60" s="19">
        <f>IF($BL60="","",INDEX(Hitos!$G$2:$G$81,$BL60))</f>
        <v/>
      </c>
      <c r="BJ60">
        <f>IF(AND(KPIs!$A60&lt;&gt;"",KPIs!$B60=$BD$2),BK60,"")</f>
        <v/>
      </c>
      <c r="BK60">
        <f>IF(AND(KPIs!$A60&lt;&gt;"",KPIs!$B60=$BD$2),N(BK59)+1,N(BK59))</f>
        <v/>
      </c>
      <c r="BL60">
        <f>IFERROR(MATCH(4,$BN$2:$BN$81,0),"")</f>
        <v/>
      </c>
      <c r="BN60">
        <f>IF(AND(Hitos!$A60&lt;&gt;"",Hitos!$B60=$BD$2),BO60,"")</f>
        <v/>
      </c>
      <c r="BO60">
        <f>IF(AND(Hitos!$A60&lt;&gt;"",Hitos!$B60=$BD$2),N(BO59)+1,N(BO59))</f>
        <v/>
      </c>
    </row>
    <row r="61" ht="17" customHeight="1">
      <c r="B61" s="24">
        <f>IF($BL61="","",INDEX(Hitos!$A$2:$A$81,$BL61))</f>
        <v/>
      </c>
      <c r="C61" s="19">
        <f>IF($BL61="","",INDEX(Hitos!$C$2:$C$81,$BL61))</f>
        <v/>
      </c>
      <c r="D61" s="19">
        <f>IF($BL61="","",INDEX(Hitos!$D$2:$D$81,$BL61))</f>
        <v/>
      </c>
      <c r="E61" s="25">
        <f>IF($BL61="","",INDEX(Hitos!$E$2:$E$81,$BL61))</f>
        <v/>
      </c>
      <c r="F61" s="24">
        <f>IF($BL61="","",INDEX(Hitos!$F$2:$F$81,$BL61))</f>
        <v/>
      </c>
      <c r="G61" s="20">
        <f>IF($BL61="","",INDEX(Hitos!$K$2:$K$81,$BL61))</f>
        <v/>
      </c>
      <c r="H61" s="24">
        <f>IF($BL61="","",INDEX(Hitos!$L$2:$L$81,$BL61))</f>
        <v/>
      </c>
      <c r="I61" s="19">
        <f>IF($BL61="","",INDEX(Hitos!$G$2:$G$81,$BL61))</f>
        <v/>
      </c>
      <c r="BJ61">
        <f>IF(AND(KPIs!$A61&lt;&gt;"",KPIs!$B61=$BD$2),BK61,"")</f>
        <v/>
      </c>
      <c r="BK61">
        <f>IF(AND(KPIs!$A61&lt;&gt;"",KPIs!$B61=$BD$2),N(BK60)+1,N(BK60))</f>
        <v/>
      </c>
      <c r="BL61">
        <f>IFERROR(MATCH(5,$BN$2:$BN$81,0),"")</f>
        <v/>
      </c>
      <c r="BN61">
        <f>IF(AND(Hitos!$A61&lt;&gt;"",Hitos!$B61=$BD$2),BO61,"")</f>
        <v/>
      </c>
      <c r="BO61">
        <f>IF(AND(Hitos!$A61&lt;&gt;"",Hitos!$B61=$BD$2),N(BO60)+1,N(BO60))</f>
        <v/>
      </c>
    </row>
    <row r="62" ht="17" customHeight="1">
      <c r="B62" s="24">
        <f>IF($BL62="","",INDEX(Hitos!$A$2:$A$81,$BL62))</f>
        <v/>
      </c>
      <c r="C62" s="19">
        <f>IF($BL62="","",INDEX(Hitos!$C$2:$C$81,$BL62))</f>
        <v/>
      </c>
      <c r="D62" s="19">
        <f>IF($BL62="","",INDEX(Hitos!$D$2:$D$81,$BL62))</f>
        <v/>
      </c>
      <c r="E62" s="25">
        <f>IF($BL62="","",INDEX(Hitos!$E$2:$E$81,$BL62))</f>
        <v/>
      </c>
      <c r="F62" s="24">
        <f>IF($BL62="","",INDEX(Hitos!$F$2:$F$81,$BL62))</f>
        <v/>
      </c>
      <c r="G62" s="20">
        <f>IF($BL62="","",INDEX(Hitos!$K$2:$K$81,$BL62))</f>
        <v/>
      </c>
      <c r="H62" s="24">
        <f>IF($BL62="","",INDEX(Hitos!$L$2:$L$81,$BL62))</f>
        <v/>
      </c>
      <c r="I62" s="19">
        <f>IF($BL62="","",INDEX(Hitos!$G$2:$G$81,$BL62))</f>
        <v/>
      </c>
      <c r="BJ62">
        <f>IF(AND(KPIs!$A62&lt;&gt;"",KPIs!$B62=$BD$2),BK62,"")</f>
        <v/>
      </c>
      <c r="BK62">
        <f>IF(AND(KPIs!$A62&lt;&gt;"",KPIs!$B62=$BD$2),N(BK61)+1,N(BK61))</f>
        <v/>
      </c>
      <c r="BL62">
        <f>IFERROR(MATCH(6,$BN$2:$BN$81,0),"")</f>
        <v/>
      </c>
      <c r="BN62">
        <f>IF(AND(Hitos!$A62&lt;&gt;"",Hitos!$B62=$BD$2),BO62,"")</f>
        <v/>
      </c>
      <c r="BO62">
        <f>IF(AND(Hitos!$A62&lt;&gt;"",Hitos!$B62=$BD$2),N(BO61)+1,N(BO61))</f>
        <v/>
      </c>
    </row>
    <row r="63" ht="17" customHeight="1">
      <c r="B63" s="24">
        <f>IF($BL63="","",INDEX(Hitos!$A$2:$A$81,$BL63))</f>
        <v/>
      </c>
      <c r="C63" s="19">
        <f>IF($BL63="","",INDEX(Hitos!$C$2:$C$81,$BL63))</f>
        <v/>
      </c>
      <c r="D63" s="19">
        <f>IF($BL63="","",INDEX(Hitos!$D$2:$D$81,$BL63))</f>
        <v/>
      </c>
      <c r="E63" s="25">
        <f>IF($BL63="","",INDEX(Hitos!$E$2:$E$81,$BL63))</f>
        <v/>
      </c>
      <c r="F63" s="24">
        <f>IF($BL63="","",INDEX(Hitos!$F$2:$F$81,$BL63))</f>
        <v/>
      </c>
      <c r="G63" s="20">
        <f>IF($BL63="","",INDEX(Hitos!$K$2:$K$81,$BL63))</f>
        <v/>
      </c>
      <c r="H63" s="24">
        <f>IF($BL63="","",INDEX(Hitos!$L$2:$L$81,$BL63))</f>
        <v/>
      </c>
      <c r="I63" s="19">
        <f>IF($BL63="","",INDEX(Hitos!$G$2:$G$81,$BL63))</f>
        <v/>
      </c>
      <c r="BJ63">
        <f>IF(AND(KPIs!$A63&lt;&gt;"",KPIs!$B63=$BD$2),BK63,"")</f>
        <v/>
      </c>
      <c r="BK63">
        <f>IF(AND(KPIs!$A63&lt;&gt;"",KPIs!$B63=$BD$2),N(BK62)+1,N(BK62))</f>
        <v/>
      </c>
      <c r="BL63">
        <f>IFERROR(MATCH(7,$BN$2:$BN$81,0),"")</f>
        <v/>
      </c>
      <c r="BN63">
        <f>IF(AND(Hitos!$A63&lt;&gt;"",Hitos!$B63=$BD$2),BO63,"")</f>
        <v/>
      </c>
      <c r="BO63">
        <f>IF(AND(Hitos!$A63&lt;&gt;"",Hitos!$B63=$BD$2),N(BO62)+1,N(BO62))</f>
        <v/>
      </c>
    </row>
    <row r="64" ht="17" customHeight="1">
      <c r="B64" s="24">
        <f>IF($BL64="","",INDEX(Hitos!$A$2:$A$81,$BL64))</f>
        <v/>
      </c>
      <c r="C64" s="19">
        <f>IF($BL64="","",INDEX(Hitos!$C$2:$C$81,$BL64))</f>
        <v/>
      </c>
      <c r="D64" s="19">
        <f>IF($BL64="","",INDEX(Hitos!$D$2:$D$81,$BL64))</f>
        <v/>
      </c>
      <c r="E64" s="25">
        <f>IF($BL64="","",INDEX(Hitos!$E$2:$E$81,$BL64))</f>
        <v/>
      </c>
      <c r="F64" s="24">
        <f>IF($BL64="","",INDEX(Hitos!$F$2:$F$81,$BL64))</f>
        <v/>
      </c>
      <c r="G64" s="20">
        <f>IF($BL64="","",INDEX(Hitos!$K$2:$K$81,$BL64))</f>
        <v/>
      </c>
      <c r="H64" s="24">
        <f>IF($BL64="","",INDEX(Hitos!$L$2:$L$81,$BL64))</f>
        <v/>
      </c>
      <c r="I64" s="19">
        <f>IF($BL64="","",INDEX(Hitos!$G$2:$G$81,$BL64))</f>
        <v/>
      </c>
      <c r="BJ64">
        <f>IF(AND(KPIs!$A64&lt;&gt;"",KPIs!$B64=$BD$2),BK64,"")</f>
        <v/>
      </c>
      <c r="BK64">
        <f>IF(AND(KPIs!$A64&lt;&gt;"",KPIs!$B64=$BD$2),N(BK63)+1,N(BK63))</f>
        <v/>
      </c>
      <c r="BL64">
        <f>IFERROR(MATCH(8,$BN$2:$BN$81,0),"")</f>
        <v/>
      </c>
      <c r="BN64">
        <f>IF(AND(Hitos!$A64&lt;&gt;"",Hitos!$B64=$BD$2),BO64,"")</f>
        <v/>
      </c>
      <c r="BO64">
        <f>IF(AND(Hitos!$A64&lt;&gt;"",Hitos!$B64=$BD$2),N(BO63)+1,N(BO63))</f>
        <v/>
      </c>
    </row>
    <row r="65" ht="17" customHeight="1">
      <c r="B65" s="24">
        <f>IF($BL65="","",INDEX(Hitos!$A$2:$A$81,$BL65))</f>
        <v/>
      </c>
      <c r="C65" s="19">
        <f>IF($BL65="","",INDEX(Hitos!$C$2:$C$81,$BL65))</f>
        <v/>
      </c>
      <c r="D65" s="19">
        <f>IF($BL65="","",INDEX(Hitos!$D$2:$D$81,$BL65))</f>
        <v/>
      </c>
      <c r="E65" s="25">
        <f>IF($BL65="","",INDEX(Hitos!$E$2:$E$81,$BL65))</f>
        <v/>
      </c>
      <c r="F65" s="24">
        <f>IF($BL65="","",INDEX(Hitos!$F$2:$F$81,$BL65))</f>
        <v/>
      </c>
      <c r="G65" s="20">
        <f>IF($BL65="","",INDEX(Hitos!$K$2:$K$81,$BL65))</f>
        <v/>
      </c>
      <c r="H65" s="24">
        <f>IF($BL65="","",INDEX(Hitos!$L$2:$L$81,$BL65))</f>
        <v/>
      </c>
      <c r="I65" s="19">
        <f>IF($BL65="","",INDEX(Hitos!$G$2:$G$81,$BL65))</f>
        <v/>
      </c>
      <c r="BJ65">
        <f>IF(AND(KPIs!$A65&lt;&gt;"",KPIs!$B65=$BD$2),BK65,"")</f>
        <v/>
      </c>
      <c r="BK65">
        <f>IF(AND(KPIs!$A65&lt;&gt;"",KPIs!$B65=$BD$2),N(BK64)+1,N(BK64))</f>
        <v/>
      </c>
      <c r="BL65">
        <f>IFERROR(MATCH(9,$BN$2:$BN$81,0),"")</f>
        <v/>
      </c>
      <c r="BN65">
        <f>IF(AND(Hitos!$A65&lt;&gt;"",Hitos!$B65=$BD$2),BO65,"")</f>
        <v/>
      </c>
      <c r="BO65">
        <f>IF(AND(Hitos!$A65&lt;&gt;"",Hitos!$B65=$BD$2),N(BO64)+1,N(BO64))</f>
        <v/>
      </c>
    </row>
    <row r="66" ht="17" customHeight="1">
      <c r="B66" s="24">
        <f>IF($BL66="","",INDEX(Hitos!$A$2:$A$81,$BL66))</f>
        <v/>
      </c>
      <c r="C66" s="19">
        <f>IF($BL66="","",INDEX(Hitos!$C$2:$C$81,$BL66))</f>
        <v/>
      </c>
      <c r="D66" s="19">
        <f>IF($BL66="","",INDEX(Hitos!$D$2:$D$81,$BL66))</f>
        <v/>
      </c>
      <c r="E66" s="25">
        <f>IF($BL66="","",INDEX(Hitos!$E$2:$E$81,$BL66))</f>
        <v/>
      </c>
      <c r="F66" s="24">
        <f>IF($BL66="","",INDEX(Hitos!$F$2:$F$81,$BL66))</f>
        <v/>
      </c>
      <c r="G66" s="20">
        <f>IF($BL66="","",INDEX(Hitos!$K$2:$K$81,$BL66))</f>
        <v/>
      </c>
      <c r="H66" s="24">
        <f>IF($BL66="","",INDEX(Hitos!$L$2:$L$81,$BL66))</f>
        <v/>
      </c>
      <c r="I66" s="19">
        <f>IF($BL66="","",INDEX(Hitos!$G$2:$G$81,$BL66))</f>
        <v/>
      </c>
      <c r="BJ66">
        <f>IF(AND(KPIs!$A66&lt;&gt;"",KPIs!$B66=$BD$2),BK66,"")</f>
        <v/>
      </c>
      <c r="BK66">
        <f>IF(AND(KPIs!$A66&lt;&gt;"",KPIs!$B66=$BD$2),N(BK65)+1,N(BK65))</f>
        <v/>
      </c>
      <c r="BL66">
        <f>IFERROR(MATCH(10,$BN$2:$BN$81,0),"")</f>
        <v/>
      </c>
      <c r="BN66">
        <f>IF(AND(Hitos!$A66&lt;&gt;"",Hitos!$B66=$BD$2),BO66,"")</f>
        <v/>
      </c>
      <c r="BO66">
        <f>IF(AND(Hitos!$A66&lt;&gt;"",Hitos!$B66=$BD$2),N(BO65)+1,N(BO65))</f>
        <v/>
      </c>
    </row>
    <row r="67" ht="17" customHeight="1">
      <c r="B67" s="24">
        <f>IF($BL67="","",INDEX(Hitos!$A$2:$A$81,$BL67))</f>
        <v/>
      </c>
      <c r="C67" s="19">
        <f>IF($BL67="","",INDEX(Hitos!$C$2:$C$81,$BL67))</f>
        <v/>
      </c>
      <c r="D67" s="19">
        <f>IF($BL67="","",INDEX(Hitos!$D$2:$D$81,$BL67))</f>
        <v/>
      </c>
      <c r="E67" s="25">
        <f>IF($BL67="","",INDEX(Hitos!$E$2:$E$81,$BL67))</f>
        <v/>
      </c>
      <c r="F67" s="24">
        <f>IF($BL67="","",INDEX(Hitos!$F$2:$F$81,$BL67))</f>
        <v/>
      </c>
      <c r="G67" s="20">
        <f>IF($BL67="","",INDEX(Hitos!$K$2:$K$81,$BL67))</f>
        <v/>
      </c>
      <c r="H67" s="24">
        <f>IF($BL67="","",INDEX(Hitos!$L$2:$L$81,$BL67))</f>
        <v/>
      </c>
      <c r="I67" s="19">
        <f>IF($BL67="","",INDEX(Hitos!$G$2:$G$81,$BL67))</f>
        <v/>
      </c>
      <c r="BJ67">
        <f>IF(AND(KPIs!$A67&lt;&gt;"",KPIs!$B67=$BD$2),BK67,"")</f>
        <v/>
      </c>
      <c r="BK67">
        <f>IF(AND(KPIs!$A67&lt;&gt;"",KPIs!$B67=$BD$2),N(BK66)+1,N(BK66))</f>
        <v/>
      </c>
      <c r="BL67">
        <f>IFERROR(MATCH(11,$BN$2:$BN$81,0),"")</f>
        <v/>
      </c>
      <c r="BN67">
        <f>IF(AND(Hitos!$A67&lt;&gt;"",Hitos!$B67=$BD$2),BO67,"")</f>
        <v/>
      </c>
      <c r="BO67">
        <f>IF(AND(Hitos!$A67&lt;&gt;"",Hitos!$B67=$BD$2),N(BO66)+1,N(BO66))</f>
        <v/>
      </c>
    </row>
    <row r="68" ht="17" customHeight="1">
      <c r="B68" s="24">
        <f>IF($BL68="","",INDEX(Hitos!$A$2:$A$81,$BL68))</f>
        <v/>
      </c>
      <c r="C68" s="19">
        <f>IF($BL68="","",INDEX(Hitos!$C$2:$C$81,$BL68))</f>
        <v/>
      </c>
      <c r="D68" s="19">
        <f>IF($BL68="","",INDEX(Hitos!$D$2:$D$81,$BL68))</f>
        <v/>
      </c>
      <c r="E68" s="25">
        <f>IF($BL68="","",INDEX(Hitos!$E$2:$E$81,$BL68))</f>
        <v/>
      </c>
      <c r="F68" s="24">
        <f>IF($BL68="","",INDEX(Hitos!$F$2:$F$81,$BL68))</f>
        <v/>
      </c>
      <c r="G68" s="20">
        <f>IF($BL68="","",INDEX(Hitos!$K$2:$K$81,$BL68))</f>
        <v/>
      </c>
      <c r="H68" s="24">
        <f>IF($BL68="","",INDEX(Hitos!$L$2:$L$81,$BL68))</f>
        <v/>
      </c>
      <c r="I68" s="19">
        <f>IF($BL68="","",INDEX(Hitos!$G$2:$G$81,$BL68))</f>
        <v/>
      </c>
      <c r="BJ68">
        <f>IF(AND(KPIs!$A68&lt;&gt;"",KPIs!$B68=$BD$2),BK68,"")</f>
        <v/>
      </c>
      <c r="BK68">
        <f>IF(AND(KPIs!$A68&lt;&gt;"",KPIs!$B68=$BD$2),N(BK67)+1,N(BK67))</f>
        <v/>
      </c>
      <c r="BL68">
        <f>IFERROR(MATCH(12,$BN$2:$BN$81,0),"")</f>
        <v/>
      </c>
      <c r="BN68">
        <f>IF(AND(Hitos!$A68&lt;&gt;"",Hitos!$B68=$BD$2),BO68,"")</f>
        <v/>
      </c>
      <c r="BO68">
        <f>IF(AND(Hitos!$A68&lt;&gt;"",Hitos!$B68=$BD$2),N(BO67)+1,N(BO67))</f>
        <v/>
      </c>
    </row>
    <row r="69" ht="17" customHeight="1">
      <c r="B69" s="24">
        <f>IF($BL69="","",INDEX(Hitos!$A$2:$A$81,$BL69))</f>
        <v/>
      </c>
      <c r="C69" s="19">
        <f>IF($BL69="","",INDEX(Hitos!$C$2:$C$81,$BL69))</f>
        <v/>
      </c>
      <c r="D69" s="19">
        <f>IF($BL69="","",INDEX(Hitos!$D$2:$D$81,$BL69))</f>
        <v/>
      </c>
      <c r="E69" s="25">
        <f>IF($BL69="","",INDEX(Hitos!$E$2:$E$81,$BL69))</f>
        <v/>
      </c>
      <c r="F69" s="24">
        <f>IF($BL69="","",INDEX(Hitos!$F$2:$F$81,$BL69))</f>
        <v/>
      </c>
      <c r="G69" s="20">
        <f>IF($BL69="","",INDEX(Hitos!$K$2:$K$81,$BL69))</f>
        <v/>
      </c>
      <c r="H69" s="24">
        <f>IF($BL69="","",INDEX(Hitos!$L$2:$L$81,$BL69))</f>
        <v/>
      </c>
      <c r="I69" s="19">
        <f>IF($BL69="","",INDEX(Hitos!$G$2:$G$81,$BL69))</f>
        <v/>
      </c>
      <c r="BJ69">
        <f>IF(AND(KPIs!$A69&lt;&gt;"",KPIs!$B69=$BD$2),BK69,"")</f>
        <v/>
      </c>
      <c r="BK69">
        <f>IF(AND(KPIs!$A69&lt;&gt;"",KPIs!$B69=$BD$2),N(BK68)+1,N(BK68))</f>
        <v/>
      </c>
      <c r="BL69">
        <f>IFERROR(MATCH(13,$BN$2:$BN$81,0),"")</f>
        <v/>
      </c>
      <c r="BN69">
        <f>IF(AND(Hitos!$A69&lt;&gt;"",Hitos!$B69=$BD$2),BO69,"")</f>
        <v/>
      </c>
      <c r="BO69">
        <f>IF(AND(Hitos!$A69&lt;&gt;"",Hitos!$B69=$BD$2),N(BO68)+1,N(BO68))</f>
        <v/>
      </c>
    </row>
    <row r="70" ht="17" customHeight="1">
      <c r="B70" s="24">
        <f>IF($BL70="","",INDEX(Hitos!$A$2:$A$81,$BL70))</f>
        <v/>
      </c>
      <c r="C70" s="19">
        <f>IF($BL70="","",INDEX(Hitos!$C$2:$C$81,$BL70))</f>
        <v/>
      </c>
      <c r="D70" s="19">
        <f>IF($BL70="","",INDEX(Hitos!$D$2:$D$81,$BL70))</f>
        <v/>
      </c>
      <c r="E70" s="25">
        <f>IF($BL70="","",INDEX(Hitos!$E$2:$E$81,$BL70))</f>
        <v/>
      </c>
      <c r="F70" s="24">
        <f>IF($BL70="","",INDEX(Hitos!$F$2:$F$81,$BL70))</f>
        <v/>
      </c>
      <c r="G70" s="20">
        <f>IF($BL70="","",INDEX(Hitos!$K$2:$K$81,$BL70))</f>
        <v/>
      </c>
      <c r="H70" s="24">
        <f>IF($BL70="","",INDEX(Hitos!$L$2:$L$81,$BL70))</f>
        <v/>
      </c>
      <c r="I70" s="19">
        <f>IF($BL70="","",INDEX(Hitos!$G$2:$G$81,$BL70))</f>
        <v/>
      </c>
      <c r="BJ70">
        <f>IF(AND(KPIs!$A70&lt;&gt;"",KPIs!$B70=$BD$2),BK70,"")</f>
        <v/>
      </c>
      <c r="BK70">
        <f>IF(AND(KPIs!$A70&lt;&gt;"",KPIs!$B70=$BD$2),N(BK69)+1,N(BK69))</f>
        <v/>
      </c>
      <c r="BL70">
        <f>IFERROR(MATCH(14,$BN$2:$BN$81,0),"")</f>
        <v/>
      </c>
      <c r="BN70">
        <f>IF(AND(Hitos!$A70&lt;&gt;"",Hitos!$B70=$BD$2),BO70,"")</f>
        <v/>
      </c>
      <c r="BO70">
        <f>IF(AND(Hitos!$A70&lt;&gt;"",Hitos!$B70=$BD$2),N(BO69)+1,N(BO69))</f>
        <v/>
      </c>
    </row>
    <row r="71" ht="17" customHeight="1">
      <c r="B71" s="24">
        <f>IF($BL71="","",INDEX(Hitos!$A$2:$A$81,$BL71))</f>
        <v/>
      </c>
      <c r="C71" s="19">
        <f>IF($BL71="","",INDEX(Hitos!$C$2:$C$81,$BL71))</f>
        <v/>
      </c>
      <c r="D71" s="19">
        <f>IF($BL71="","",INDEX(Hitos!$D$2:$D$81,$BL71))</f>
        <v/>
      </c>
      <c r="E71" s="25">
        <f>IF($BL71="","",INDEX(Hitos!$E$2:$E$81,$BL71))</f>
        <v/>
      </c>
      <c r="F71" s="24">
        <f>IF($BL71="","",INDEX(Hitos!$F$2:$F$81,$BL71))</f>
        <v/>
      </c>
      <c r="G71" s="20">
        <f>IF($BL71="","",INDEX(Hitos!$K$2:$K$81,$BL71))</f>
        <v/>
      </c>
      <c r="H71" s="24">
        <f>IF($BL71="","",INDEX(Hitos!$L$2:$L$81,$BL71))</f>
        <v/>
      </c>
      <c r="I71" s="19">
        <f>IF($BL71="","",INDEX(Hitos!$G$2:$G$81,$BL71))</f>
        <v/>
      </c>
      <c r="BJ71">
        <f>IF(AND(KPIs!$A71&lt;&gt;"",KPIs!$B71=$BD$2),BK71,"")</f>
        <v/>
      </c>
      <c r="BK71">
        <f>IF(AND(KPIs!$A71&lt;&gt;"",KPIs!$B71=$BD$2),N(BK70)+1,N(BK70))</f>
        <v/>
      </c>
      <c r="BL71">
        <f>IFERROR(MATCH(15,$BN$2:$BN$81,0),"")</f>
        <v/>
      </c>
      <c r="BN71">
        <f>IF(AND(Hitos!$A71&lt;&gt;"",Hitos!$B71=$BD$2),BO71,"")</f>
        <v/>
      </c>
      <c r="BO71">
        <f>IF(AND(Hitos!$A71&lt;&gt;"",Hitos!$B71=$BD$2),N(BO70)+1,N(BO70))</f>
        <v/>
      </c>
    </row>
    <row r="72" ht="17" customHeight="1">
      <c r="B72" s="24">
        <f>IF($BL72="","",INDEX(Hitos!$A$2:$A$81,$BL72))</f>
        <v/>
      </c>
      <c r="C72" s="19">
        <f>IF($BL72="","",INDEX(Hitos!$C$2:$C$81,$BL72))</f>
        <v/>
      </c>
      <c r="D72" s="19">
        <f>IF($BL72="","",INDEX(Hitos!$D$2:$D$81,$BL72))</f>
        <v/>
      </c>
      <c r="E72" s="25">
        <f>IF($BL72="","",INDEX(Hitos!$E$2:$E$81,$BL72))</f>
        <v/>
      </c>
      <c r="F72" s="24">
        <f>IF($BL72="","",INDEX(Hitos!$F$2:$F$81,$BL72))</f>
        <v/>
      </c>
      <c r="G72" s="20">
        <f>IF($BL72="","",INDEX(Hitos!$K$2:$K$81,$BL72))</f>
        <v/>
      </c>
      <c r="H72" s="24">
        <f>IF($BL72="","",INDEX(Hitos!$L$2:$L$81,$BL72))</f>
        <v/>
      </c>
      <c r="I72" s="19">
        <f>IF($BL72="","",INDEX(Hitos!$G$2:$G$81,$BL72))</f>
        <v/>
      </c>
      <c r="BL72">
        <f>IFERROR(MATCH(16,$BN$2:$BN$81,0),"")</f>
        <v/>
      </c>
      <c r="BN72">
        <f>IF(AND(Hitos!$A72&lt;&gt;"",Hitos!$B72=$BD$2),BO72,"")</f>
        <v/>
      </c>
      <c r="BO72">
        <f>IF(AND(Hitos!$A72&lt;&gt;"",Hitos!$B72=$BD$2),N(BO71)+1,N(BO71))</f>
        <v/>
      </c>
    </row>
    <row r="73" ht="17" customHeight="1">
      <c r="B73" s="24">
        <f>IF($BL73="","",INDEX(Hitos!$A$2:$A$81,$BL73))</f>
        <v/>
      </c>
      <c r="C73" s="19">
        <f>IF($BL73="","",INDEX(Hitos!$C$2:$C$81,$BL73))</f>
        <v/>
      </c>
      <c r="D73" s="19">
        <f>IF($BL73="","",INDEX(Hitos!$D$2:$D$81,$BL73))</f>
        <v/>
      </c>
      <c r="E73" s="25">
        <f>IF($BL73="","",INDEX(Hitos!$E$2:$E$81,$BL73))</f>
        <v/>
      </c>
      <c r="F73" s="24">
        <f>IF($BL73="","",INDEX(Hitos!$F$2:$F$81,$BL73))</f>
        <v/>
      </c>
      <c r="G73" s="20">
        <f>IF($BL73="","",INDEX(Hitos!$K$2:$K$81,$BL73))</f>
        <v/>
      </c>
      <c r="H73" s="24">
        <f>IF($BL73="","",INDEX(Hitos!$L$2:$L$81,$BL73))</f>
        <v/>
      </c>
      <c r="I73" s="19">
        <f>IF($BL73="","",INDEX(Hitos!$G$2:$G$81,$BL73))</f>
        <v/>
      </c>
      <c r="BL73">
        <f>IFERROR(MATCH(17,$BN$2:$BN$81,0),"")</f>
        <v/>
      </c>
      <c r="BN73">
        <f>IF(AND(Hitos!$A73&lt;&gt;"",Hitos!$B73=$BD$2),BO73,"")</f>
        <v/>
      </c>
      <c r="BO73">
        <f>IF(AND(Hitos!$A73&lt;&gt;"",Hitos!$B73=$BD$2),N(BO72)+1,N(BO72))</f>
        <v/>
      </c>
    </row>
    <row r="74" ht="17" customHeight="1">
      <c r="B74" s="24">
        <f>IF($BL74="","",INDEX(Hitos!$A$2:$A$81,$BL74))</f>
        <v/>
      </c>
      <c r="C74" s="19">
        <f>IF($BL74="","",INDEX(Hitos!$C$2:$C$81,$BL74))</f>
        <v/>
      </c>
      <c r="D74" s="19">
        <f>IF($BL74="","",INDEX(Hitos!$D$2:$D$81,$BL74))</f>
        <v/>
      </c>
      <c r="E74" s="25">
        <f>IF($BL74="","",INDEX(Hitos!$E$2:$E$81,$BL74))</f>
        <v/>
      </c>
      <c r="F74" s="24">
        <f>IF($BL74="","",INDEX(Hitos!$F$2:$F$81,$BL74))</f>
        <v/>
      </c>
      <c r="G74" s="20">
        <f>IF($BL74="","",INDEX(Hitos!$K$2:$K$81,$BL74))</f>
        <v/>
      </c>
      <c r="H74" s="24">
        <f>IF($BL74="","",INDEX(Hitos!$L$2:$L$81,$BL74))</f>
        <v/>
      </c>
      <c r="I74" s="19">
        <f>IF($BL74="","",INDEX(Hitos!$G$2:$G$81,$BL74))</f>
        <v/>
      </c>
      <c r="BL74">
        <f>IFERROR(MATCH(18,$BN$2:$BN$81,0),"")</f>
        <v/>
      </c>
      <c r="BN74">
        <f>IF(AND(Hitos!$A74&lt;&gt;"",Hitos!$B74=$BD$2),BO74,"")</f>
        <v/>
      </c>
      <c r="BO74">
        <f>IF(AND(Hitos!$A74&lt;&gt;"",Hitos!$B74=$BD$2),N(BO73)+1,N(BO73))</f>
        <v/>
      </c>
    </row>
    <row r="75" ht="17" customHeight="1">
      <c r="B75" s="24">
        <f>IF($BL75="","",INDEX(Hitos!$A$2:$A$81,$BL75))</f>
        <v/>
      </c>
      <c r="C75" s="19">
        <f>IF($BL75="","",INDEX(Hitos!$C$2:$C$81,$BL75))</f>
        <v/>
      </c>
      <c r="D75" s="19">
        <f>IF($BL75="","",INDEX(Hitos!$D$2:$D$81,$BL75))</f>
        <v/>
      </c>
      <c r="E75" s="25">
        <f>IF($BL75="","",INDEX(Hitos!$E$2:$E$81,$BL75))</f>
        <v/>
      </c>
      <c r="F75" s="24">
        <f>IF($BL75="","",INDEX(Hitos!$F$2:$F$81,$BL75))</f>
        <v/>
      </c>
      <c r="G75" s="20">
        <f>IF($BL75="","",INDEX(Hitos!$K$2:$K$81,$BL75))</f>
        <v/>
      </c>
      <c r="H75" s="24">
        <f>IF($BL75="","",INDEX(Hitos!$L$2:$L$81,$BL75))</f>
        <v/>
      </c>
      <c r="I75" s="19">
        <f>IF($BL75="","",INDEX(Hitos!$G$2:$G$81,$BL75))</f>
        <v/>
      </c>
      <c r="BL75">
        <f>IFERROR(MATCH(19,$BN$2:$BN$81,0),"")</f>
        <v/>
      </c>
      <c r="BN75">
        <f>IF(AND(Hitos!$A75&lt;&gt;"",Hitos!$B75=$BD$2),BO75,"")</f>
        <v/>
      </c>
      <c r="BO75">
        <f>IF(AND(Hitos!$A75&lt;&gt;"",Hitos!$B75=$BD$2),N(BO74)+1,N(BO74))</f>
        <v/>
      </c>
    </row>
    <row r="76" ht="17" customHeight="1">
      <c r="B76" s="24">
        <f>IF($BL76="","",INDEX(Hitos!$A$2:$A$81,$BL76))</f>
        <v/>
      </c>
      <c r="C76" s="19">
        <f>IF($BL76="","",INDEX(Hitos!$C$2:$C$81,$BL76))</f>
        <v/>
      </c>
      <c r="D76" s="19">
        <f>IF($BL76="","",INDEX(Hitos!$D$2:$D$81,$BL76))</f>
        <v/>
      </c>
      <c r="E76" s="25">
        <f>IF($BL76="","",INDEX(Hitos!$E$2:$E$81,$BL76))</f>
        <v/>
      </c>
      <c r="F76" s="24">
        <f>IF($BL76="","",INDEX(Hitos!$F$2:$F$81,$BL76))</f>
        <v/>
      </c>
      <c r="G76" s="20">
        <f>IF($BL76="","",INDEX(Hitos!$K$2:$K$81,$BL76))</f>
        <v/>
      </c>
      <c r="H76" s="24">
        <f>IF($BL76="","",INDEX(Hitos!$L$2:$L$81,$BL76))</f>
        <v/>
      </c>
      <c r="I76" s="19">
        <f>IF($BL76="","",INDEX(Hitos!$G$2:$G$81,$BL76))</f>
        <v/>
      </c>
      <c r="BL76">
        <f>IFERROR(MATCH(20,$BN$2:$BN$81,0),"")</f>
        <v/>
      </c>
      <c r="BN76">
        <f>IF(AND(Hitos!$A76&lt;&gt;"",Hitos!$B76=$BD$2),BO76,"")</f>
        <v/>
      </c>
      <c r="BO76">
        <f>IF(AND(Hitos!$A76&lt;&gt;"",Hitos!$B76=$BD$2),N(BO75)+1,N(BO75))</f>
        <v/>
      </c>
    </row>
    <row r="77" ht="17" customHeight="1">
      <c r="B77" s="24">
        <f>IF($BL77="","",INDEX(Hitos!$A$2:$A$81,$BL77))</f>
        <v/>
      </c>
      <c r="C77" s="19">
        <f>IF($BL77="","",INDEX(Hitos!$C$2:$C$81,$BL77))</f>
        <v/>
      </c>
      <c r="D77" s="19">
        <f>IF($BL77="","",INDEX(Hitos!$D$2:$D$81,$BL77))</f>
        <v/>
      </c>
      <c r="E77" s="25">
        <f>IF($BL77="","",INDEX(Hitos!$E$2:$E$81,$BL77))</f>
        <v/>
      </c>
      <c r="F77" s="24">
        <f>IF($BL77="","",INDEX(Hitos!$F$2:$F$81,$BL77))</f>
        <v/>
      </c>
      <c r="G77" s="20">
        <f>IF($BL77="","",INDEX(Hitos!$K$2:$K$81,$BL77))</f>
        <v/>
      </c>
      <c r="H77" s="24">
        <f>IF($BL77="","",INDEX(Hitos!$L$2:$L$81,$BL77))</f>
        <v/>
      </c>
      <c r="I77" s="19">
        <f>IF($BL77="","",INDEX(Hitos!$G$2:$G$81,$BL77))</f>
        <v/>
      </c>
      <c r="BL77">
        <f>IFERROR(MATCH(21,$BN$2:$BN$81,0),"")</f>
        <v/>
      </c>
      <c r="BN77">
        <f>IF(AND(Hitos!$A77&lt;&gt;"",Hitos!$B77=$BD$2),BO77,"")</f>
        <v/>
      </c>
      <c r="BO77">
        <f>IF(AND(Hitos!$A77&lt;&gt;"",Hitos!$B77=$BD$2),N(BO76)+1,N(BO76))</f>
        <v/>
      </c>
    </row>
    <row r="78" ht="17" customHeight="1">
      <c r="B78" s="24">
        <f>IF($BL78="","",INDEX(Hitos!$A$2:$A$81,$BL78))</f>
        <v/>
      </c>
      <c r="C78" s="19">
        <f>IF($BL78="","",INDEX(Hitos!$C$2:$C$81,$BL78))</f>
        <v/>
      </c>
      <c r="D78" s="19">
        <f>IF($BL78="","",INDEX(Hitos!$D$2:$D$81,$BL78))</f>
        <v/>
      </c>
      <c r="E78" s="25">
        <f>IF($BL78="","",INDEX(Hitos!$E$2:$E$81,$BL78))</f>
        <v/>
      </c>
      <c r="F78" s="24">
        <f>IF($BL78="","",INDEX(Hitos!$F$2:$F$81,$BL78))</f>
        <v/>
      </c>
      <c r="G78" s="20">
        <f>IF($BL78="","",INDEX(Hitos!$K$2:$K$81,$BL78))</f>
        <v/>
      </c>
      <c r="H78" s="24">
        <f>IF($BL78="","",INDEX(Hitos!$L$2:$L$81,$BL78))</f>
        <v/>
      </c>
      <c r="I78" s="19">
        <f>IF($BL78="","",INDEX(Hitos!$G$2:$G$81,$BL78))</f>
        <v/>
      </c>
      <c r="BL78">
        <f>IFERROR(MATCH(22,$BN$2:$BN$81,0),"")</f>
        <v/>
      </c>
      <c r="BN78">
        <f>IF(AND(Hitos!$A78&lt;&gt;"",Hitos!$B78=$BD$2),BO78,"")</f>
        <v/>
      </c>
      <c r="BO78">
        <f>IF(AND(Hitos!$A78&lt;&gt;"",Hitos!$B78=$BD$2),N(BO77)+1,N(BO77))</f>
        <v/>
      </c>
    </row>
    <row r="79" ht="17" customHeight="1">
      <c r="B79" s="24">
        <f>IF($BL79="","",INDEX(Hitos!$A$2:$A$81,$BL79))</f>
        <v/>
      </c>
      <c r="C79" s="19">
        <f>IF($BL79="","",INDEX(Hitos!$C$2:$C$81,$BL79))</f>
        <v/>
      </c>
      <c r="D79" s="19">
        <f>IF($BL79="","",INDEX(Hitos!$D$2:$D$81,$BL79))</f>
        <v/>
      </c>
      <c r="E79" s="25">
        <f>IF($BL79="","",INDEX(Hitos!$E$2:$E$81,$BL79))</f>
        <v/>
      </c>
      <c r="F79" s="24">
        <f>IF($BL79="","",INDEX(Hitos!$F$2:$F$81,$BL79))</f>
        <v/>
      </c>
      <c r="G79" s="20">
        <f>IF($BL79="","",INDEX(Hitos!$K$2:$K$81,$BL79))</f>
        <v/>
      </c>
      <c r="H79" s="24">
        <f>IF($BL79="","",INDEX(Hitos!$L$2:$L$81,$BL79))</f>
        <v/>
      </c>
      <c r="I79" s="19">
        <f>IF($BL79="","",INDEX(Hitos!$G$2:$G$81,$BL79))</f>
        <v/>
      </c>
      <c r="BL79">
        <f>IFERROR(MATCH(23,$BN$2:$BN$81,0),"")</f>
        <v/>
      </c>
      <c r="BN79">
        <f>IF(AND(Hitos!$A79&lt;&gt;"",Hitos!$B79=$BD$2),BO79,"")</f>
        <v/>
      </c>
      <c r="BO79">
        <f>IF(AND(Hitos!$A79&lt;&gt;"",Hitos!$B79=$BD$2),N(BO78)+1,N(BO78))</f>
        <v/>
      </c>
    </row>
    <row r="80" ht="17" customHeight="1">
      <c r="B80" s="24">
        <f>IF($BL80="","",INDEX(Hitos!$A$2:$A$81,$BL80))</f>
        <v/>
      </c>
      <c r="C80" s="19">
        <f>IF($BL80="","",INDEX(Hitos!$C$2:$C$81,$BL80))</f>
        <v/>
      </c>
      <c r="D80" s="19">
        <f>IF($BL80="","",INDEX(Hitos!$D$2:$D$81,$BL80))</f>
        <v/>
      </c>
      <c r="E80" s="25">
        <f>IF($BL80="","",INDEX(Hitos!$E$2:$E$81,$BL80))</f>
        <v/>
      </c>
      <c r="F80" s="24">
        <f>IF($BL80="","",INDEX(Hitos!$F$2:$F$81,$BL80))</f>
        <v/>
      </c>
      <c r="G80" s="20">
        <f>IF($BL80="","",INDEX(Hitos!$K$2:$K$81,$BL80))</f>
        <v/>
      </c>
      <c r="H80" s="24">
        <f>IF($BL80="","",INDEX(Hitos!$L$2:$L$81,$BL80))</f>
        <v/>
      </c>
      <c r="I80" s="19">
        <f>IF($BL80="","",INDEX(Hitos!$G$2:$G$81,$BL80))</f>
        <v/>
      </c>
      <c r="BL80">
        <f>IFERROR(MATCH(24,$BN$2:$BN$81,0),"")</f>
        <v/>
      </c>
      <c r="BN80">
        <f>IF(AND(Hitos!$A80&lt;&gt;"",Hitos!$B80=$BD$2),BO80,"")</f>
        <v/>
      </c>
      <c r="BO80">
        <f>IF(AND(Hitos!$A80&lt;&gt;"",Hitos!$B80=$BD$2),N(BO79)+1,N(BO79))</f>
        <v/>
      </c>
    </row>
    <row r="81" ht="17" customHeight="1">
      <c r="B81" s="24">
        <f>IF($BL81="","",INDEX(Hitos!$A$2:$A$81,$BL81))</f>
        <v/>
      </c>
      <c r="C81" s="19">
        <f>IF($BL81="","",INDEX(Hitos!$C$2:$C$81,$BL81))</f>
        <v/>
      </c>
      <c r="D81" s="19">
        <f>IF($BL81="","",INDEX(Hitos!$D$2:$D$81,$BL81))</f>
        <v/>
      </c>
      <c r="E81" s="25">
        <f>IF($BL81="","",INDEX(Hitos!$E$2:$E$81,$BL81))</f>
        <v/>
      </c>
      <c r="F81" s="24">
        <f>IF($BL81="","",INDEX(Hitos!$F$2:$F$81,$BL81))</f>
        <v/>
      </c>
      <c r="G81" s="20">
        <f>IF($BL81="","",INDEX(Hitos!$K$2:$K$81,$BL81))</f>
        <v/>
      </c>
      <c r="H81" s="24">
        <f>IF($BL81="","",INDEX(Hitos!$L$2:$L$81,$BL81))</f>
        <v/>
      </c>
      <c r="I81" s="19">
        <f>IF($BL81="","",INDEX(Hitos!$G$2:$G$81,$BL81))</f>
        <v/>
      </c>
      <c r="BL81">
        <f>IFERROR(MATCH(25,$BN$2:$BN$81,0),"")</f>
        <v/>
      </c>
      <c r="BN81">
        <f>IF(AND(Hitos!$A81&lt;&gt;"",Hitos!$B81=$BD$2),BO81,"")</f>
        <v/>
      </c>
      <c r="BO81">
        <f>IF(AND(Hitos!$A81&lt;&gt;"",Hitos!$B81=$BD$2),N(BO80)+1,N(BO80))</f>
        <v/>
      </c>
    </row>
    <row r="82" ht="17" customHeight="1">
      <c r="B82" s="24">
        <f>IF($BL82="","",INDEX(Hitos!$A$2:$A$81,$BL82))</f>
        <v/>
      </c>
      <c r="C82" s="19">
        <f>IF($BL82="","",INDEX(Hitos!$C$2:$C$81,$BL82))</f>
        <v/>
      </c>
      <c r="D82" s="19">
        <f>IF($BL82="","",INDEX(Hitos!$D$2:$D$81,$BL82))</f>
        <v/>
      </c>
      <c r="E82" s="25">
        <f>IF($BL82="","",INDEX(Hitos!$E$2:$E$81,$BL82))</f>
        <v/>
      </c>
      <c r="F82" s="24">
        <f>IF($BL82="","",INDEX(Hitos!$F$2:$F$81,$BL82))</f>
        <v/>
      </c>
      <c r="G82" s="20">
        <f>IF($BL82="","",INDEX(Hitos!$K$2:$K$81,$BL82))</f>
        <v/>
      </c>
      <c r="H82" s="24">
        <f>IF($BL82="","",INDEX(Hitos!$L$2:$L$81,$BL82))</f>
        <v/>
      </c>
      <c r="I82" s="19">
        <f>IF($BL82="","",INDEX(Hitos!$G$2:$G$81,$BL82))</f>
        <v/>
      </c>
      <c r="BL82">
        <f>IFERROR(MATCH(26,$BN$2:$BN$81,0),"")</f>
        <v/>
      </c>
    </row>
    <row r="83" ht="17" customHeight="1">
      <c r="B83" s="24">
        <f>IF($BL83="","",INDEX(Hitos!$A$2:$A$81,$BL83))</f>
        <v/>
      </c>
      <c r="C83" s="19">
        <f>IF($BL83="","",INDEX(Hitos!$C$2:$C$81,$BL83))</f>
        <v/>
      </c>
      <c r="D83" s="19">
        <f>IF($BL83="","",INDEX(Hitos!$D$2:$D$81,$BL83))</f>
        <v/>
      </c>
      <c r="E83" s="25">
        <f>IF($BL83="","",INDEX(Hitos!$E$2:$E$81,$BL83))</f>
        <v/>
      </c>
      <c r="F83" s="24">
        <f>IF($BL83="","",INDEX(Hitos!$F$2:$F$81,$BL83))</f>
        <v/>
      </c>
      <c r="G83" s="20">
        <f>IF($BL83="","",INDEX(Hitos!$K$2:$K$81,$BL83))</f>
        <v/>
      </c>
      <c r="H83" s="24">
        <f>IF($BL83="","",INDEX(Hitos!$L$2:$L$81,$BL83))</f>
        <v/>
      </c>
      <c r="I83" s="19">
        <f>IF($BL83="","",INDEX(Hitos!$G$2:$G$81,$BL83))</f>
        <v/>
      </c>
      <c r="BL83">
        <f>IFERROR(MATCH(27,$BN$2:$BN$81,0),"")</f>
        <v/>
      </c>
    </row>
    <row r="84" ht="17" customHeight="1">
      <c r="B84" s="24">
        <f>IF($BL84="","",INDEX(Hitos!$A$2:$A$81,$BL84))</f>
        <v/>
      </c>
      <c r="C84" s="19">
        <f>IF($BL84="","",INDEX(Hitos!$C$2:$C$81,$BL84))</f>
        <v/>
      </c>
      <c r="D84" s="19">
        <f>IF($BL84="","",INDEX(Hitos!$D$2:$D$81,$BL84))</f>
        <v/>
      </c>
      <c r="E84" s="25">
        <f>IF($BL84="","",INDEX(Hitos!$E$2:$E$81,$BL84))</f>
        <v/>
      </c>
      <c r="F84" s="24">
        <f>IF($BL84="","",INDEX(Hitos!$F$2:$F$81,$BL84))</f>
        <v/>
      </c>
      <c r="G84" s="20">
        <f>IF($BL84="","",INDEX(Hitos!$K$2:$K$81,$BL84))</f>
        <v/>
      </c>
      <c r="H84" s="24">
        <f>IF($BL84="","",INDEX(Hitos!$L$2:$L$81,$BL84))</f>
        <v/>
      </c>
      <c r="I84" s="19">
        <f>IF($BL84="","",INDEX(Hitos!$G$2:$G$81,$BL84))</f>
        <v/>
      </c>
      <c r="BL84">
        <f>IFERROR(MATCH(28,$BN$2:$BN$81,0),"")</f>
        <v/>
      </c>
    </row>
    <row r="85" ht="17" customHeight="1">
      <c r="B85" s="24">
        <f>IF($BL85="","",INDEX(Hitos!$A$2:$A$81,$BL85))</f>
        <v/>
      </c>
      <c r="C85" s="19">
        <f>IF($BL85="","",INDEX(Hitos!$C$2:$C$81,$BL85))</f>
        <v/>
      </c>
      <c r="D85" s="19">
        <f>IF($BL85="","",INDEX(Hitos!$D$2:$D$81,$BL85))</f>
        <v/>
      </c>
      <c r="E85" s="25">
        <f>IF($BL85="","",INDEX(Hitos!$E$2:$E$81,$BL85))</f>
        <v/>
      </c>
      <c r="F85" s="24">
        <f>IF($BL85="","",INDEX(Hitos!$F$2:$F$81,$BL85))</f>
        <v/>
      </c>
      <c r="G85" s="20">
        <f>IF($BL85="","",INDEX(Hitos!$K$2:$K$81,$BL85))</f>
        <v/>
      </c>
      <c r="H85" s="24">
        <f>IF($BL85="","",INDEX(Hitos!$L$2:$L$81,$BL85))</f>
        <v/>
      </c>
      <c r="I85" s="19">
        <f>IF($BL85="","",INDEX(Hitos!$G$2:$G$81,$BL85))</f>
        <v/>
      </c>
      <c r="BL85">
        <f>IFERROR(MATCH(29,$BN$2:$BN$81,0),"")</f>
        <v/>
      </c>
    </row>
    <row r="86" ht="17" customHeight="1">
      <c r="B86" s="24">
        <f>IF($BL86="","",INDEX(Hitos!$A$2:$A$81,$BL86))</f>
        <v/>
      </c>
      <c r="C86" s="19">
        <f>IF($BL86="","",INDEX(Hitos!$C$2:$C$81,$BL86))</f>
        <v/>
      </c>
      <c r="D86" s="19">
        <f>IF($BL86="","",INDEX(Hitos!$D$2:$D$81,$BL86))</f>
        <v/>
      </c>
      <c r="E86" s="25">
        <f>IF($BL86="","",INDEX(Hitos!$E$2:$E$81,$BL86))</f>
        <v/>
      </c>
      <c r="F86" s="24">
        <f>IF($BL86="","",INDEX(Hitos!$F$2:$F$81,$BL86))</f>
        <v/>
      </c>
      <c r="G86" s="20">
        <f>IF($BL86="","",INDEX(Hitos!$K$2:$K$81,$BL86))</f>
        <v/>
      </c>
      <c r="H86" s="24">
        <f>IF($BL86="","",INDEX(Hitos!$L$2:$L$81,$BL86))</f>
        <v/>
      </c>
      <c r="I86" s="19">
        <f>IF($BL86="","",INDEX(Hitos!$G$2:$G$81,$BL86))</f>
        <v/>
      </c>
      <c r="BL86">
        <f>IFERROR(MATCH(30,$BN$2:$BN$81,0),"")</f>
        <v/>
      </c>
    </row>
  </sheetData>
  <mergeCells count="25">
    <mergeCell ref="C25:H25"/>
    <mergeCell ref="C26:H26"/>
    <mergeCell ref="C10:H10"/>
    <mergeCell ref="C16:H16"/>
    <mergeCell ref="C22:H22"/>
    <mergeCell ref="C9:H9"/>
    <mergeCell ref="C12:H12"/>
    <mergeCell ref="C21:H21"/>
    <mergeCell ref="C11:H11"/>
    <mergeCell ref="C27:H27"/>
    <mergeCell ref="C23:H23"/>
    <mergeCell ref="C8:H8"/>
    <mergeCell ref="C17:H17"/>
    <mergeCell ref="C7:H7"/>
    <mergeCell ref="C19:H19"/>
    <mergeCell ref="C28:H28"/>
    <mergeCell ref="C13:H13"/>
    <mergeCell ref="C18:H18"/>
    <mergeCell ref="C30:H30"/>
    <mergeCell ref="C15:H15"/>
    <mergeCell ref="C24:H24"/>
    <mergeCell ref="C14:H14"/>
    <mergeCell ref="C5:H5"/>
    <mergeCell ref="C20:H20"/>
    <mergeCell ref="C29:H29"/>
  </mergeCells>
  <conditionalFormatting sqref="C13">
    <cfRule type="cellIs" priority="1" operator="equal" dxfId="0">
      <formula>"Backlog"</formula>
    </cfRule>
    <cfRule type="cellIs" priority="2" operator="equal" dxfId="1">
      <formula>"En curso"</formula>
    </cfRule>
    <cfRule type="cellIs" priority="3" operator="equal" dxfId="2">
      <formula>"En riesgo"</formula>
    </cfRule>
    <cfRule type="cellIs" priority="4" operator="equal" dxfId="3">
      <formula>"Bloqueado"</formula>
    </cfRule>
    <cfRule type="cellIs" priority="5" operator="equal" dxfId="4">
      <formula>"Completado"</formula>
    </cfRule>
    <cfRule type="cellIs" priority="6" operator="equal" dxfId="0">
      <formula>"Cancelado"</formula>
    </cfRule>
  </conditionalFormatting>
  <conditionalFormatting sqref="C21">
    <cfRule type="cellIs" priority="7" operator="equal" dxfId="3">
      <formula>"Vencido"</formula>
    </cfRule>
    <cfRule type="cellIs" priority="8" operator="equal" dxfId="2">
      <formula>"Desviado"</formula>
    </cfRule>
    <cfRule type="cellIs" priority="9" operator="equal" dxfId="2">
      <formula>"Inminente"</formula>
    </cfRule>
    <cfRule type="cellIs" priority="10" operator="equal" dxfId="4">
      <formula>"En plazo"</formula>
    </cfRule>
  </conditionalFormatting>
  <conditionalFormatting sqref="C22">
    <cfRule type="cellIs" priority="11" operator="equal" dxfId="3">
      <formula>"Alto"</formula>
    </cfRule>
    <cfRule type="cellIs" priority="12" operator="equal" dxfId="2">
      <formula>"Medio"</formula>
    </cfRule>
    <cfRule type="cellIs" priority="13" operator="equal" dxfId="4">
      <formula>"Bajo"</formula>
    </cfRule>
  </conditionalFormatting>
  <conditionalFormatting sqref="J34:J53">
    <cfRule type="cellIs" priority="14" operator="equal" dxfId="4">
      <formula>"Conseguido"</formula>
    </cfRule>
    <cfRule type="cellIs" priority="15" operator="equal" dxfId="1">
      <formula>"En camino"</formula>
    </cfRule>
    <cfRule type="cellIs" priority="16" operator="equal" dxfId="2">
      <formula>"Atención"</formula>
    </cfRule>
    <cfRule type="cellIs" priority="17" operator="equal" dxfId="3">
      <formula>"Crítico"</formula>
    </cfRule>
  </conditionalFormatting>
  <conditionalFormatting sqref="I34:I53">
    <cfRule type="dataBar" priority="18">
      <dataBar>
        <cfvo type="num" val="0"/>
        <cfvo type="num" val="1"/>
        <color rgb="005045C8"/>
      </dataBar>
    </cfRule>
  </conditionalFormatting>
  <conditionalFormatting sqref="H57:H86">
    <cfRule type="cellIs" priority="19" operator="equal" dxfId="3">
      <formula>"Vencido"</formula>
    </cfRule>
    <cfRule type="cellIs" priority="20" operator="equal" dxfId="2">
      <formula>"Esta semana"</formula>
    </cfRule>
    <cfRule type="cellIs" priority="21" operator="equal" dxfId="1">
      <formula>"Próximos 30 días"</formula>
    </cfRule>
    <cfRule type="cellIs" priority="22" operator="equal" dxfId="4">
      <formula>"En plazo"</formula>
    </cfRule>
  </conditionalFormatting>
  <dataValidations count="1">
    <dataValidation sqref="C5" showDropDown="0" showInputMessage="0" showErrorMessage="0" allowBlank="1" errorTitle="Valor no previsto" error="Valor fuera de la lista. Si necesitas uno nuevo, añádelo en taxonomia.yaml y regenera." type="list" errorStyle="warning">
      <formula1>=Proyectos!$B$2:$B$41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045C8"/>
    <outlinePr summaryBelow="1" summaryRight="1"/>
    <pageSetUpPr/>
  </sheetPr>
  <dimension ref="A1:AB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22" customWidth="1" min="4" max="4"/>
    <col width="16" customWidth="1" min="5" max="5"/>
    <col width="15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0" customWidth="1" min="12" max="12"/>
    <col width="9" customWidth="1" min="13" max="13"/>
    <col width="14" customWidth="1" min="14" max="14"/>
    <col width="13" customWidth="1" min="15" max="15"/>
    <col width="42" customWidth="1" min="16" max="16"/>
    <col width="42" customWidth="1" min="17" max="17"/>
    <col width="42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8" customWidth="1" min="24" max="24"/>
    <col width="13" customWidth="1" min="25" max="25"/>
    <col width="8" customWidth="1" min="26" max="26"/>
    <col width="9" customWidth="1" min="27" max="27"/>
    <col width="12" customWidth="1" min="28" max="28"/>
  </cols>
  <sheetData>
    <row r="1" ht="34" customHeight="1">
      <c r="A1" s="18" t="inlineStr">
        <is>
          <t>ID</t>
        </is>
      </c>
      <c r="B1" s="18" t="inlineStr">
        <is>
          <t>Proyecto</t>
        </is>
      </c>
      <c r="C1" s="18" t="inlineStr">
        <is>
          <t>Departamento</t>
        </is>
      </c>
      <c r="D1" s="18" t="inlineStr">
        <is>
          <t>Subárea</t>
        </is>
      </c>
      <c r="E1" s="18" t="inlineStr">
        <is>
          <t>Owner</t>
        </is>
      </c>
      <c r="F1" s="18" t="inlineStr">
        <is>
          <t>Tipo</t>
        </is>
      </c>
      <c r="G1" s="18" t="inlineStr">
        <is>
          <t>Prioridad</t>
        </is>
      </c>
      <c r="H1" s="18" t="inlineStr">
        <is>
          <t>Estado</t>
        </is>
      </c>
      <c r="I1" s="18" t="inlineStr">
        <is>
          <t>Fase</t>
        </is>
      </c>
      <c r="J1" s="18" t="inlineStr">
        <is>
          <t>Inicio</t>
        </is>
      </c>
      <c r="K1" s="18" t="inlineStr">
        <is>
          <t>Fin previsto</t>
        </is>
      </c>
      <c r="L1" s="18" t="inlineStr">
        <is>
          <t>Avance %</t>
        </is>
      </c>
      <c r="M1" s="18" t="inlineStr">
        <is>
          <t>Riesgo</t>
        </is>
      </c>
      <c r="N1" s="18" t="inlineStr">
        <is>
          <t>Presupuesto €</t>
        </is>
      </c>
      <c r="O1" s="18" t="inlineStr">
        <is>
          <t>Gasto €</t>
        </is>
      </c>
      <c r="P1" s="18" t="inlineStr">
        <is>
          <t>Objetivo de negocio</t>
        </is>
      </c>
      <c r="Q1" s="18" t="inlineStr">
        <is>
          <t>Impacto esperado</t>
        </is>
      </c>
      <c r="R1" s="18" t="inlineStr">
        <is>
          <t>Notas</t>
        </is>
      </c>
      <c r="S1" s="44" t="inlineStr">
        <is>
          <t>ƒ % ppto consumido</t>
        </is>
      </c>
      <c r="T1" s="44" t="inlineStr">
        <is>
          <t>ƒ Días restantes</t>
        </is>
      </c>
      <c r="U1" s="44" t="inlineStr">
        <is>
          <t>ƒ Avance esperado</t>
        </is>
      </c>
      <c r="V1" s="44" t="inlineStr">
        <is>
          <t>ƒ Desviación</t>
        </is>
      </c>
      <c r="W1" s="44" t="inlineStr">
        <is>
          <t>ƒ Semáforo</t>
        </is>
      </c>
      <c r="X1" s="44" t="inlineStr">
        <is>
          <t>ƒ KPIs</t>
        </is>
      </c>
      <c r="Y1" s="44" t="inlineStr">
        <is>
          <t>ƒ % consecución KPIs</t>
        </is>
      </c>
      <c r="Z1" s="44" t="inlineStr">
        <is>
          <t>ƒ Hitos</t>
        </is>
      </c>
      <c r="AA1" s="44" t="inlineStr">
        <is>
          <t>ƒ Hitos OK</t>
        </is>
      </c>
      <c r="AB1" s="44" t="inlineStr">
        <is>
          <t>ƒ Hitos vencidos</t>
        </is>
      </c>
    </row>
    <row r="2" ht="17" customHeight="1">
      <c r="A2" s="45" t="inlineStr">
        <is>
          <t>GRW-001</t>
        </is>
      </c>
      <c r="B2" s="46" t="inlineStr">
        <is>
          <t>Escalado Paid Q4 — Meta + Google</t>
        </is>
      </c>
      <c r="C2" s="45" t="inlineStr">
        <is>
          <t>Growth</t>
        </is>
      </c>
      <c r="D2" s="45" t="inlineStr">
        <is>
          <t>Paid Media</t>
        </is>
      </c>
      <c r="E2" s="45" t="inlineStr">
        <is>
          <t>Por asignar</t>
        </is>
      </c>
      <c r="F2" s="45" t="inlineStr">
        <is>
          <t>Adquisición</t>
        </is>
      </c>
      <c r="G2" s="45" t="inlineStr">
        <is>
          <t>P0</t>
        </is>
      </c>
      <c r="H2" s="45" t="inlineStr">
        <is>
          <t>En curso</t>
        </is>
      </c>
      <c r="I2" s="45" t="inlineStr">
        <is>
          <t>Ejecución</t>
        </is>
      </c>
      <c r="J2" s="47" t="n">
        <v>46266</v>
      </c>
      <c r="K2" s="47" t="n">
        <v>46376</v>
      </c>
      <c r="L2" s="48" t="n">
        <v>0.25</v>
      </c>
      <c r="M2" s="45" t="inlineStr">
        <is>
          <t>Medio</t>
        </is>
      </c>
      <c r="N2" s="49" t="n">
        <v>180000</v>
      </c>
      <c r="O2" s="49" t="n">
        <v>41500</v>
      </c>
      <c r="P2" s="50" t="inlineStr">
        <is>
          <t>Duplicar el volumen de leads cualificados de la edición 2027 sin degradar el CAC.</t>
        </is>
      </c>
      <c r="Q2" s="50" t="inlineStr">
        <is>
          <t>+1.100 MQL y 140 matrículas incrementales en el trimestre.</t>
        </is>
      </c>
      <c r="R2" s="50" t="inlineStr">
        <is>
          <t>Depende de que GRW-007 (tracking server-side) esté cerrado para optimizar a matrícula.</t>
        </is>
      </c>
      <c r="S2" s="51">
        <f>IF($A2="","",IFERROR($O2/$N2,""))</f>
        <v/>
      </c>
      <c r="T2" s="52">
        <f>IF($A2="","",IF(OR($H2="Completado",$H2="Cancelado"),"",$K2-TODAY()))</f>
        <v/>
      </c>
      <c r="U2" s="51">
        <f>IF($A2="","",IF(OR($H2="Completado",$H2="Cancelado"),"",IFERROR(MEDIAN(0,(TODAY()-$J2)/($K2-$J2),1),"")))</f>
        <v/>
      </c>
      <c r="V2" s="53">
        <f>IF($A2="","",IF($U2="","",$L2-$U2))</f>
        <v/>
      </c>
      <c r="W2" s="54">
        <f>IF($A2="","",IF(OR($H2="Completado",$H2="Cancelado"),"—",IF($T2&lt;0,"Vencido",IF($T2&lt;=14,"Inminente",IF(IF($V2="",FALSE,$V2&lt;-0.15),"Desviado","En plazo")))))</f>
        <v/>
      </c>
      <c r="X2" s="52">
        <f>IF($A2="","",COUNTIF(KPIs!$B$2:$B$71,$A2))</f>
        <v/>
      </c>
      <c r="Y2" s="51">
        <f>IF($A2="","",IFERROR(AVERAGEIF(KPIs!$B$2:$B$71,$A2,KPIs!$N$2:$N$71),""))</f>
        <v/>
      </c>
      <c r="Z2" s="52">
        <f>IF($A2="","",COUNTIF(Hitos!$B$2:$B$81,$A2))</f>
        <v/>
      </c>
      <c r="AA2" s="52">
        <f>IF($A2="","",COUNTIFS(Hitos!$B$2:$B$81,$A2,Hitos!$F$2:$F$81,"Completado"))</f>
        <v/>
      </c>
      <c r="AB2" s="52">
        <f>IF($A2="","",SUMPRODUCT((Hitos!$B$2:$B$81=$A2)*(Hitos!$E$2:$E$81&lt;&gt;"")*(Hitos!$E$2:$E$81&lt;TODAY())*(Hitos!$F$2:$F$81&lt;&gt;"Completado")*(Hitos!$F$2:$F$81&lt;&gt;"Cancelado")))</f>
        <v/>
      </c>
    </row>
    <row r="3" ht="17" customHeight="1">
      <c r="A3" s="45" t="inlineStr">
        <is>
          <t>GRW-002</t>
        </is>
      </c>
      <c r="B3" s="46" t="inlineStr">
        <is>
          <t>Rediseño LP Máster IA para Creativos</t>
        </is>
      </c>
      <c r="C3" s="45" t="inlineStr">
        <is>
          <t>Growth</t>
        </is>
      </c>
      <c r="D3" s="45" t="inlineStr">
        <is>
          <t>CRO &amp; Web</t>
        </is>
      </c>
      <c r="E3" s="45" t="inlineStr">
        <is>
          <t>Por asignar</t>
        </is>
      </c>
      <c r="F3" s="45" t="inlineStr">
        <is>
          <t>Conversión</t>
        </is>
      </c>
      <c r="G3" s="45" t="inlineStr">
        <is>
          <t>P0</t>
        </is>
      </c>
      <c r="H3" s="45" t="inlineStr">
        <is>
          <t>En curso</t>
        </is>
      </c>
      <c r="I3" s="45" t="inlineStr">
        <is>
          <t>Diseño</t>
        </is>
      </c>
      <c r="J3" s="47" t="n">
        <v>46252</v>
      </c>
      <c r="K3" s="47" t="n">
        <v>46326</v>
      </c>
      <c r="L3" s="48" t="n">
        <v>0.45</v>
      </c>
      <c r="M3" s="45" t="inlineStr">
        <is>
          <t>Bajo</t>
        </is>
      </c>
      <c r="N3" s="49" t="n">
        <v>22000</v>
      </c>
      <c r="O3" s="49" t="n">
        <v>9800</v>
      </c>
      <c r="P3" s="50" t="inlineStr">
        <is>
          <t>Subir la conversión visita→lead de la landing principal del máster.</t>
        </is>
      </c>
      <c r="Q3" s="50" t="inlineStr">
        <is>
          <t>+35% CVR sobre la maqueta actual.</t>
        </is>
      </c>
      <c r="R3" s="50" t="inlineStr">
        <is>
          <t>Hipótesis principal — pricing card en hero above the fold y social proof (Microsoft/Freepik) subido al hero.</t>
        </is>
      </c>
      <c r="S3" s="51">
        <f>IF($A3="","",IFERROR($O3/$N3,""))</f>
        <v/>
      </c>
      <c r="T3" s="52">
        <f>IF($A3="","",IF(OR($H3="Completado",$H3="Cancelado"),"",$K3-TODAY()))</f>
        <v/>
      </c>
      <c r="U3" s="51">
        <f>IF($A3="","",IF(OR($H3="Completado",$H3="Cancelado"),"",IFERROR(MEDIAN(0,(TODAY()-$J3)/($K3-$J3),1),"")))</f>
        <v/>
      </c>
      <c r="V3" s="53">
        <f>IF($A3="","",IF($U3="","",$L3-$U3))</f>
        <v/>
      </c>
      <c r="W3" s="54">
        <f>IF($A3="","",IF(OR($H3="Completado",$H3="Cancelado"),"—",IF($T3&lt;0,"Vencido",IF($T3&lt;=14,"Inminente",IF(IF($V3="",FALSE,$V3&lt;-0.15),"Desviado","En plazo")))))</f>
        <v/>
      </c>
      <c r="X3" s="52">
        <f>IF($A3="","",COUNTIF(KPIs!$B$2:$B$71,$A3))</f>
        <v/>
      </c>
      <c r="Y3" s="51">
        <f>IF($A3="","",IFERROR(AVERAGEIF(KPIs!$B$2:$B$71,$A3,KPIs!$N$2:$N$71),""))</f>
        <v/>
      </c>
      <c r="Z3" s="52">
        <f>IF($A3="","",COUNTIF(Hitos!$B$2:$B$81,$A3))</f>
        <v/>
      </c>
      <c r="AA3" s="52">
        <f>IF($A3="","",COUNTIFS(Hitos!$B$2:$B$81,$A3,Hitos!$F$2:$F$81,"Completado"))</f>
        <v/>
      </c>
      <c r="AB3" s="52">
        <f>IF($A3="","",SUMPRODUCT((Hitos!$B$2:$B$81=$A3)*(Hitos!$E$2:$E$81&lt;&gt;"")*(Hitos!$E$2:$E$81&lt;TODAY())*(Hitos!$F$2:$F$81&lt;&gt;"Completado")*(Hitos!$F$2:$F$81&lt;&gt;"Cancelado")))</f>
        <v/>
      </c>
    </row>
    <row r="4" ht="17" customHeight="1">
      <c r="A4" s="45" t="inlineStr">
        <is>
          <t>GRW-003</t>
        </is>
      </c>
      <c r="B4" s="46" t="inlineStr">
        <is>
          <t>Cluster SEO "IA aplicada a negocio"</t>
        </is>
      </c>
      <c r="C4" s="45" t="inlineStr">
        <is>
          <t>Growth</t>
        </is>
      </c>
      <c r="D4" s="45" t="inlineStr">
        <is>
          <t>SEO &amp; Contenido</t>
        </is>
      </c>
      <c r="E4" s="45" t="inlineStr">
        <is>
          <t>Por asignar</t>
        </is>
      </c>
      <c r="F4" s="45" t="inlineStr">
        <is>
          <t>Adquisición</t>
        </is>
      </c>
      <c r="G4" s="45" t="inlineStr">
        <is>
          <t>P1</t>
        </is>
      </c>
      <c r="H4" s="45" t="inlineStr">
        <is>
          <t>En curso</t>
        </is>
      </c>
      <c r="I4" s="45" t="inlineStr">
        <is>
          <t>Ejecución</t>
        </is>
      </c>
      <c r="J4" s="47" t="n">
        <v>46188</v>
      </c>
      <c r="K4" s="47" t="n">
        <v>46418</v>
      </c>
      <c r="L4" s="48" t="n">
        <v>0.4</v>
      </c>
      <c r="M4" s="45" t="inlineStr">
        <is>
          <t>Medio</t>
        </is>
      </c>
      <c r="N4" s="49" t="n">
        <v>36000</v>
      </c>
      <c r="O4" s="49" t="n">
        <v>15200</v>
      </c>
      <c r="P4" s="50" t="inlineStr">
        <is>
          <t>Construir autoridad orgánica en 40 keywords de intención informacional y comercial.</t>
        </is>
      </c>
      <c r="Q4" s="50" t="inlineStr">
        <is>
          <t>60.000 sesiones orgánicas/mes a 6 meses vista.</t>
        </is>
      </c>
      <c r="R4" s="50" t="inlineStr">
        <is>
          <t>16 de 40 artículos publicados. Cuello de botella en revisión editorial.</t>
        </is>
      </c>
      <c r="S4" s="51">
        <f>IF($A4="","",IFERROR($O4/$N4,""))</f>
        <v/>
      </c>
      <c r="T4" s="52">
        <f>IF($A4="","",IF(OR($H4="Completado",$H4="Cancelado"),"",$K4-TODAY()))</f>
        <v/>
      </c>
      <c r="U4" s="51">
        <f>IF($A4="","",IF(OR($H4="Completado",$H4="Cancelado"),"",IFERROR(MEDIAN(0,(TODAY()-$J4)/($K4-$J4),1),"")))</f>
        <v/>
      </c>
      <c r="V4" s="53">
        <f>IF($A4="","",IF($U4="","",$L4-$U4))</f>
        <v/>
      </c>
      <c r="W4" s="54">
        <f>IF($A4="","",IF(OR($H4="Completado",$H4="Cancelado"),"—",IF($T4&lt;0,"Vencido",IF($T4&lt;=14,"Inminente",IF(IF($V4="",FALSE,$V4&lt;-0.15),"Desviado","En plazo")))))</f>
        <v/>
      </c>
      <c r="X4" s="52">
        <f>IF($A4="","",COUNTIF(KPIs!$B$2:$B$71,$A4))</f>
        <v/>
      </c>
      <c r="Y4" s="51">
        <f>IF($A4="","",IFERROR(AVERAGEIF(KPIs!$B$2:$B$71,$A4,KPIs!$N$2:$N$71),""))</f>
        <v/>
      </c>
      <c r="Z4" s="52">
        <f>IF($A4="","",COUNTIF(Hitos!$B$2:$B$81,$A4))</f>
        <v/>
      </c>
      <c r="AA4" s="52">
        <f>IF($A4="","",COUNTIFS(Hitos!$B$2:$B$81,$A4,Hitos!$F$2:$F$81,"Completado"))</f>
        <v/>
      </c>
      <c r="AB4" s="52">
        <f>IF($A4="","",SUMPRODUCT((Hitos!$B$2:$B$81=$A4)*(Hitos!$E$2:$E$81&lt;&gt;"")*(Hitos!$E$2:$E$81&lt;TODAY())*(Hitos!$F$2:$F$81&lt;&gt;"Completado")*(Hitos!$F$2:$F$81&lt;&gt;"Cancelado")))</f>
        <v/>
      </c>
    </row>
    <row r="5" ht="17" customHeight="1">
      <c r="A5" s="45" t="inlineStr">
        <is>
          <t>GRW-004</t>
        </is>
      </c>
      <c r="B5" s="46" t="inlineStr">
        <is>
          <t>Nurturing lead → matrícula (HubSpot)</t>
        </is>
      </c>
      <c r="C5" s="45" t="inlineStr">
        <is>
          <t>Growth</t>
        </is>
      </c>
      <c r="D5" s="45" t="inlineStr">
        <is>
          <t>Lifecycle &amp; CRM</t>
        </is>
      </c>
      <c r="E5" s="45" t="inlineStr">
        <is>
          <t>Por asignar</t>
        </is>
      </c>
      <c r="F5" s="45" t="inlineStr">
        <is>
          <t>Conversión</t>
        </is>
      </c>
      <c r="G5" s="45" t="inlineStr">
        <is>
          <t>P0</t>
        </is>
      </c>
      <c r="H5" s="45" t="inlineStr">
        <is>
          <t>En riesgo</t>
        </is>
      </c>
      <c r="I5" s="45" t="inlineStr">
        <is>
          <t>Ejecución</t>
        </is>
      </c>
      <c r="J5" s="47" t="n">
        <v>46204</v>
      </c>
      <c r="K5" s="47" t="n">
        <v>46310</v>
      </c>
      <c r="L5" s="48" t="n">
        <v>0.55</v>
      </c>
      <c r="M5" s="45" t="inlineStr">
        <is>
          <t>Alto</t>
        </is>
      </c>
      <c r="N5" s="49" t="n">
        <v>18000</v>
      </c>
      <c r="O5" s="49" t="n">
        <v>12400</v>
      </c>
      <c r="P5" s="50" t="inlineStr">
        <is>
          <t>Reducir el tiempo de ciclo lead→matrícula con secuencias segmentadas por programa.</t>
        </is>
      </c>
      <c r="Q5" s="50" t="inlineStr">
        <is>
          <t>-8 días de ciclo y +4pp de conversión MQL→matrícula.</t>
        </is>
      </c>
      <c r="R5" s="50" t="inlineStr">
        <is>
          <t>En riesgo por dependencia de datos limpios en HubSpot. Escalado a Ventas.</t>
        </is>
      </c>
      <c r="S5" s="51">
        <f>IF($A5="","",IFERROR($O5/$N5,""))</f>
        <v/>
      </c>
      <c r="T5" s="52">
        <f>IF($A5="","",IF(OR($H5="Completado",$H5="Cancelado"),"",$K5-TODAY()))</f>
        <v/>
      </c>
      <c r="U5" s="51">
        <f>IF($A5="","",IF(OR($H5="Completado",$H5="Cancelado"),"",IFERROR(MEDIAN(0,(TODAY()-$J5)/($K5-$J5),1),"")))</f>
        <v/>
      </c>
      <c r="V5" s="53">
        <f>IF($A5="","",IF($U5="","",$L5-$U5))</f>
        <v/>
      </c>
      <c r="W5" s="54">
        <f>IF($A5="","",IF(OR($H5="Completado",$H5="Cancelado"),"—",IF($T5&lt;0,"Vencido",IF($T5&lt;=14,"Inminente",IF(IF($V5="",FALSE,$V5&lt;-0.15),"Desviado","En plazo")))))</f>
        <v/>
      </c>
      <c r="X5" s="52">
        <f>IF($A5="","",COUNTIF(KPIs!$B$2:$B$71,$A5))</f>
        <v/>
      </c>
      <c r="Y5" s="51">
        <f>IF($A5="","",IFERROR(AVERAGEIF(KPIs!$B$2:$B$71,$A5,KPIs!$N$2:$N$71),""))</f>
        <v/>
      </c>
      <c r="Z5" s="52">
        <f>IF($A5="","",COUNTIF(Hitos!$B$2:$B$81,$A5))</f>
        <v/>
      </c>
      <c r="AA5" s="52">
        <f>IF($A5="","",COUNTIFS(Hitos!$B$2:$B$81,$A5,Hitos!$F$2:$F$81,"Completado"))</f>
        <v/>
      </c>
      <c r="AB5" s="52">
        <f>IF($A5="","",SUMPRODUCT((Hitos!$B$2:$B$81=$A5)*(Hitos!$E$2:$E$81&lt;&gt;"")*(Hitos!$E$2:$E$81&lt;TODAY())*(Hitos!$F$2:$F$81&lt;&gt;"Completado")*(Hitos!$F$2:$F$81&lt;&gt;"Cancelado")))</f>
        <v/>
      </c>
    </row>
    <row r="6" ht="17" customHeight="1">
      <c r="A6" s="45" t="inlineStr">
        <is>
          <t>GRW-005</t>
        </is>
      </c>
      <c r="B6" s="46" t="inlineStr">
        <is>
          <t>Programa de embajadores alumni</t>
        </is>
      </c>
      <c r="C6" s="45" t="inlineStr">
        <is>
          <t>Growth</t>
        </is>
      </c>
      <c r="D6" s="45" t="inlineStr">
        <is>
          <t>Partnerships &amp; Afiliación</t>
        </is>
      </c>
      <c r="E6" s="45" t="inlineStr">
        <is>
          <t>Por asignar</t>
        </is>
      </c>
      <c r="F6" s="45" t="inlineStr">
        <is>
          <t>Adquisición</t>
        </is>
      </c>
      <c r="G6" s="45" t="inlineStr">
        <is>
          <t>P1</t>
        </is>
      </c>
      <c r="H6" s="45" t="inlineStr">
        <is>
          <t>Backlog</t>
        </is>
      </c>
      <c r="I6" s="45" t="inlineStr">
        <is>
          <t>Discovery</t>
        </is>
      </c>
      <c r="J6" s="47" t="n">
        <v>46296</v>
      </c>
      <c r="K6" s="47" t="n">
        <v>46446</v>
      </c>
      <c r="L6" s="48" t="n">
        <v>0</v>
      </c>
      <c r="M6" s="45" t="inlineStr">
        <is>
          <t>Medio</t>
        </is>
      </c>
      <c r="N6" s="49" t="n">
        <v>45000</v>
      </c>
      <c r="O6" s="49" t="n">
        <v>0</v>
      </c>
      <c r="P6" s="50" t="inlineStr">
        <is>
          <t>Activar la base de alumni como canal de referidos con incentivo económico.</t>
        </is>
      </c>
      <c r="Q6" s="50" t="inlineStr">
        <is>
          <t>8% de las matrículas por referido a 12 meses.</t>
        </is>
      </c>
      <c r="R6" s="50" t="inlineStr">
        <is>
          <t>Pendiente definir modelo de comisión con Finanzas.</t>
        </is>
      </c>
      <c r="S6" s="51">
        <f>IF($A6="","",IFERROR($O6/$N6,""))</f>
        <v/>
      </c>
      <c r="T6" s="52">
        <f>IF($A6="","",IF(OR($H6="Completado",$H6="Cancelado"),"",$K6-TODAY()))</f>
        <v/>
      </c>
      <c r="U6" s="51">
        <f>IF($A6="","",IF(OR($H6="Completado",$H6="Cancelado"),"",IFERROR(MEDIAN(0,(TODAY()-$J6)/($K6-$J6),1),"")))</f>
        <v/>
      </c>
      <c r="V6" s="53">
        <f>IF($A6="","",IF($U6="","",$L6-$U6))</f>
        <v/>
      </c>
      <c r="W6" s="54">
        <f>IF($A6="","",IF(OR($H6="Completado",$H6="Cancelado"),"—",IF($T6&lt;0,"Vencido",IF($T6&lt;=14,"Inminente",IF(IF($V6="",FALSE,$V6&lt;-0.15),"Desviado","En plazo")))))</f>
        <v/>
      </c>
      <c r="X6" s="52">
        <f>IF($A6="","",COUNTIF(KPIs!$B$2:$B$71,$A6))</f>
        <v/>
      </c>
      <c r="Y6" s="51">
        <f>IF($A6="","",IFERROR(AVERAGEIF(KPIs!$B$2:$B$71,$A6,KPIs!$N$2:$N$71),""))</f>
        <v/>
      </c>
      <c r="Z6" s="52">
        <f>IF($A6="","",COUNTIF(Hitos!$B$2:$B$81,$A6))</f>
        <v/>
      </c>
      <c r="AA6" s="52">
        <f>IF($A6="","",COUNTIFS(Hitos!$B$2:$B$81,$A6,Hitos!$F$2:$F$81,"Completado"))</f>
        <v/>
      </c>
      <c r="AB6" s="52">
        <f>IF($A6="","",SUMPRODUCT((Hitos!$B$2:$B$81=$A6)*(Hitos!$E$2:$E$81&lt;&gt;"")*(Hitos!$E$2:$E$81&lt;TODAY())*(Hitos!$F$2:$F$81&lt;&gt;"Completado")*(Hitos!$F$2:$F$81&lt;&gt;"Cancelado")))</f>
        <v/>
      </c>
    </row>
    <row r="7" ht="17" customHeight="1">
      <c r="A7" s="45" t="inlineStr">
        <is>
          <t>GRW-006</t>
        </is>
      </c>
      <c r="B7" s="46" t="inlineStr">
        <is>
          <t>Landing Augment MBA</t>
        </is>
      </c>
      <c r="C7" s="45" t="inlineStr">
        <is>
          <t>Growth</t>
        </is>
      </c>
      <c r="D7" s="45" t="inlineStr">
        <is>
          <t>CRO &amp; Web</t>
        </is>
      </c>
      <c r="E7" s="45" t="inlineStr">
        <is>
          <t>Por asignar</t>
        </is>
      </c>
      <c r="F7" s="45" t="inlineStr">
        <is>
          <t>Conversión</t>
        </is>
      </c>
      <c r="G7" s="45" t="inlineStr">
        <is>
          <t>P1</t>
        </is>
      </c>
      <c r="H7" s="45" t="inlineStr">
        <is>
          <t>Completado</t>
        </is>
      </c>
      <c r="I7" s="45" t="inlineStr">
        <is>
          <t>Cerrado</t>
        </is>
      </c>
      <c r="J7" s="47" t="n">
        <v>46223</v>
      </c>
      <c r="K7" s="47" t="n">
        <v>46263</v>
      </c>
      <c r="L7" s="48" t="n">
        <v>1</v>
      </c>
      <c r="M7" s="45" t="inlineStr">
        <is>
          <t>Bajo</t>
        </is>
      </c>
      <c r="N7" s="49" t="n">
        <v>12000</v>
      </c>
      <c r="O7" s="49" t="n">
        <v>11300</v>
      </c>
      <c r="P7" s="50" t="inlineStr">
        <is>
          <t>Lanzar la landing del programa Augment MBA con estructura canónica Founderz.</t>
        </is>
      </c>
      <c r="Q7" s="50" t="inlineStr">
        <is>
          <t>Canal propio de captación para el nuevo programa.</t>
        </is>
      </c>
      <c r="R7" s="50" t="inlineStr">
        <is>
          <t>Maquetada en projects/augment-mba/. Pendiente pasar a medición en GRW-007.</t>
        </is>
      </c>
      <c r="S7" s="51">
        <f>IF($A7="","",IFERROR($O7/$N7,""))</f>
        <v/>
      </c>
      <c r="T7" s="52">
        <f>IF($A7="","",IF(OR($H7="Completado",$H7="Cancelado"),"",$K7-TODAY()))</f>
        <v/>
      </c>
      <c r="U7" s="51">
        <f>IF($A7="","",IF(OR($H7="Completado",$H7="Cancelado"),"",IFERROR(MEDIAN(0,(TODAY()-$J7)/($K7-$J7),1),"")))</f>
        <v/>
      </c>
      <c r="V7" s="53">
        <f>IF($A7="","",IF($U7="","",$L7-$U7))</f>
        <v/>
      </c>
      <c r="W7" s="54">
        <f>IF($A7="","",IF(OR($H7="Completado",$H7="Cancelado"),"—",IF($T7&lt;0,"Vencido",IF($T7&lt;=14,"Inminente",IF(IF($V7="",FALSE,$V7&lt;-0.15),"Desviado","En plazo")))))</f>
        <v/>
      </c>
      <c r="X7" s="52">
        <f>IF($A7="","",COUNTIF(KPIs!$B$2:$B$71,$A7))</f>
        <v/>
      </c>
      <c r="Y7" s="51">
        <f>IF($A7="","",IFERROR(AVERAGEIF(KPIs!$B$2:$B$71,$A7,KPIs!$N$2:$N$71),""))</f>
        <v/>
      </c>
      <c r="Z7" s="52">
        <f>IF($A7="","",COUNTIF(Hitos!$B$2:$B$81,$A7))</f>
        <v/>
      </c>
      <c r="AA7" s="52">
        <f>IF($A7="","",COUNTIFS(Hitos!$B$2:$B$81,$A7,Hitos!$F$2:$F$81,"Completado"))</f>
        <v/>
      </c>
      <c r="AB7" s="52">
        <f>IF($A7="","",SUMPRODUCT((Hitos!$B$2:$B$81=$A7)*(Hitos!$E$2:$E$81&lt;&gt;"")*(Hitos!$E$2:$E$81&lt;TODAY())*(Hitos!$F$2:$F$81&lt;&gt;"Completado")*(Hitos!$F$2:$F$81&lt;&gt;"Cancelado")))</f>
        <v/>
      </c>
    </row>
    <row r="8" ht="17" customHeight="1">
      <c r="A8" s="45" t="inlineStr">
        <is>
          <t>GRW-007</t>
        </is>
      </c>
      <c r="B8" s="46" t="inlineStr">
        <is>
          <t>Tracking server-side + GA4 limpio</t>
        </is>
      </c>
      <c r="C8" s="45" t="inlineStr">
        <is>
          <t>Growth</t>
        </is>
      </c>
      <c r="D8" s="45" t="inlineStr">
        <is>
          <t>Data &amp; Analytics</t>
        </is>
      </c>
      <c r="E8" s="45" t="inlineStr">
        <is>
          <t>Por asignar</t>
        </is>
      </c>
      <c r="F8" s="45" t="inlineStr">
        <is>
          <t>Proceso interno</t>
        </is>
      </c>
      <c r="G8" s="45" t="inlineStr">
        <is>
          <t>P0</t>
        </is>
      </c>
      <c r="H8" s="45" t="inlineStr">
        <is>
          <t>En curso</t>
        </is>
      </c>
      <c r="I8" s="45" t="inlineStr">
        <is>
          <t>Ejecución</t>
        </is>
      </c>
      <c r="J8" s="47" t="n">
        <v>46235</v>
      </c>
      <c r="K8" s="47" t="n">
        <v>46305</v>
      </c>
      <c r="L8" s="48" t="n">
        <v>0.6</v>
      </c>
      <c r="M8" s="45" t="inlineStr">
        <is>
          <t>Alto</t>
        </is>
      </c>
      <c r="N8" s="49" t="n">
        <v>28000</v>
      </c>
      <c r="O8" s="49" t="n">
        <v>16900</v>
      </c>
      <c r="P8" s="50" t="inlineStr">
        <is>
          <t>Recuperar señal de conversión para optimizar campañas a matrícula, no a lead.</t>
        </is>
      </c>
      <c r="Q8" s="50" t="inlineStr">
        <is>
          <t>Habilita smart bidding real. Bloquea GRW-001 y GRW-010.</t>
        </is>
      </c>
      <c r="R8" s="50" t="inlineStr">
        <is>
          <t>Bloqueante de dos proyectos P0. Máxima prioridad de desbloqueo.</t>
        </is>
      </c>
      <c r="S8" s="51">
        <f>IF($A8="","",IFERROR($O8/$N8,""))</f>
        <v/>
      </c>
      <c r="T8" s="52">
        <f>IF($A8="","",IF(OR($H8="Completado",$H8="Cancelado"),"",$K8-TODAY()))</f>
        <v/>
      </c>
      <c r="U8" s="51">
        <f>IF($A8="","",IF(OR($H8="Completado",$H8="Cancelado"),"",IFERROR(MEDIAN(0,(TODAY()-$J8)/($K8-$J8),1),"")))</f>
        <v/>
      </c>
      <c r="V8" s="53">
        <f>IF($A8="","",IF($U8="","",$L8-$U8))</f>
        <v/>
      </c>
      <c r="W8" s="54">
        <f>IF($A8="","",IF(OR($H8="Completado",$H8="Cancelado"),"—",IF($T8&lt;0,"Vencido",IF($T8&lt;=14,"Inminente",IF(IF($V8="",FALSE,$V8&lt;-0.15),"Desviado","En plazo")))))</f>
        <v/>
      </c>
      <c r="X8" s="52">
        <f>IF($A8="","",COUNTIF(KPIs!$B$2:$B$71,$A8))</f>
        <v/>
      </c>
      <c r="Y8" s="51">
        <f>IF($A8="","",IFERROR(AVERAGEIF(KPIs!$B$2:$B$71,$A8,KPIs!$N$2:$N$71),""))</f>
        <v/>
      </c>
      <c r="Z8" s="52">
        <f>IF($A8="","",COUNTIF(Hitos!$B$2:$B$81,$A8))</f>
        <v/>
      </c>
      <c r="AA8" s="52">
        <f>IF($A8="","",COUNTIFS(Hitos!$B$2:$B$81,$A8,Hitos!$F$2:$F$81,"Completado"))</f>
        <v/>
      </c>
      <c r="AB8" s="52">
        <f>IF($A8="","",SUMPRODUCT((Hitos!$B$2:$B$81=$A8)*(Hitos!$E$2:$E$81&lt;&gt;"")*(Hitos!$E$2:$E$81&lt;TODAY())*(Hitos!$F$2:$F$81&lt;&gt;"Completado")*(Hitos!$F$2:$F$81&lt;&gt;"Cancelado")))</f>
        <v/>
      </c>
    </row>
    <row r="9" ht="17" customHeight="1">
      <c r="A9" s="45" t="inlineStr">
        <is>
          <t>GRW-008</t>
        </is>
      </c>
      <c r="B9" s="46" t="inlineStr">
        <is>
          <t>Webinars mensuales de captación</t>
        </is>
      </c>
      <c r="C9" s="45" t="inlineStr">
        <is>
          <t>Growth</t>
        </is>
      </c>
      <c r="D9" s="45" t="inlineStr">
        <is>
          <t>Brand &amp; Social</t>
        </is>
      </c>
      <c r="E9" s="45" t="inlineStr">
        <is>
          <t>Por asignar</t>
        </is>
      </c>
      <c r="F9" s="45" t="inlineStr">
        <is>
          <t>Adquisición</t>
        </is>
      </c>
      <c r="G9" s="45" t="inlineStr">
        <is>
          <t>P2</t>
        </is>
      </c>
      <c r="H9" s="45" t="inlineStr">
        <is>
          <t>En curso</t>
        </is>
      </c>
      <c r="I9" s="45" t="inlineStr">
        <is>
          <t>Ejecución</t>
        </is>
      </c>
      <c r="J9" s="47" t="n">
        <v>46143</v>
      </c>
      <c r="K9" s="47" t="n">
        <v>46387</v>
      </c>
      <c r="L9" s="48" t="n">
        <v>0.65</v>
      </c>
      <c r="M9" s="45" t="inlineStr">
        <is>
          <t>Bajo</t>
        </is>
      </c>
      <c r="N9" s="49" t="n">
        <v>24000</v>
      </c>
      <c r="O9" s="49" t="n">
        <v>14800</v>
      </c>
      <c r="P9" s="50" t="inlineStr">
        <is>
          <t>Generar leads de alta intención con sesiones en directo con profesores.</t>
        </is>
      </c>
      <c r="Q9" s="50" t="inlineStr">
        <is>
          <t>400 leads/mes con conversión a matrícula 3x la media.</t>
        </is>
      </c>
      <c r="R9" s="50" t="inlineStr">
        <is>
          <t>Formato validado. Escalar de 1 a 2 sesiones al mes en Q4.</t>
        </is>
      </c>
      <c r="S9" s="51">
        <f>IF($A9="","",IFERROR($O9/$N9,""))</f>
        <v/>
      </c>
      <c r="T9" s="52">
        <f>IF($A9="","",IF(OR($H9="Completado",$H9="Cancelado"),"",$K9-TODAY()))</f>
        <v/>
      </c>
      <c r="U9" s="51">
        <f>IF($A9="","",IF(OR($H9="Completado",$H9="Cancelado"),"",IFERROR(MEDIAN(0,(TODAY()-$J9)/($K9-$J9),1),"")))</f>
        <v/>
      </c>
      <c r="V9" s="53">
        <f>IF($A9="","",IF($U9="","",$L9-$U9))</f>
        <v/>
      </c>
      <c r="W9" s="54">
        <f>IF($A9="","",IF(OR($H9="Completado",$H9="Cancelado"),"—",IF($T9&lt;0,"Vencido",IF($T9&lt;=14,"Inminente",IF(IF($V9="",FALSE,$V9&lt;-0.15),"Desviado","En plazo")))))</f>
        <v/>
      </c>
      <c r="X9" s="52">
        <f>IF($A9="","",COUNTIF(KPIs!$B$2:$B$71,$A9))</f>
        <v/>
      </c>
      <c r="Y9" s="51">
        <f>IF($A9="","",IFERROR(AVERAGEIF(KPIs!$B$2:$B$71,$A9,KPIs!$N$2:$N$71),""))</f>
        <v/>
      </c>
      <c r="Z9" s="52">
        <f>IF($A9="","",COUNTIF(Hitos!$B$2:$B$81,$A9))</f>
        <v/>
      </c>
      <c r="AA9" s="52">
        <f>IF($A9="","",COUNTIFS(Hitos!$B$2:$B$81,$A9,Hitos!$F$2:$F$81,"Completado"))</f>
        <v/>
      </c>
      <c r="AB9" s="52">
        <f>IF($A9="","",SUMPRODUCT((Hitos!$B$2:$B$81=$A9)*(Hitos!$E$2:$E$81&lt;&gt;"")*(Hitos!$E$2:$E$81&lt;TODAY())*(Hitos!$F$2:$F$81&lt;&gt;"Completado")*(Hitos!$F$2:$F$81&lt;&gt;"Cancelado")))</f>
        <v/>
      </c>
    </row>
    <row r="10" ht="17" customHeight="1">
      <c r="A10" s="45" t="inlineStr">
        <is>
          <t>GRW-009</t>
        </is>
      </c>
      <c r="B10" s="46" t="inlineStr">
        <is>
          <t>Motor de lead gen B2B (empresas)</t>
        </is>
      </c>
      <c r="C10" s="45" t="inlineStr">
        <is>
          <t>Growth</t>
        </is>
      </c>
      <c r="D10" s="45" t="inlineStr">
        <is>
          <t>Partnerships &amp; Afiliación</t>
        </is>
      </c>
      <c r="E10" s="45" t="inlineStr">
        <is>
          <t>Por asignar</t>
        </is>
      </c>
      <c r="F10" s="45" t="inlineStr">
        <is>
          <t>Adquisición</t>
        </is>
      </c>
      <c r="G10" s="45" t="inlineStr">
        <is>
          <t>P1</t>
        </is>
      </c>
      <c r="H10" s="45" t="inlineStr">
        <is>
          <t>Bloqueado</t>
        </is>
      </c>
      <c r="I10" s="45" t="inlineStr">
        <is>
          <t>Discovery</t>
        </is>
      </c>
      <c r="J10" s="47" t="n">
        <v>46280</v>
      </c>
      <c r="K10" s="47" t="n">
        <v>46402</v>
      </c>
      <c r="L10" s="48" t="n">
        <v>0.1</v>
      </c>
      <c r="M10" s="45" t="inlineStr">
        <is>
          <t>Alto</t>
        </is>
      </c>
      <c r="N10" s="49" t="n">
        <v>60000</v>
      </c>
      <c r="O10" s="49" t="n">
        <v>3200</v>
      </c>
      <c r="P10" s="50" t="inlineStr">
        <is>
          <t>Abrir el canal de formación para empresas con oferta y funnel propios.</t>
        </is>
      </c>
      <c r="Q10" s="50" t="inlineStr">
        <is>
          <t>12 cuentas corporativas firmadas en el primer año.</t>
        </is>
      </c>
      <c r="R10" s="50" t="inlineStr">
        <is>
          <t>Bloqueado hasta que exista pricing B2B aprobado.</t>
        </is>
      </c>
      <c r="S10" s="51">
        <f>IF($A10="","",IFERROR($O10/$N10,""))</f>
        <v/>
      </c>
      <c r="T10" s="52">
        <f>IF($A10="","",IF(OR($H10="Completado",$H10="Cancelado"),"",$K10-TODAY()))</f>
        <v/>
      </c>
      <c r="U10" s="51">
        <f>IF($A10="","",IF(OR($H10="Completado",$H10="Cancelado"),"",IFERROR(MEDIAN(0,(TODAY()-$J10)/($K10-$J10),1),"")))</f>
        <v/>
      </c>
      <c r="V10" s="53">
        <f>IF($A10="","",IF($U10="","",$L10-$U10))</f>
        <v/>
      </c>
      <c r="W10" s="54">
        <f>IF($A10="","",IF(OR($H10="Completado",$H10="Cancelado"),"—",IF($T10&lt;0,"Vencido",IF($T10&lt;=14,"Inminente",IF(IF($V10="",FALSE,$V10&lt;-0.15),"Desviado","En plazo")))))</f>
        <v/>
      </c>
      <c r="X10" s="52">
        <f>IF($A10="","",COUNTIF(KPIs!$B$2:$B$71,$A10))</f>
        <v/>
      </c>
      <c r="Y10" s="51">
        <f>IF($A10="","",IFERROR(AVERAGEIF(KPIs!$B$2:$B$71,$A10,KPIs!$N$2:$N$71),""))</f>
        <v/>
      </c>
      <c r="Z10" s="52">
        <f>IF($A10="","",COUNTIF(Hitos!$B$2:$B$81,$A10))</f>
        <v/>
      </c>
      <c r="AA10" s="52">
        <f>IF($A10="","",COUNTIFS(Hitos!$B$2:$B$81,$A10,Hitos!$F$2:$F$81,"Completado"))</f>
        <v/>
      </c>
      <c r="AB10" s="52">
        <f>IF($A10="","",SUMPRODUCT((Hitos!$B$2:$B$81=$A10)*(Hitos!$E$2:$E$81&lt;&gt;"")*(Hitos!$E$2:$E$81&lt;TODAY())*(Hitos!$F$2:$F$81&lt;&gt;"Completado")*(Hitos!$F$2:$F$81&lt;&gt;"Cancelado")))</f>
        <v/>
      </c>
    </row>
    <row r="11" ht="17" customHeight="1">
      <c r="A11" s="45" t="inlineStr">
        <is>
          <t>GRW-010</t>
        </is>
      </c>
      <c r="B11" s="46" t="inlineStr">
        <is>
          <t>Optimización checkout y financiación</t>
        </is>
      </c>
      <c r="C11" s="45" t="inlineStr">
        <is>
          <t>Growth</t>
        </is>
      </c>
      <c r="D11" s="45" t="inlineStr">
        <is>
          <t>CRO &amp; Web</t>
        </is>
      </c>
      <c r="E11" s="45" t="inlineStr">
        <is>
          <t>Por asignar</t>
        </is>
      </c>
      <c r="F11" s="45" t="inlineStr">
        <is>
          <t>Conversión</t>
        </is>
      </c>
      <c r="G11" s="45" t="inlineStr">
        <is>
          <t>P0</t>
        </is>
      </c>
      <c r="H11" s="45" t="inlineStr">
        <is>
          <t>En curso</t>
        </is>
      </c>
      <c r="I11" s="45" t="inlineStr">
        <is>
          <t>Medición</t>
        </is>
      </c>
      <c r="J11" s="47" t="n">
        <v>46174</v>
      </c>
      <c r="K11" s="47" t="n">
        <v>46295</v>
      </c>
      <c r="L11" s="48" t="n">
        <v>0.8</v>
      </c>
      <c r="M11" s="45" t="inlineStr">
        <is>
          <t>Medio</t>
        </is>
      </c>
      <c r="N11" s="49" t="n">
        <v>20000</v>
      </c>
      <c r="O11" s="49" t="n">
        <v>17600</v>
      </c>
      <c r="P11" s="50" t="inlineStr">
        <is>
          <t>Reducir el abandono en el paso de pago mostrando financiación antes del precio total.</t>
        </is>
      </c>
      <c r="Q11" s="50" t="inlineStr">
        <is>
          <t>-12pp de abandono en checkout.</t>
        </is>
      </c>
      <c r="R11" s="50" t="inlineStr">
        <is>
          <t>Test A/B en marcha, 2 semanas para significancia.</t>
        </is>
      </c>
      <c r="S11" s="51">
        <f>IF($A11="","",IFERROR($O11/$N11,""))</f>
        <v/>
      </c>
      <c r="T11" s="52">
        <f>IF($A11="","",IF(OR($H11="Completado",$H11="Cancelado"),"",$K11-TODAY()))</f>
        <v/>
      </c>
      <c r="U11" s="51">
        <f>IF($A11="","",IF(OR($H11="Completado",$H11="Cancelado"),"",IFERROR(MEDIAN(0,(TODAY()-$J11)/($K11-$J11),1),"")))</f>
        <v/>
      </c>
      <c r="V11" s="53">
        <f>IF($A11="","",IF($U11="","",$L11-$U11))</f>
        <v/>
      </c>
      <c r="W11" s="54">
        <f>IF($A11="","",IF(OR($H11="Completado",$H11="Cancelado"),"—",IF($T11&lt;0,"Vencido",IF($T11&lt;=14,"Inminente",IF(IF($V11="",FALSE,$V11&lt;-0.15),"Desviado","En plazo")))))</f>
        <v/>
      </c>
      <c r="X11" s="52">
        <f>IF($A11="","",COUNTIF(KPIs!$B$2:$B$71,$A11))</f>
        <v/>
      </c>
      <c r="Y11" s="51">
        <f>IF($A11="","",IFERROR(AVERAGEIF(KPIs!$B$2:$B$71,$A11,KPIs!$N$2:$N$71),""))</f>
        <v/>
      </c>
      <c r="Z11" s="52">
        <f>IF($A11="","",COUNTIF(Hitos!$B$2:$B$81,$A11))</f>
        <v/>
      </c>
      <c r="AA11" s="52">
        <f>IF($A11="","",COUNTIFS(Hitos!$B$2:$B$81,$A11,Hitos!$F$2:$F$81,"Completado"))</f>
        <v/>
      </c>
      <c r="AB11" s="52">
        <f>IF($A11="","",SUMPRODUCT((Hitos!$B$2:$B$81=$A11)*(Hitos!$E$2:$E$81&lt;&gt;"")*(Hitos!$E$2:$E$81&lt;TODAY())*(Hitos!$F$2:$F$81&lt;&gt;"Completado")*(Hitos!$F$2:$F$81&lt;&gt;"Cancelado")))</f>
        <v/>
      </c>
    </row>
    <row r="12" ht="17" customHeight="1">
      <c r="A12" s="45" t="inlineStr">
        <is>
          <t>GRW-011</t>
        </is>
      </c>
      <c r="B12" s="46" t="inlineStr">
        <is>
          <t>Newsletter Founderz a 50k</t>
        </is>
      </c>
      <c r="C12" s="45" t="inlineStr">
        <is>
          <t>Growth</t>
        </is>
      </c>
      <c r="D12" s="45" t="inlineStr">
        <is>
          <t>Brand &amp; Social</t>
        </is>
      </c>
      <c r="E12" s="45" t="inlineStr">
        <is>
          <t>Por asignar</t>
        </is>
      </c>
      <c r="F12" s="45" t="inlineStr">
        <is>
          <t>Retención</t>
        </is>
      </c>
      <c r="G12" s="45" t="inlineStr">
        <is>
          <t>P2</t>
        </is>
      </c>
      <c r="H12" s="45" t="inlineStr">
        <is>
          <t>En curso</t>
        </is>
      </c>
      <c r="I12" s="45" t="inlineStr">
        <is>
          <t>Ejecución</t>
        </is>
      </c>
      <c r="J12" s="47" t="n">
        <v>46113</v>
      </c>
      <c r="K12" s="47" t="n">
        <v>46387</v>
      </c>
      <c r="L12" s="48" t="n">
        <v>0.5</v>
      </c>
      <c r="M12" s="45" t="inlineStr">
        <is>
          <t>Bajo</t>
        </is>
      </c>
      <c r="N12" s="49" t="n">
        <v>15000</v>
      </c>
      <c r="O12" s="49" t="n">
        <v>7100</v>
      </c>
      <c r="P12" s="50" t="inlineStr">
        <is>
          <t>Construir audiencia propia para reducir dependencia de paid.</t>
        </is>
      </c>
      <c r="Q12" s="50" t="inlineStr">
        <is>
          <t>50.000 suscriptores y 15% de las matrículas atribuidas a canal propio.</t>
        </is>
      </c>
      <c r="R12" s="50" t="inlineStr">
        <is>
          <t>27.400 suscriptores actuales.</t>
        </is>
      </c>
      <c r="S12" s="51">
        <f>IF($A12="","",IFERROR($O12/$N12,""))</f>
        <v/>
      </c>
      <c r="T12" s="52">
        <f>IF($A12="","",IF(OR($H12="Completado",$H12="Cancelado"),"",$K12-TODAY()))</f>
        <v/>
      </c>
      <c r="U12" s="51">
        <f>IF($A12="","",IF(OR($H12="Completado",$H12="Cancelado"),"",IFERROR(MEDIAN(0,(TODAY()-$J12)/($K12-$J12),1),"")))</f>
        <v/>
      </c>
      <c r="V12" s="53">
        <f>IF($A12="","",IF($U12="","",$L12-$U12))</f>
        <v/>
      </c>
      <c r="W12" s="54">
        <f>IF($A12="","",IF(OR($H12="Completado",$H12="Cancelado"),"—",IF($T12&lt;0,"Vencido",IF($T12&lt;=14,"Inminente",IF(IF($V12="",FALSE,$V12&lt;-0.15),"Desviado","En plazo")))))</f>
        <v/>
      </c>
      <c r="X12" s="52">
        <f>IF($A12="","",COUNTIF(KPIs!$B$2:$B$71,$A12))</f>
        <v/>
      </c>
      <c r="Y12" s="51">
        <f>IF($A12="","",IFERROR(AVERAGEIF(KPIs!$B$2:$B$71,$A12,KPIs!$N$2:$N$71),""))</f>
        <v/>
      </c>
      <c r="Z12" s="52">
        <f>IF($A12="","",COUNTIF(Hitos!$B$2:$B$81,$A12))</f>
        <v/>
      </c>
      <c r="AA12" s="52">
        <f>IF($A12="","",COUNTIFS(Hitos!$B$2:$B$81,$A12,Hitos!$F$2:$F$81,"Completado"))</f>
        <v/>
      </c>
      <c r="AB12" s="52">
        <f>IF($A12="","",SUMPRODUCT((Hitos!$B$2:$B$81=$A12)*(Hitos!$E$2:$E$81&lt;&gt;"")*(Hitos!$E$2:$E$81&lt;TODAY())*(Hitos!$F$2:$F$81&lt;&gt;"Completado")*(Hitos!$F$2:$F$81&lt;&gt;"Cancelado")))</f>
        <v/>
      </c>
    </row>
    <row r="13" ht="17" customHeight="1">
      <c r="A13" s="45" t="inlineStr">
        <is>
          <t>GRW-012</t>
        </is>
      </c>
      <c r="B13" s="46" t="inlineStr">
        <is>
          <t>Reporting Growth automatizado (Make + HubSpot)</t>
        </is>
      </c>
      <c r="C13" s="45" t="inlineStr">
        <is>
          <t>Growth</t>
        </is>
      </c>
      <c r="D13" s="45" t="inlineStr">
        <is>
          <t>Data &amp; Analytics</t>
        </is>
      </c>
      <c r="E13" s="45" t="inlineStr">
        <is>
          <t>Por asignar</t>
        </is>
      </c>
      <c r="F13" s="45" t="inlineStr">
        <is>
          <t>Proceso interno</t>
        </is>
      </c>
      <c r="G13" s="45" t="inlineStr">
        <is>
          <t>P1</t>
        </is>
      </c>
      <c r="H13" s="45" t="inlineStr">
        <is>
          <t>Backlog</t>
        </is>
      </c>
      <c r="I13" s="45" t="inlineStr">
        <is>
          <t>Discovery</t>
        </is>
      </c>
      <c r="J13" s="47" t="n">
        <v>46310</v>
      </c>
      <c r="K13" s="47" t="n">
        <v>46371</v>
      </c>
      <c r="L13" s="48" t="n">
        <v>0</v>
      </c>
      <c r="M13" s="45" t="inlineStr">
        <is>
          <t>Bajo</t>
        </is>
      </c>
      <c r="N13" s="49" t="n">
        <v>9000</v>
      </c>
      <c r="O13" s="49" t="n">
        <v>0</v>
      </c>
      <c r="P13" s="50" t="inlineStr">
        <is>
          <t>Eliminar el reporting manual semanal del equipo de Growth.</t>
        </is>
      </c>
      <c r="Q13" s="50" t="inlineStr">
        <is>
          <t>6 h/semana liberadas y dato único compartido con Dirección.</t>
        </is>
      </c>
      <c r="R13" s="50" t="inlineStr">
        <is>
          <t>Depende de GRW-007 para que la capa de datos sea fiable.</t>
        </is>
      </c>
      <c r="S13" s="51">
        <f>IF($A13="","",IFERROR($O13/$N13,""))</f>
        <v/>
      </c>
      <c r="T13" s="52">
        <f>IF($A13="","",IF(OR($H13="Completado",$H13="Cancelado"),"",$K13-TODAY()))</f>
        <v/>
      </c>
      <c r="U13" s="51">
        <f>IF($A13="","",IF(OR($H13="Completado",$H13="Cancelado"),"",IFERROR(MEDIAN(0,(TODAY()-$J13)/($K13-$J13),1),"")))</f>
        <v/>
      </c>
      <c r="V13" s="53">
        <f>IF($A13="","",IF($U13="","",$L13-$U13))</f>
        <v/>
      </c>
      <c r="W13" s="54">
        <f>IF($A13="","",IF(OR($H13="Completado",$H13="Cancelado"),"—",IF($T13&lt;0,"Vencido",IF($T13&lt;=14,"Inminente",IF(IF($V13="",FALSE,$V13&lt;-0.15),"Desviado","En plazo")))))</f>
        <v/>
      </c>
      <c r="X13" s="52">
        <f>IF($A13="","",COUNTIF(KPIs!$B$2:$B$71,$A13))</f>
        <v/>
      </c>
      <c r="Y13" s="51">
        <f>IF($A13="","",IFERROR(AVERAGEIF(KPIs!$B$2:$B$71,$A13,KPIs!$N$2:$N$71),""))</f>
        <v/>
      </c>
      <c r="Z13" s="52">
        <f>IF($A13="","",COUNTIF(Hitos!$B$2:$B$81,$A13))</f>
        <v/>
      </c>
      <c r="AA13" s="52">
        <f>IF($A13="","",COUNTIFS(Hitos!$B$2:$B$81,$A13,Hitos!$F$2:$F$81,"Completado"))</f>
        <v/>
      </c>
      <c r="AB13" s="52">
        <f>IF($A13="","",SUMPRODUCT((Hitos!$B$2:$B$81=$A13)*(Hitos!$E$2:$E$81&lt;&gt;"")*(Hitos!$E$2:$E$81&lt;TODAY())*(Hitos!$F$2:$F$81&lt;&gt;"Completado")*(Hitos!$F$2:$F$81&lt;&gt;"Cancelado")))</f>
        <v/>
      </c>
    </row>
    <row r="14" ht="17" customHeight="1">
      <c r="A14" s="45" t="n"/>
      <c r="B14" s="46" t="n"/>
      <c r="C14" s="45" t="n"/>
      <c r="D14" s="45" t="n"/>
      <c r="E14" s="45" t="n"/>
      <c r="F14" s="45" t="n"/>
      <c r="G14" s="45" t="n"/>
      <c r="H14" s="45" t="n"/>
      <c r="I14" s="45" t="n"/>
      <c r="J14" s="47" t="n"/>
      <c r="K14" s="47" t="n"/>
      <c r="L14" s="48" t="n"/>
      <c r="M14" s="45" t="n"/>
      <c r="N14" s="49" t="n"/>
      <c r="O14" s="49" t="n"/>
      <c r="P14" s="50" t="n"/>
      <c r="Q14" s="50" t="n"/>
      <c r="R14" s="50" t="n"/>
      <c r="S14" s="51">
        <f>IF($A14="","",IFERROR($O14/$N14,""))</f>
        <v/>
      </c>
      <c r="T14" s="52">
        <f>IF($A14="","",IF(OR($H14="Completado",$H14="Cancelado"),"",$K14-TODAY()))</f>
        <v/>
      </c>
      <c r="U14" s="51">
        <f>IF($A14="","",IF(OR($H14="Completado",$H14="Cancelado"),"",IFERROR(MEDIAN(0,(TODAY()-$J14)/($K14-$J14),1),"")))</f>
        <v/>
      </c>
      <c r="V14" s="53">
        <f>IF($A14="","",IF($U14="","",$L14-$U14))</f>
        <v/>
      </c>
      <c r="W14" s="54">
        <f>IF($A14="","",IF(OR($H14="Completado",$H14="Cancelado"),"—",IF($T14&lt;0,"Vencido",IF($T14&lt;=14,"Inminente",IF(IF($V14="",FALSE,$V14&lt;-0.15),"Desviado","En plazo")))))</f>
        <v/>
      </c>
      <c r="X14" s="52">
        <f>IF($A14="","",COUNTIF(KPIs!$B$2:$B$71,$A14))</f>
        <v/>
      </c>
      <c r="Y14" s="51">
        <f>IF($A14="","",IFERROR(AVERAGEIF(KPIs!$B$2:$B$71,$A14,KPIs!$N$2:$N$71),""))</f>
        <v/>
      </c>
      <c r="Z14" s="52">
        <f>IF($A14="","",COUNTIF(Hitos!$B$2:$B$81,$A14))</f>
        <v/>
      </c>
      <c r="AA14" s="52">
        <f>IF($A14="","",COUNTIFS(Hitos!$B$2:$B$81,$A14,Hitos!$F$2:$F$81,"Completado"))</f>
        <v/>
      </c>
      <c r="AB14" s="52">
        <f>IF($A14="","",SUMPRODUCT((Hitos!$B$2:$B$81=$A14)*(Hitos!$E$2:$E$81&lt;&gt;"")*(Hitos!$E$2:$E$81&lt;TODAY())*(Hitos!$F$2:$F$81&lt;&gt;"Completado")*(Hitos!$F$2:$F$81&lt;&gt;"Cancelado")))</f>
        <v/>
      </c>
    </row>
    <row r="15" ht="17" customHeight="1">
      <c r="A15" s="45" t="n"/>
      <c r="B15" s="46" t="n"/>
      <c r="C15" s="45" t="n"/>
      <c r="D15" s="45" t="n"/>
      <c r="E15" s="45" t="n"/>
      <c r="F15" s="45" t="n"/>
      <c r="G15" s="45" t="n"/>
      <c r="H15" s="45" t="n"/>
      <c r="I15" s="45" t="n"/>
      <c r="J15" s="47" t="n"/>
      <c r="K15" s="47" t="n"/>
      <c r="L15" s="48" t="n"/>
      <c r="M15" s="45" t="n"/>
      <c r="N15" s="49" t="n"/>
      <c r="O15" s="49" t="n"/>
      <c r="P15" s="50" t="n"/>
      <c r="Q15" s="50" t="n"/>
      <c r="R15" s="50" t="n"/>
      <c r="S15" s="51">
        <f>IF($A15="","",IFERROR($O15/$N15,""))</f>
        <v/>
      </c>
      <c r="T15" s="52">
        <f>IF($A15="","",IF(OR($H15="Completado",$H15="Cancelado"),"",$K15-TODAY()))</f>
        <v/>
      </c>
      <c r="U15" s="51">
        <f>IF($A15="","",IF(OR($H15="Completado",$H15="Cancelado"),"",IFERROR(MEDIAN(0,(TODAY()-$J15)/($K15-$J15),1),"")))</f>
        <v/>
      </c>
      <c r="V15" s="53">
        <f>IF($A15="","",IF($U15="","",$L15-$U15))</f>
        <v/>
      </c>
      <c r="W15" s="54">
        <f>IF($A15="","",IF(OR($H15="Completado",$H15="Cancelado"),"—",IF($T15&lt;0,"Vencido",IF($T15&lt;=14,"Inminente",IF(IF($V15="",FALSE,$V15&lt;-0.15),"Desviado","En plazo")))))</f>
        <v/>
      </c>
      <c r="X15" s="52">
        <f>IF($A15="","",COUNTIF(KPIs!$B$2:$B$71,$A15))</f>
        <v/>
      </c>
      <c r="Y15" s="51">
        <f>IF($A15="","",IFERROR(AVERAGEIF(KPIs!$B$2:$B$71,$A15,KPIs!$N$2:$N$71),""))</f>
        <v/>
      </c>
      <c r="Z15" s="52">
        <f>IF($A15="","",COUNTIF(Hitos!$B$2:$B$81,$A15))</f>
        <v/>
      </c>
      <c r="AA15" s="52">
        <f>IF($A15="","",COUNTIFS(Hitos!$B$2:$B$81,$A15,Hitos!$F$2:$F$81,"Completado"))</f>
        <v/>
      </c>
      <c r="AB15" s="52">
        <f>IF($A15="","",SUMPRODUCT((Hitos!$B$2:$B$81=$A15)*(Hitos!$E$2:$E$81&lt;&gt;"")*(Hitos!$E$2:$E$81&lt;TODAY())*(Hitos!$F$2:$F$81&lt;&gt;"Completado")*(Hitos!$F$2:$F$81&lt;&gt;"Cancelado")))</f>
        <v/>
      </c>
    </row>
    <row r="16" ht="17" customHeight="1">
      <c r="A16" s="45" t="n"/>
      <c r="B16" s="46" t="n"/>
      <c r="C16" s="45" t="n"/>
      <c r="D16" s="45" t="n"/>
      <c r="E16" s="45" t="n"/>
      <c r="F16" s="45" t="n"/>
      <c r="G16" s="45" t="n"/>
      <c r="H16" s="45" t="n"/>
      <c r="I16" s="45" t="n"/>
      <c r="J16" s="47" t="n"/>
      <c r="K16" s="47" t="n"/>
      <c r="L16" s="48" t="n"/>
      <c r="M16" s="45" t="n"/>
      <c r="N16" s="49" t="n"/>
      <c r="O16" s="49" t="n"/>
      <c r="P16" s="50" t="n"/>
      <c r="Q16" s="50" t="n"/>
      <c r="R16" s="50" t="n"/>
      <c r="S16" s="51">
        <f>IF($A16="","",IFERROR($O16/$N16,""))</f>
        <v/>
      </c>
      <c r="T16" s="52">
        <f>IF($A16="","",IF(OR($H16="Completado",$H16="Cancelado"),"",$K16-TODAY()))</f>
        <v/>
      </c>
      <c r="U16" s="51">
        <f>IF($A16="","",IF(OR($H16="Completado",$H16="Cancelado"),"",IFERROR(MEDIAN(0,(TODAY()-$J16)/($K16-$J16),1),"")))</f>
        <v/>
      </c>
      <c r="V16" s="53">
        <f>IF($A16="","",IF($U16="","",$L16-$U16))</f>
        <v/>
      </c>
      <c r="W16" s="54">
        <f>IF($A16="","",IF(OR($H16="Completado",$H16="Cancelado"),"—",IF($T16&lt;0,"Vencido",IF($T16&lt;=14,"Inminente",IF(IF($V16="",FALSE,$V16&lt;-0.15),"Desviado","En plazo")))))</f>
        <v/>
      </c>
      <c r="X16" s="52">
        <f>IF($A16="","",COUNTIF(KPIs!$B$2:$B$71,$A16))</f>
        <v/>
      </c>
      <c r="Y16" s="51">
        <f>IF($A16="","",IFERROR(AVERAGEIF(KPIs!$B$2:$B$71,$A16,KPIs!$N$2:$N$71),""))</f>
        <v/>
      </c>
      <c r="Z16" s="52">
        <f>IF($A16="","",COUNTIF(Hitos!$B$2:$B$81,$A16))</f>
        <v/>
      </c>
      <c r="AA16" s="52">
        <f>IF($A16="","",COUNTIFS(Hitos!$B$2:$B$81,$A16,Hitos!$F$2:$F$81,"Completado"))</f>
        <v/>
      </c>
      <c r="AB16" s="52">
        <f>IF($A16="","",SUMPRODUCT((Hitos!$B$2:$B$81=$A16)*(Hitos!$E$2:$E$81&lt;&gt;"")*(Hitos!$E$2:$E$81&lt;TODAY())*(Hitos!$F$2:$F$81&lt;&gt;"Completado")*(Hitos!$F$2:$F$81&lt;&gt;"Cancelado")))</f>
        <v/>
      </c>
    </row>
    <row r="17" ht="17" customHeight="1">
      <c r="A17" s="45" t="n"/>
      <c r="B17" s="46" t="n"/>
      <c r="C17" s="45" t="n"/>
      <c r="D17" s="45" t="n"/>
      <c r="E17" s="45" t="n"/>
      <c r="F17" s="45" t="n"/>
      <c r="G17" s="45" t="n"/>
      <c r="H17" s="45" t="n"/>
      <c r="I17" s="45" t="n"/>
      <c r="J17" s="47" t="n"/>
      <c r="K17" s="47" t="n"/>
      <c r="L17" s="48" t="n"/>
      <c r="M17" s="45" t="n"/>
      <c r="N17" s="49" t="n"/>
      <c r="O17" s="49" t="n"/>
      <c r="P17" s="50" t="n"/>
      <c r="Q17" s="50" t="n"/>
      <c r="R17" s="50" t="n"/>
      <c r="S17" s="51">
        <f>IF($A17="","",IFERROR($O17/$N17,""))</f>
        <v/>
      </c>
      <c r="T17" s="52">
        <f>IF($A17="","",IF(OR($H17="Completado",$H17="Cancelado"),"",$K17-TODAY()))</f>
        <v/>
      </c>
      <c r="U17" s="51">
        <f>IF($A17="","",IF(OR($H17="Completado",$H17="Cancelado"),"",IFERROR(MEDIAN(0,(TODAY()-$J17)/($K17-$J17),1),"")))</f>
        <v/>
      </c>
      <c r="V17" s="53">
        <f>IF($A17="","",IF($U17="","",$L17-$U17))</f>
        <v/>
      </c>
      <c r="W17" s="54">
        <f>IF($A17="","",IF(OR($H17="Completado",$H17="Cancelado"),"—",IF($T17&lt;0,"Vencido",IF($T17&lt;=14,"Inminente",IF(IF($V17="",FALSE,$V17&lt;-0.15),"Desviado","En plazo")))))</f>
        <v/>
      </c>
      <c r="X17" s="52">
        <f>IF($A17="","",COUNTIF(KPIs!$B$2:$B$71,$A17))</f>
        <v/>
      </c>
      <c r="Y17" s="51">
        <f>IF($A17="","",IFERROR(AVERAGEIF(KPIs!$B$2:$B$71,$A17,KPIs!$N$2:$N$71),""))</f>
        <v/>
      </c>
      <c r="Z17" s="52">
        <f>IF($A17="","",COUNTIF(Hitos!$B$2:$B$81,$A17))</f>
        <v/>
      </c>
      <c r="AA17" s="52">
        <f>IF($A17="","",COUNTIFS(Hitos!$B$2:$B$81,$A17,Hitos!$F$2:$F$81,"Completado"))</f>
        <v/>
      </c>
      <c r="AB17" s="52">
        <f>IF($A17="","",SUMPRODUCT((Hitos!$B$2:$B$81=$A17)*(Hitos!$E$2:$E$81&lt;&gt;"")*(Hitos!$E$2:$E$81&lt;TODAY())*(Hitos!$F$2:$F$81&lt;&gt;"Completado")*(Hitos!$F$2:$F$81&lt;&gt;"Cancelado")))</f>
        <v/>
      </c>
    </row>
    <row r="18" ht="17" customHeight="1">
      <c r="A18" s="45" t="n"/>
      <c r="B18" s="46" t="n"/>
      <c r="C18" s="45" t="n"/>
      <c r="D18" s="45" t="n"/>
      <c r="E18" s="45" t="n"/>
      <c r="F18" s="45" t="n"/>
      <c r="G18" s="45" t="n"/>
      <c r="H18" s="45" t="n"/>
      <c r="I18" s="45" t="n"/>
      <c r="J18" s="47" t="n"/>
      <c r="K18" s="47" t="n"/>
      <c r="L18" s="48" t="n"/>
      <c r="M18" s="45" t="n"/>
      <c r="N18" s="49" t="n"/>
      <c r="O18" s="49" t="n"/>
      <c r="P18" s="50" t="n"/>
      <c r="Q18" s="50" t="n"/>
      <c r="R18" s="50" t="n"/>
      <c r="S18" s="51">
        <f>IF($A18="","",IFERROR($O18/$N18,""))</f>
        <v/>
      </c>
      <c r="T18" s="52">
        <f>IF($A18="","",IF(OR($H18="Completado",$H18="Cancelado"),"",$K18-TODAY()))</f>
        <v/>
      </c>
      <c r="U18" s="51">
        <f>IF($A18="","",IF(OR($H18="Completado",$H18="Cancelado"),"",IFERROR(MEDIAN(0,(TODAY()-$J18)/($K18-$J18),1),"")))</f>
        <v/>
      </c>
      <c r="V18" s="53">
        <f>IF($A18="","",IF($U18="","",$L18-$U18))</f>
        <v/>
      </c>
      <c r="W18" s="54">
        <f>IF($A18="","",IF(OR($H18="Completado",$H18="Cancelado"),"—",IF($T18&lt;0,"Vencido",IF($T18&lt;=14,"Inminente",IF(IF($V18="",FALSE,$V18&lt;-0.15),"Desviado","En plazo")))))</f>
        <v/>
      </c>
      <c r="X18" s="52">
        <f>IF($A18="","",COUNTIF(KPIs!$B$2:$B$71,$A18))</f>
        <v/>
      </c>
      <c r="Y18" s="51">
        <f>IF($A18="","",IFERROR(AVERAGEIF(KPIs!$B$2:$B$71,$A18,KPIs!$N$2:$N$71),""))</f>
        <v/>
      </c>
      <c r="Z18" s="52">
        <f>IF($A18="","",COUNTIF(Hitos!$B$2:$B$81,$A18))</f>
        <v/>
      </c>
      <c r="AA18" s="52">
        <f>IF($A18="","",COUNTIFS(Hitos!$B$2:$B$81,$A18,Hitos!$F$2:$F$81,"Completado"))</f>
        <v/>
      </c>
      <c r="AB18" s="52">
        <f>IF($A18="","",SUMPRODUCT((Hitos!$B$2:$B$81=$A18)*(Hitos!$E$2:$E$81&lt;&gt;"")*(Hitos!$E$2:$E$81&lt;TODAY())*(Hitos!$F$2:$F$81&lt;&gt;"Completado")*(Hitos!$F$2:$F$81&lt;&gt;"Cancelado")))</f>
        <v/>
      </c>
    </row>
    <row r="19" ht="17" customHeight="1">
      <c r="A19" s="45" t="n"/>
      <c r="B19" s="46" t="n"/>
      <c r="C19" s="45" t="n"/>
      <c r="D19" s="45" t="n"/>
      <c r="E19" s="45" t="n"/>
      <c r="F19" s="45" t="n"/>
      <c r="G19" s="45" t="n"/>
      <c r="H19" s="45" t="n"/>
      <c r="I19" s="45" t="n"/>
      <c r="J19" s="47" t="n"/>
      <c r="K19" s="47" t="n"/>
      <c r="L19" s="48" t="n"/>
      <c r="M19" s="45" t="n"/>
      <c r="N19" s="49" t="n"/>
      <c r="O19" s="49" t="n"/>
      <c r="P19" s="50" t="n"/>
      <c r="Q19" s="50" t="n"/>
      <c r="R19" s="50" t="n"/>
      <c r="S19" s="51">
        <f>IF($A19="","",IFERROR($O19/$N19,""))</f>
        <v/>
      </c>
      <c r="T19" s="52">
        <f>IF($A19="","",IF(OR($H19="Completado",$H19="Cancelado"),"",$K19-TODAY()))</f>
        <v/>
      </c>
      <c r="U19" s="51">
        <f>IF($A19="","",IF(OR($H19="Completado",$H19="Cancelado"),"",IFERROR(MEDIAN(0,(TODAY()-$J19)/($K19-$J19),1),"")))</f>
        <v/>
      </c>
      <c r="V19" s="53">
        <f>IF($A19="","",IF($U19="","",$L19-$U19))</f>
        <v/>
      </c>
      <c r="W19" s="54">
        <f>IF($A19="","",IF(OR($H19="Completado",$H19="Cancelado"),"—",IF($T19&lt;0,"Vencido",IF($T19&lt;=14,"Inminente",IF(IF($V19="",FALSE,$V19&lt;-0.15),"Desviado","En plazo")))))</f>
        <v/>
      </c>
      <c r="X19" s="52">
        <f>IF($A19="","",COUNTIF(KPIs!$B$2:$B$71,$A19))</f>
        <v/>
      </c>
      <c r="Y19" s="51">
        <f>IF($A19="","",IFERROR(AVERAGEIF(KPIs!$B$2:$B$71,$A19,KPIs!$N$2:$N$71),""))</f>
        <v/>
      </c>
      <c r="Z19" s="52">
        <f>IF($A19="","",COUNTIF(Hitos!$B$2:$B$81,$A19))</f>
        <v/>
      </c>
      <c r="AA19" s="52">
        <f>IF($A19="","",COUNTIFS(Hitos!$B$2:$B$81,$A19,Hitos!$F$2:$F$81,"Completado"))</f>
        <v/>
      </c>
      <c r="AB19" s="52">
        <f>IF($A19="","",SUMPRODUCT((Hitos!$B$2:$B$81=$A19)*(Hitos!$E$2:$E$81&lt;&gt;"")*(Hitos!$E$2:$E$81&lt;TODAY())*(Hitos!$F$2:$F$81&lt;&gt;"Completado")*(Hitos!$F$2:$F$81&lt;&gt;"Cancelado")))</f>
        <v/>
      </c>
    </row>
    <row r="20" ht="17" customHeight="1">
      <c r="A20" s="45" t="n"/>
      <c r="B20" s="46" t="n"/>
      <c r="C20" s="45" t="n"/>
      <c r="D20" s="45" t="n"/>
      <c r="E20" s="45" t="n"/>
      <c r="F20" s="45" t="n"/>
      <c r="G20" s="45" t="n"/>
      <c r="H20" s="45" t="n"/>
      <c r="I20" s="45" t="n"/>
      <c r="J20" s="47" t="n"/>
      <c r="K20" s="47" t="n"/>
      <c r="L20" s="48" t="n"/>
      <c r="M20" s="45" t="n"/>
      <c r="N20" s="49" t="n"/>
      <c r="O20" s="49" t="n"/>
      <c r="P20" s="50" t="n"/>
      <c r="Q20" s="50" t="n"/>
      <c r="R20" s="50" t="n"/>
      <c r="S20" s="51">
        <f>IF($A20="","",IFERROR($O20/$N20,""))</f>
        <v/>
      </c>
      <c r="T20" s="52">
        <f>IF($A20="","",IF(OR($H20="Completado",$H20="Cancelado"),"",$K20-TODAY()))</f>
        <v/>
      </c>
      <c r="U20" s="51">
        <f>IF($A20="","",IF(OR($H20="Completado",$H20="Cancelado"),"",IFERROR(MEDIAN(0,(TODAY()-$J20)/($K20-$J20),1),"")))</f>
        <v/>
      </c>
      <c r="V20" s="53">
        <f>IF($A20="","",IF($U20="","",$L20-$U20))</f>
        <v/>
      </c>
      <c r="W20" s="54">
        <f>IF($A20="","",IF(OR($H20="Completado",$H20="Cancelado"),"—",IF($T20&lt;0,"Vencido",IF($T20&lt;=14,"Inminente",IF(IF($V20="",FALSE,$V20&lt;-0.15),"Desviado","En plazo")))))</f>
        <v/>
      </c>
      <c r="X20" s="52">
        <f>IF($A20="","",COUNTIF(KPIs!$B$2:$B$71,$A20))</f>
        <v/>
      </c>
      <c r="Y20" s="51">
        <f>IF($A20="","",IFERROR(AVERAGEIF(KPIs!$B$2:$B$71,$A20,KPIs!$N$2:$N$71),""))</f>
        <v/>
      </c>
      <c r="Z20" s="52">
        <f>IF($A20="","",COUNTIF(Hitos!$B$2:$B$81,$A20))</f>
        <v/>
      </c>
      <c r="AA20" s="52">
        <f>IF($A20="","",COUNTIFS(Hitos!$B$2:$B$81,$A20,Hitos!$F$2:$F$81,"Completado"))</f>
        <v/>
      </c>
      <c r="AB20" s="52">
        <f>IF($A20="","",SUMPRODUCT((Hitos!$B$2:$B$81=$A20)*(Hitos!$E$2:$E$81&lt;&gt;"")*(Hitos!$E$2:$E$81&lt;TODAY())*(Hitos!$F$2:$F$81&lt;&gt;"Completado")*(Hitos!$F$2:$F$81&lt;&gt;"Cancelado")))</f>
        <v/>
      </c>
    </row>
    <row r="21" ht="17" customHeight="1">
      <c r="A21" s="45" t="n"/>
      <c r="B21" s="46" t="n"/>
      <c r="C21" s="45" t="n"/>
      <c r="D21" s="45" t="n"/>
      <c r="E21" s="45" t="n"/>
      <c r="F21" s="45" t="n"/>
      <c r="G21" s="45" t="n"/>
      <c r="H21" s="45" t="n"/>
      <c r="I21" s="45" t="n"/>
      <c r="J21" s="47" t="n"/>
      <c r="K21" s="47" t="n"/>
      <c r="L21" s="48" t="n"/>
      <c r="M21" s="45" t="n"/>
      <c r="N21" s="49" t="n"/>
      <c r="O21" s="49" t="n"/>
      <c r="P21" s="50" t="n"/>
      <c r="Q21" s="50" t="n"/>
      <c r="R21" s="50" t="n"/>
      <c r="S21" s="51">
        <f>IF($A21="","",IFERROR($O21/$N21,""))</f>
        <v/>
      </c>
      <c r="T21" s="52">
        <f>IF($A21="","",IF(OR($H21="Completado",$H21="Cancelado"),"",$K21-TODAY()))</f>
        <v/>
      </c>
      <c r="U21" s="51">
        <f>IF($A21="","",IF(OR($H21="Completado",$H21="Cancelado"),"",IFERROR(MEDIAN(0,(TODAY()-$J21)/($K21-$J21),1),"")))</f>
        <v/>
      </c>
      <c r="V21" s="53">
        <f>IF($A21="","",IF($U21="","",$L21-$U21))</f>
        <v/>
      </c>
      <c r="W21" s="54">
        <f>IF($A21="","",IF(OR($H21="Completado",$H21="Cancelado"),"—",IF($T21&lt;0,"Vencido",IF($T21&lt;=14,"Inminente",IF(IF($V21="",FALSE,$V21&lt;-0.15),"Desviado","En plazo")))))</f>
        <v/>
      </c>
      <c r="X21" s="52">
        <f>IF($A21="","",COUNTIF(KPIs!$B$2:$B$71,$A21))</f>
        <v/>
      </c>
      <c r="Y21" s="51">
        <f>IF($A21="","",IFERROR(AVERAGEIF(KPIs!$B$2:$B$71,$A21,KPIs!$N$2:$N$71),""))</f>
        <v/>
      </c>
      <c r="Z21" s="52">
        <f>IF($A21="","",COUNTIF(Hitos!$B$2:$B$81,$A21))</f>
        <v/>
      </c>
      <c r="AA21" s="52">
        <f>IF($A21="","",COUNTIFS(Hitos!$B$2:$B$81,$A21,Hitos!$F$2:$F$81,"Completado"))</f>
        <v/>
      </c>
      <c r="AB21" s="52">
        <f>IF($A21="","",SUMPRODUCT((Hitos!$B$2:$B$81=$A21)*(Hitos!$E$2:$E$81&lt;&gt;"")*(Hitos!$E$2:$E$81&lt;TODAY())*(Hitos!$F$2:$F$81&lt;&gt;"Completado")*(Hitos!$F$2:$F$81&lt;&gt;"Cancelado")))</f>
        <v/>
      </c>
    </row>
    <row r="22" ht="17" customHeight="1">
      <c r="A22" s="45" t="n"/>
      <c r="B22" s="46" t="n"/>
      <c r="C22" s="45" t="n"/>
      <c r="D22" s="45" t="n"/>
      <c r="E22" s="45" t="n"/>
      <c r="F22" s="45" t="n"/>
      <c r="G22" s="45" t="n"/>
      <c r="H22" s="45" t="n"/>
      <c r="I22" s="45" t="n"/>
      <c r="J22" s="47" t="n"/>
      <c r="K22" s="47" t="n"/>
      <c r="L22" s="48" t="n"/>
      <c r="M22" s="45" t="n"/>
      <c r="N22" s="49" t="n"/>
      <c r="O22" s="49" t="n"/>
      <c r="P22" s="50" t="n"/>
      <c r="Q22" s="50" t="n"/>
      <c r="R22" s="50" t="n"/>
      <c r="S22" s="51">
        <f>IF($A22="","",IFERROR($O22/$N22,""))</f>
        <v/>
      </c>
      <c r="T22" s="52">
        <f>IF($A22="","",IF(OR($H22="Completado",$H22="Cancelado"),"",$K22-TODAY()))</f>
        <v/>
      </c>
      <c r="U22" s="51">
        <f>IF($A22="","",IF(OR($H22="Completado",$H22="Cancelado"),"",IFERROR(MEDIAN(0,(TODAY()-$J22)/($K22-$J22),1),"")))</f>
        <v/>
      </c>
      <c r="V22" s="53">
        <f>IF($A22="","",IF($U22="","",$L22-$U22))</f>
        <v/>
      </c>
      <c r="W22" s="54">
        <f>IF($A22="","",IF(OR($H22="Completado",$H22="Cancelado"),"—",IF($T22&lt;0,"Vencido",IF($T22&lt;=14,"Inminente",IF(IF($V22="",FALSE,$V22&lt;-0.15),"Desviado","En plazo")))))</f>
        <v/>
      </c>
      <c r="X22" s="52">
        <f>IF($A22="","",COUNTIF(KPIs!$B$2:$B$71,$A22))</f>
        <v/>
      </c>
      <c r="Y22" s="51">
        <f>IF($A22="","",IFERROR(AVERAGEIF(KPIs!$B$2:$B$71,$A22,KPIs!$N$2:$N$71),""))</f>
        <v/>
      </c>
      <c r="Z22" s="52">
        <f>IF($A22="","",COUNTIF(Hitos!$B$2:$B$81,$A22))</f>
        <v/>
      </c>
      <c r="AA22" s="52">
        <f>IF($A22="","",COUNTIFS(Hitos!$B$2:$B$81,$A22,Hitos!$F$2:$F$81,"Completado"))</f>
        <v/>
      </c>
      <c r="AB22" s="52">
        <f>IF($A22="","",SUMPRODUCT((Hitos!$B$2:$B$81=$A22)*(Hitos!$E$2:$E$81&lt;&gt;"")*(Hitos!$E$2:$E$81&lt;TODAY())*(Hitos!$F$2:$F$81&lt;&gt;"Completado")*(Hitos!$F$2:$F$81&lt;&gt;"Cancelado")))</f>
        <v/>
      </c>
    </row>
    <row r="23" ht="17" customHeight="1">
      <c r="A23" s="45" t="n"/>
      <c r="B23" s="46" t="n"/>
      <c r="C23" s="45" t="n"/>
      <c r="D23" s="45" t="n"/>
      <c r="E23" s="45" t="n"/>
      <c r="F23" s="45" t="n"/>
      <c r="G23" s="45" t="n"/>
      <c r="H23" s="45" t="n"/>
      <c r="I23" s="45" t="n"/>
      <c r="J23" s="47" t="n"/>
      <c r="K23" s="47" t="n"/>
      <c r="L23" s="48" t="n"/>
      <c r="M23" s="45" t="n"/>
      <c r="N23" s="49" t="n"/>
      <c r="O23" s="49" t="n"/>
      <c r="P23" s="50" t="n"/>
      <c r="Q23" s="50" t="n"/>
      <c r="R23" s="50" t="n"/>
      <c r="S23" s="51">
        <f>IF($A23="","",IFERROR($O23/$N23,""))</f>
        <v/>
      </c>
      <c r="T23" s="52">
        <f>IF($A23="","",IF(OR($H23="Completado",$H23="Cancelado"),"",$K23-TODAY()))</f>
        <v/>
      </c>
      <c r="U23" s="51">
        <f>IF($A23="","",IF(OR($H23="Completado",$H23="Cancelado"),"",IFERROR(MEDIAN(0,(TODAY()-$J23)/($K23-$J23),1),"")))</f>
        <v/>
      </c>
      <c r="V23" s="53">
        <f>IF($A23="","",IF($U23="","",$L23-$U23))</f>
        <v/>
      </c>
      <c r="W23" s="54">
        <f>IF($A23="","",IF(OR($H23="Completado",$H23="Cancelado"),"—",IF($T23&lt;0,"Vencido",IF($T23&lt;=14,"Inminente",IF(IF($V23="",FALSE,$V23&lt;-0.15),"Desviado","En plazo")))))</f>
        <v/>
      </c>
      <c r="X23" s="52">
        <f>IF($A23="","",COUNTIF(KPIs!$B$2:$B$71,$A23))</f>
        <v/>
      </c>
      <c r="Y23" s="51">
        <f>IF($A23="","",IFERROR(AVERAGEIF(KPIs!$B$2:$B$71,$A23,KPIs!$N$2:$N$71),""))</f>
        <v/>
      </c>
      <c r="Z23" s="52">
        <f>IF($A23="","",COUNTIF(Hitos!$B$2:$B$81,$A23))</f>
        <v/>
      </c>
      <c r="AA23" s="52">
        <f>IF($A23="","",COUNTIFS(Hitos!$B$2:$B$81,$A23,Hitos!$F$2:$F$81,"Completado"))</f>
        <v/>
      </c>
      <c r="AB23" s="52">
        <f>IF($A23="","",SUMPRODUCT((Hitos!$B$2:$B$81=$A23)*(Hitos!$E$2:$E$81&lt;&gt;"")*(Hitos!$E$2:$E$81&lt;TODAY())*(Hitos!$F$2:$F$81&lt;&gt;"Completado")*(Hitos!$F$2:$F$81&lt;&gt;"Cancelado")))</f>
        <v/>
      </c>
    </row>
    <row r="24" ht="17" customHeight="1">
      <c r="A24" s="45" t="n"/>
      <c r="B24" s="46" t="n"/>
      <c r="C24" s="45" t="n"/>
      <c r="D24" s="45" t="n"/>
      <c r="E24" s="45" t="n"/>
      <c r="F24" s="45" t="n"/>
      <c r="G24" s="45" t="n"/>
      <c r="H24" s="45" t="n"/>
      <c r="I24" s="45" t="n"/>
      <c r="J24" s="47" t="n"/>
      <c r="K24" s="47" t="n"/>
      <c r="L24" s="48" t="n"/>
      <c r="M24" s="45" t="n"/>
      <c r="N24" s="49" t="n"/>
      <c r="O24" s="49" t="n"/>
      <c r="P24" s="50" t="n"/>
      <c r="Q24" s="50" t="n"/>
      <c r="R24" s="50" t="n"/>
      <c r="S24" s="51">
        <f>IF($A24="","",IFERROR($O24/$N24,""))</f>
        <v/>
      </c>
      <c r="T24" s="52">
        <f>IF($A24="","",IF(OR($H24="Completado",$H24="Cancelado"),"",$K24-TODAY()))</f>
        <v/>
      </c>
      <c r="U24" s="51">
        <f>IF($A24="","",IF(OR($H24="Completado",$H24="Cancelado"),"",IFERROR(MEDIAN(0,(TODAY()-$J24)/($K24-$J24),1),"")))</f>
        <v/>
      </c>
      <c r="V24" s="53">
        <f>IF($A24="","",IF($U24="","",$L24-$U24))</f>
        <v/>
      </c>
      <c r="W24" s="54">
        <f>IF($A24="","",IF(OR($H24="Completado",$H24="Cancelado"),"—",IF($T24&lt;0,"Vencido",IF($T24&lt;=14,"Inminente",IF(IF($V24="",FALSE,$V24&lt;-0.15),"Desviado","En plazo")))))</f>
        <v/>
      </c>
      <c r="X24" s="52">
        <f>IF($A24="","",COUNTIF(KPIs!$B$2:$B$71,$A24))</f>
        <v/>
      </c>
      <c r="Y24" s="51">
        <f>IF($A24="","",IFERROR(AVERAGEIF(KPIs!$B$2:$B$71,$A24,KPIs!$N$2:$N$71),""))</f>
        <v/>
      </c>
      <c r="Z24" s="52">
        <f>IF($A24="","",COUNTIF(Hitos!$B$2:$B$81,$A24))</f>
        <v/>
      </c>
      <c r="AA24" s="52">
        <f>IF($A24="","",COUNTIFS(Hitos!$B$2:$B$81,$A24,Hitos!$F$2:$F$81,"Completado"))</f>
        <v/>
      </c>
      <c r="AB24" s="52">
        <f>IF($A24="","",SUMPRODUCT((Hitos!$B$2:$B$81=$A24)*(Hitos!$E$2:$E$81&lt;&gt;"")*(Hitos!$E$2:$E$81&lt;TODAY())*(Hitos!$F$2:$F$81&lt;&gt;"Completado")*(Hitos!$F$2:$F$81&lt;&gt;"Cancelado")))</f>
        <v/>
      </c>
    </row>
    <row r="25" ht="17" customHeight="1">
      <c r="A25" s="45" t="n"/>
      <c r="B25" s="46" t="n"/>
      <c r="C25" s="45" t="n"/>
      <c r="D25" s="45" t="n"/>
      <c r="E25" s="45" t="n"/>
      <c r="F25" s="45" t="n"/>
      <c r="G25" s="45" t="n"/>
      <c r="H25" s="45" t="n"/>
      <c r="I25" s="45" t="n"/>
      <c r="J25" s="47" t="n"/>
      <c r="K25" s="47" t="n"/>
      <c r="L25" s="48" t="n"/>
      <c r="M25" s="45" t="n"/>
      <c r="N25" s="49" t="n"/>
      <c r="O25" s="49" t="n"/>
      <c r="P25" s="50" t="n"/>
      <c r="Q25" s="50" t="n"/>
      <c r="R25" s="50" t="n"/>
      <c r="S25" s="51">
        <f>IF($A25="","",IFERROR($O25/$N25,""))</f>
        <v/>
      </c>
      <c r="T25" s="52">
        <f>IF($A25="","",IF(OR($H25="Completado",$H25="Cancelado"),"",$K25-TODAY()))</f>
        <v/>
      </c>
      <c r="U25" s="51">
        <f>IF($A25="","",IF(OR($H25="Completado",$H25="Cancelado"),"",IFERROR(MEDIAN(0,(TODAY()-$J25)/($K25-$J25),1),"")))</f>
        <v/>
      </c>
      <c r="V25" s="53">
        <f>IF($A25="","",IF($U25="","",$L25-$U25))</f>
        <v/>
      </c>
      <c r="W25" s="54">
        <f>IF($A25="","",IF(OR($H25="Completado",$H25="Cancelado"),"—",IF($T25&lt;0,"Vencido",IF($T25&lt;=14,"Inminente",IF(IF($V25="",FALSE,$V25&lt;-0.15),"Desviado","En plazo")))))</f>
        <v/>
      </c>
      <c r="X25" s="52">
        <f>IF($A25="","",COUNTIF(KPIs!$B$2:$B$71,$A25))</f>
        <v/>
      </c>
      <c r="Y25" s="51">
        <f>IF($A25="","",IFERROR(AVERAGEIF(KPIs!$B$2:$B$71,$A25,KPIs!$N$2:$N$71),""))</f>
        <v/>
      </c>
      <c r="Z25" s="52">
        <f>IF($A25="","",COUNTIF(Hitos!$B$2:$B$81,$A25))</f>
        <v/>
      </c>
      <c r="AA25" s="52">
        <f>IF($A25="","",COUNTIFS(Hitos!$B$2:$B$81,$A25,Hitos!$F$2:$F$81,"Completado"))</f>
        <v/>
      </c>
      <c r="AB25" s="52">
        <f>IF($A25="","",SUMPRODUCT((Hitos!$B$2:$B$81=$A25)*(Hitos!$E$2:$E$81&lt;&gt;"")*(Hitos!$E$2:$E$81&lt;TODAY())*(Hitos!$F$2:$F$81&lt;&gt;"Completado")*(Hitos!$F$2:$F$81&lt;&gt;"Cancelado")))</f>
        <v/>
      </c>
    </row>
    <row r="26" ht="17" customHeight="1">
      <c r="A26" s="45" t="n"/>
      <c r="B26" s="46" t="n"/>
      <c r="C26" s="45" t="n"/>
      <c r="D26" s="45" t="n"/>
      <c r="E26" s="45" t="n"/>
      <c r="F26" s="45" t="n"/>
      <c r="G26" s="45" t="n"/>
      <c r="H26" s="45" t="n"/>
      <c r="I26" s="45" t="n"/>
      <c r="J26" s="47" t="n"/>
      <c r="K26" s="47" t="n"/>
      <c r="L26" s="48" t="n"/>
      <c r="M26" s="45" t="n"/>
      <c r="N26" s="49" t="n"/>
      <c r="O26" s="49" t="n"/>
      <c r="P26" s="50" t="n"/>
      <c r="Q26" s="50" t="n"/>
      <c r="R26" s="50" t="n"/>
      <c r="S26" s="51">
        <f>IF($A26="","",IFERROR($O26/$N26,""))</f>
        <v/>
      </c>
      <c r="T26" s="52">
        <f>IF($A26="","",IF(OR($H26="Completado",$H26="Cancelado"),"",$K26-TODAY()))</f>
        <v/>
      </c>
      <c r="U26" s="51">
        <f>IF($A26="","",IF(OR($H26="Completado",$H26="Cancelado"),"",IFERROR(MEDIAN(0,(TODAY()-$J26)/($K26-$J26),1),"")))</f>
        <v/>
      </c>
      <c r="V26" s="53">
        <f>IF($A26="","",IF($U26="","",$L26-$U26))</f>
        <v/>
      </c>
      <c r="W26" s="54">
        <f>IF($A26="","",IF(OR($H26="Completado",$H26="Cancelado"),"—",IF($T26&lt;0,"Vencido",IF($T26&lt;=14,"Inminente",IF(IF($V26="",FALSE,$V26&lt;-0.15),"Desviado","En plazo")))))</f>
        <v/>
      </c>
      <c r="X26" s="52">
        <f>IF($A26="","",COUNTIF(KPIs!$B$2:$B$71,$A26))</f>
        <v/>
      </c>
      <c r="Y26" s="51">
        <f>IF($A26="","",IFERROR(AVERAGEIF(KPIs!$B$2:$B$71,$A26,KPIs!$N$2:$N$71),""))</f>
        <v/>
      </c>
      <c r="Z26" s="52">
        <f>IF($A26="","",COUNTIF(Hitos!$B$2:$B$81,$A26))</f>
        <v/>
      </c>
      <c r="AA26" s="52">
        <f>IF($A26="","",COUNTIFS(Hitos!$B$2:$B$81,$A26,Hitos!$F$2:$F$81,"Completado"))</f>
        <v/>
      </c>
      <c r="AB26" s="52">
        <f>IF($A26="","",SUMPRODUCT((Hitos!$B$2:$B$81=$A26)*(Hitos!$E$2:$E$81&lt;&gt;"")*(Hitos!$E$2:$E$81&lt;TODAY())*(Hitos!$F$2:$F$81&lt;&gt;"Completado")*(Hitos!$F$2:$F$81&lt;&gt;"Cancelado")))</f>
        <v/>
      </c>
    </row>
    <row r="27" ht="17" customHeight="1">
      <c r="A27" s="45" t="n"/>
      <c r="B27" s="46" t="n"/>
      <c r="C27" s="45" t="n"/>
      <c r="D27" s="45" t="n"/>
      <c r="E27" s="45" t="n"/>
      <c r="F27" s="45" t="n"/>
      <c r="G27" s="45" t="n"/>
      <c r="H27" s="45" t="n"/>
      <c r="I27" s="45" t="n"/>
      <c r="J27" s="47" t="n"/>
      <c r="K27" s="47" t="n"/>
      <c r="L27" s="48" t="n"/>
      <c r="M27" s="45" t="n"/>
      <c r="N27" s="49" t="n"/>
      <c r="O27" s="49" t="n"/>
      <c r="P27" s="50" t="n"/>
      <c r="Q27" s="50" t="n"/>
      <c r="R27" s="50" t="n"/>
      <c r="S27" s="51">
        <f>IF($A27="","",IFERROR($O27/$N27,""))</f>
        <v/>
      </c>
      <c r="T27" s="52">
        <f>IF($A27="","",IF(OR($H27="Completado",$H27="Cancelado"),"",$K27-TODAY()))</f>
        <v/>
      </c>
      <c r="U27" s="51">
        <f>IF($A27="","",IF(OR($H27="Completado",$H27="Cancelado"),"",IFERROR(MEDIAN(0,(TODAY()-$J27)/($K27-$J27),1),"")))</f>
        <v/>
      </c>
      <c r="V27" s="53">
        <f>IF($A27="","",IF($U27="","",$L27-$U27))</f>
        <v/>
      </c>
      <c r="W27" s="54">
        <f>IF($A27="","",IF(OR($H27="Completado",$H27="Cancelado"),"—",IF($T27&lt;0,"Vencido",IF($T27&lt;=14,"Inminente",IF(IF($V27="",FALSE,$V27&lt;-0.15),"Desviado","En plazo")))))</f>
        <v/>
      </c>
      <c r="X27" s="52">
        <f>IF($A27="","",COUNTIF(KPIs!$B$2:$B$71,$A27))</f>
        <v/>
      </c>
      <c r="Y27" s="51">
        <f>IF($A27="","",IFERROR(AVERAGEIF(KPIs!$B$2:$B$71,$A27,KPIs!$N$2:$N$71),""))</f>
        <v/>
      </c>
      <c r="Z27" s="52">
        <f>IF($A27="","",COUNTIF(Hitos!$B$2:$B$81,$A27))</f>
        <v/>
      </c>
      <c r="AA27" s="52">
        <f>IF($A27="","",COUNTIFS(Hitos!$B$2:$B$81,$A27,Hitos!$F$2:$F$81,"Completado"))</f>
        <v/>
      </c>
      <c r="AB27" s="52">
        <f>IF($A27="","",SUMPRODUCT((Hitos!$B$2:$B$81=$A27)*(Hitos!$E$2:$E$81&lt;&gt;"")*(Hitos!$E$2:$E$81&lt;TODAY())*(Hitos!$F$2:$F$81&lt;&gt;"Completado")*(Hitos!$F$2:$F$81&lt;&gt;"Cancelado")))</f>
        <v/>
      </c>
    </row>
    <row r="28" ht="17" customHeight="1">
      <c r="A28" s="45" t="n"/>
      <c r="B28" s="46" t="n"/>
      <c r="C28" s="45" t="n"/>
      <c r="D28" s="45" t="n"/>
      <c r="E28" s="45" t="n"/>
      <c r="F28" s="45" t="n"/>
      <c r="G28" s="45" t="n"/>
      <c r="H28" s="45" t="n"/>
      <c r="I28" s="45" t="n"/>
      <c r="J28" s="47" t="n"/>
      <c r="K28" s="47" t="n"/>
      <c r="L28" s="48" t="n"/>
      <c r="M28" s="45" t="n"/>
      <c r="N28" s="49" t="n"/>
      <c r="O28" s="49" t="n"/>
      <c r="P28" s="50" t="n"/>
      <c r="Q28" s="50" t="n"/>
      <c r="R28" s="50" t="n"/>
      <c r="S28" s="51">
        <f>IF($A28="","",IFERROR($O28/$N28,""))</f>
        <v/>
      </c>
      <c r="T28" s="52">
        <f>IF($A28="","",IF(OR($H28="Completado",$H28="Cancelado"),"",$K28-TODAY()))</f>
        <v/>
      </c>
      <c r="U28" s="51">
        <f>IF($A28="","",IF(OR($H28="Completado",$H28="Cancelado"),"",IFERROR(MEDIAN(0,(TODAY()-$J28)/($K28-$J28),1),"")))</f>
        <v/>
      </c>
      <c r="V28" s="53">
        <f>IF($A28="","",IF($U28="","",$L28-$U28))</f>
        <v/>
      </c>
      <c r="W28" s="54">
        <f>IF($A28="","",IF(OR($H28="Completado",$H28="Cancelado"),"—",IF($T28&lt;0,"Vencido",IF($T28&lt;=14,"Inminente",IF(IF($V28="",FALSE,$V28&lt;-0.15),"Desviado","En plazo")))))</f>
        <v/>
      </c>
      <c r="X28" s="52">
        <f>IF($A28="","",COUNTIF(KPIs!$B$2:$B$71,$A28))</f>
        <v/>
      </c>
      <c r="Y28" s="51">
        <f>IF($A28="","",IFERROR(AVERAGEIF(KPIs!$B$2:$B$71,$A28,KPIs!$N$2:$N$71),""))</f>
        <v/>
      </c>
      <c r="Z28" s="52">
        <f>IF($A28="","",COUNTIF(Hitos!$B$2:$B$81,$A28))</f>
        <v/>
      </c>
      <c r="AA28" s="52">
        <f>IF($A28="","",COUNTIFS(Hitos!$B$2:$B$81,$A28,Hitos!$F$2:$F$81,"Completado"))</f>
        <v/>
      </c>
      <c r="AB28" s="52">
        <f>IF($A28="","",SUMPRODUCT((Hitos!$B$2:$B$81=$A28)*(Hitos!$E$2:$E$81&lt;&gt;"")*(Hitos!$E$2:$E$81&lt;TODAY())*(Hitos!$F$2:$F$81&lt;&gt;"Completado")*(Hitos!$F$2:$F$81&lt;&gt;"Cancelado")))</f>
        <v/>
      </c>
    </row>
    <row r="29" ht="17" customHeight="1">
      <c r="A29" s="45" t="n"/>
      <c r="B29" s="46" t="n"/>
      <c r="C29" s="45" t="n"/>
      <c r="D29" s="45" t="n"/>
      <c r="E29" s="45" t="n"/>
      <c r="F29" s="45" t="n"/>
      <c r="G29" s="45" t="n"/>
      <c r="H29" s="45" t="n"/>
      <c r="I29" s="45" t="n"/>
      <c r="J29" s="47" t="n"/>
      <c r="K29" s="47" t="n"/>
      <c r="L29" s="48" t="n"/>
      <c r="M29" s="45" t="n"/>
      <c r="N29" s="49" t="n"/>
      <c r="O29" s="49" t="n"/>
      <c r="P29" s="50" t="n"/>
      <c r="Q29" s="50" t="n"/>
      <c r="R29" s="50" t="n"/>
      <c r="S29" s="51">
        <f>IF($A29="","",IFERROR($O29/$N29,""))</f>
        <v/>
      </c>
      <c r="T29" s="52">
        <f>IF($A29="","",IF(OR($H29="Completado",$H29="Cancelado"),"",$K29-TODAY()))</f>
        <v/>
      </c>
      <c r="U29" s="51">
        <f>IF($A29="","",IF(OR($H29="Completado",$H29="Cancelado"),"",IFERROR(MEDIAN(0,(TODAY()-$J29)/($K29-$J29),1),"")))</f>
        <v/>
      </c>
      <c r="V29" s="53">
        <f>IF($A29="","",IF($U29="","",$L29-$U29))</f>
        <v/>
      </c>
      <c r="W29" s="54">
        <f>IF($A29="","",IF(OR($H29="Completado",$H29="Cancelado"),"—",IF($T29&lt;0,"Vencido",IF($T29&lt;=14,"Inminente",IF(IF($V29="",FALSE,$V29&lt;-0.15),"Desviado","En plazo")))))</f>
        <v/>
      </c>
      <c r="X29" s="52">
        <f>IF($A29="","",COUNTIF(KPIs!$B$2:$B$71,$A29))</f>
        <v/>
      </c>
      <c r="Y29" s="51">
        <f>IF($A29="","",IFERROR(AVERAGEIF(KPIs!$B$2:$B$71,$A29,KPIs!$N$2:$N$71),""))</f>
        <v/>
      </c>
      <c r="Z29" s="52">
        <f>IF($A29="","",COUNTIF(Hitos!$B$2:$B$81,$A29))</f>
        <v/>
      </c>
      <c r="AA29" s="52">
        <f>IF($A29="","",COUNTIFS(Hitos!$B$2:$B$81,$A29,Hitos!$F$2:$F$81,"Completado"))</f>
        <v/>
      </c>
      <c r="AB29" s="52">
        <f>IF($A29="","",SUMPRODUCT((Hitos!$B$2:$B$81=$A29)*(Hitos!$E$2:$E$81&lt;&gt;"")*(Hitos!$E$2:$E$81&lt;TODAY())*(Hitos!$F$2:$F$81&lt;&gt;"Completado")*(Hitos!$F$2:$F$81&lt;&gt;"Cancelado")))</f>
        <v/>
      </c>
    </row>
    <row r="30" ht="17" customHeight="1">
      <c r="A30" s="45" t="n"/>
      <c r="B30" s="46" t="n"/>
      <c r="C30" s="45" t="n"/>
      <c r="D30" s="45" t="n"/>
      <c r="E30" s="45" t="n"/>
      <c r="F30" s="45" t="n"/>
      <c r="G30" s="45" t="n"/>
      <c r="H30" s="45" t="n"/>
      <c r="I30" s="45" t="n"/>
      <c r="J30" s="47" t="n"/>
      <c r="K30" s="47" t="n"/>
      <c r="L30" s="48" t="n"/>
      <c r="M30" s="45" t="n"/>
      <c r="N30" s="49" t="n"/>
      <c r="O30" s="49" t="n"/>
      <c r="P30" s="50" t="n"/>
      <c r="Q30" s="50" t="n"/>
      <c r="R30" s="50" t="n"/>
      <c r="S30" s="51">
        <f>IF($A30="","",IFERROR($O30/$N30,""))</f>
        <v/>
      </c>
      <c r="T30" s="52">
        <f>IF($A30="","",IF(OR($H30="Completado",$H30="Cancelado"),"",$K30-TODAY()))</f>
        <v/>
      </c>
      <c r="U30" s="51">
        <f>IF($A30="","",IF(OR($H30="Completado",$H30="Cancelado"),"",IFERROR(MEDIAN(0,(TODAY()-$J30)/($K30-$J30),1),"")))</f>
        <v/>
      </c>
      <c r="V30" s="53">
        <f>IF($A30="","",IF($U30="","",$L30-$U30))</f>
        <v/>
      </c>
      <c r="W30" s="54">
        <f>IF($A30="","",IF(OR($H30="Completado",$H30="Cancelado"),"—",IF($T30&lt;0,"Vencido",IF($T30&lt;=14,"Inminente",IF(IF($V30="",FALSE,$V30&lt;-0.15),"Desviado","En plazo")))))</f>
        <v/>
      </c>
      <c r="X30" s="52">
        <f>IF($A30="","",COUNTIF(KPIs!$B$2:$B$71,$A30))</f>
        <v/>
      </c>
      <c r="Y30" s="51">
        <f>IF($A30="","",IFERROR(AVERAGEIF(KPIs!$B$2:$B$71,$A30,KPIs!$N$2:$N$71),""))</f>
        <v/>
      </c>
      <c r="Z30" s="52">
        <f>IF($A30="","",COUNTIF(Hitos!$B$2:$B$81,$A30))</f>
        <v/>
      </c>
      <c r="AA30" s="52">
        <f>IF($A30="","",COUNTIFS(Hitos!$B$2:$B$81,$A30,Hitos!$F$2:$F$81,"Completado"))</f>
        <v/>
      </c>
      <c r="AB30" s="52">
        <f>IF($A30="","",SUMPRODUCT((Hitos!$B$2:$B$81=$A30)*(Hitos!$E$2:$E$81&lt;&gt;"")*(Hitos!$E$2:$E$81&lt;TODAY())*(Hitos!$F$2:$F$81&lt;&gt;"Completado")*(Hitos!$F$2:$F$81&lt;&gt;"Cancelado")))</f>
        <v/>
      </c>
    </row>
    <row r="31" ht="17" customHeight="1">
      <c r="A31" s="45" t="n"/>
      <c r="B31" s="46" t="n"/>
      <c r="C31" s="45" t="n"/>
      <c r="D31" s="45" t="n"/>
      <c r="E31" s="45" t="n"/>
      <c r="F31" s="45" t="n"/>
      <c r="G31" s="45" t="n"/>
      <c r="H31" s="45" t="n"/>
      <c r="I31" s="45" t="n"/>
      <c r="J31" s="47" t="n"/>
      <c r="K31" s="47" t="n"/>
      <c r="L31" s="48" t="n"/>
      <c r="M31" s="45" t="n"/>
      <c r="N31" s="49" t="n"/>
      <c r="O31" s="49" t="n"/>
      <c r="P31" s="50" t="n"/>
      <c r="Q31" s="50" t="n"/>
      <c r="R31" s="50" t="n"/>
      <c r="S31" s="51">
        <f>IF($A31="","",IFERROR($O31/$N31,""))</f>
        <v/>
      </c>
      <c r="T31" s="52">
        <f>IF($A31="","",IF(OR($H31="Completado",$H31="Cancelado"),"",$K31-TODAY()))</f>
        <v/>
      </c>
      <c r="U31" s="51">
        <f>IF($A31="","",IF(OR($H31="Completado",$H31="Cancelado"),"",IFERROR(MEDIAN(0,(TODAY()-$J31)/($K31-$J31),1),"")))</f>
        <v/>
      </c>
      <c r="V31" s="53">
        <f>IF($A31="","",IF($U31="","",$L31-$U31))</f>
        <v/>
      </c>
      <c r="W31" s="54">
        <f>IF($A31="","",IF(OR($H31="Completado",$H31="Cancelado"),"—",IF($T31&lt;0,"Vencido",IF($T31&lt;=14,"Inminente",IF(IF($V31="",FALSE,$V31&lt;-0.15),"Desviado","En plazo")))))</f>
        <v/>
      </c>
      <c r="X31" s="52">
        <f>IF($A31="","",COUNTIF(KPIs!$B$2:$B$71,$A31))</f>
        <v/>
      </c>
      <c r="Y31" s="51">
        <f>IF($A31="","",IFERROR(AVERAGEIF(KPIs!$B$2:$B$71,$A31,KPIs!$N$2:$N$71),""))</f>
        <v/>
      </c>
      <c r="Z31" s="52">
        <f>IF($A31="","",COUNTIF(Hitos!$B$2:$B$81,$A31))</f>
        <v/>
      </c>
      <c r="AA31" s="52">
        <f>IF($A31="","",COUNTIFS(Hitos!$B$2:$B$81,$A31,Hitos!$F$2:$F$81,"Completado"))</f>
        <v/>
      </c>
      <c r="AB31" s="52">
        <f>IF($A31="","",SUMPRODUCT((Hitos!$B$2:$B$81=$A31)*(Hitos!$E$2:$E$81&lt;&gt;"")*(Hitos!$E$2:$E$81&lt;TODAY())*(Hitos!$F$2:$F$81&lt;&gt;"Completado")*(Hitos!$F$2:$F$81&lt;&gt;"Cancelado")))</f>
        <v/>
      </c>
    </row>
    <row r="32" ht="17" customHeight="1">
      <c r="A32" s="45" t="n"/>
      <c r="B32" s="46" t="n"/>
      <c r="C32" s="45" t="n"/>
      <c r="D32" s="45" t="n"/>
      <c r="E32" s="45" t="n"/>
      <c r="F32" s="45" t="n"/>
      <c r="G32" s="45" t="n"/>
      <c r="H32" s="45" t="n"/>
      <c r="I32" s="45" t="n"/>
      <c r="J32" s="47" t="n"/>
      <c r="K32" s="47" t="n"/>
      <c r="L32" s="48" t="n"/>
      <c r="M32" s="45" t="n"/>
      <c r="N32" s="49" t="n"/>
      <c r="O32" s="49" t="n"/>
      <c r="P32" s="50" t="n"/>
      <c r="Q32" s="50" t="n"/>
      <c r="R32" s="50" t="n"/>
      <c r="S32" s="51">
        <f>IF($A32="","",IFERROR($O32/$N32,""))</f>
        <v/>
      </c>
      <c r="T32" s="52">
        <f>IF($A32="","",IF(OR($H32="Completado",$H32="Cancelado"),"",$K32-TODAY()))</f>
        <v/>
      </c>
      <c r="U32" s="51">
        <f>IF($A32="","",IF(OR($H32="Completado",$H32="Cancelado"),"",IFERROR(MEDIAN(0,(TODAY()-$J32)/($K32-$J32),1),"")))</f>
        <v/>
      </c>
      <c r="V32" s="53">
        <f>IF($A32="","",IF($U32="","",$L32-$U32))</f>
        <v/>
      </c>
      <c r="W32" s="54">
        <f>IF($A32="","",IF(OR($H32="Completado",$H32="Cancelado"),"—",IF($T32&lt;0,"Vencido",IF($T32&lt;=14,"Inminente",IF(IF($V32="",FALSE,$V32&lt;-0.15),"Desviado","En plazo")))))</f>
        <v/>
      </c>
      <c r="X32" s="52">
        <f>IF($A32="","",COUNTIF(KPIs!$B$2:$B$71,$A32))</f>
        <v/>
      </c>
      <c r="Y32" s="51">
        <f>IF($A32="","",IFERROR(AVERAGEIF(KPIs!$B$2:$B$71,$A32,KPIs!$N$2:$N$71),""))</f>
        <v/>
      </c>
      <c r="Z32" s="52">
        <f>IF($A32="","",COUNTIF(Hitos!$B$2:$B$81,$A32))</f>
        <v/>
      </c>
      <c r="AA32" s="52">
        <f>IF($A32="","",COUNTIFS(Hitos!$B$2:$B$81,$A32,Hitos!$F$2:$F$81,"Completado"))</f>
        <v/>
      </c>
      <c r="AB32" s="52">
        <f>IF($A32="","",SUMPRODUCT((Hitos!$B$2:$B$81=$A32)*(Hitos!$E$2:$E$81&lt;&gt;"")*(Hitos!$E$2:$E$81&lt;TODAY())*(Hitos!$F$2:$F$81&lt;&gt;"Completado")*(Hitos!$F$2:$F$81&lt;&gt;"Cancelado")))</f>
        <v/>
      </c>
    </row>
    <row r="33" ht="17" customHeight="1">
      <c r="A33" s="45" t="n"/>
      <c r="B33" s="46" t="n"/>
      <c r="C33" s="45" t="n"/>
      <c r="D33" s="45" t="n"/>
      <c r="E33" s="45" t="n"/>
      <c r="F33" s="45" t="n"/>
      <c r="G33" s="45" t="n"/>
      <c r="H33" s="45" t="n"/>
      <c r="I33" s="45" t="n"/>
      <c r="J33" s="47" t="n"/>
      <c r="K33" s="47" t="n"/>
      <c r="L33" s="48" t="n"/>
      <c r="M33" s="45" t="n"/>
      <c r="N33" s="49" t="n"/>
      <c r="O33" s="49" t="n"/>
      <c r="P33" s="50" t="n"/>
      <c r="Q33" s="50" t="n"/>
      <c r="R33" s="50" t="n"/>
      <c r="S33" s="51">
        <f>IF($A33="","",IFERROR($O33/$N33,""))</f>
        <v/>
      </c>
      <c r="T33" s="52">
        <f>IF($A33="","",IF(OR($H33="Completado",$H33="Cancelado"),"",$K33-TODAY()))</f>
        <v/>
      </c>
      <c r="U33" s="51">
        <f>IF($A33="","",IF(OR($H33="Completado",$H33="Cancelado"),"",IFERROR(MEDIAN(0,(TODAY()-$J33)/($K33-$J33),1),"")))</f>
        <v/>
      </c>
      <c r="V33" s="53">
        <f>IF($A33="","",IF($U33="","",$L33-$U33))</f>
        <v/>
      </c>
      <c r="W33" s="54">
        <f>IF($A33="","",IF(OR($H33="Completado",$H33="Cancelado"),"—",IF($T33&lt;0,"Vencido",IF($T33&lt;=14,"Inminente",IF(IF($V33="",FALSE,$V33&lt;-0.15),"Desviado","En plazo")))))</f>
        <v/>
      </c>
      <c r="X33" s="52">
        <f>IF($A33="","",COUNTIF(KPIs!$B$2:$B$71,$A33))</f>
        <v/>
      </c>
      <c r="Y33" s="51">
        <f>IF($A33="","",IFERROR(AVERAGEIF(KPIs!$B$2:$B$71,$A33,KPIs!$N$2:$N$71),""))</f>
        <v/>
      </c>
      <c r="Z33" s="52">
        <f>IF($A33="","",COUNTIF(Hitos!$B$2:$B$81,$A33))</f>
        <v/>
      </c>
      <c r="AA33" s="52">
        <f>IF($A33="","",COUNTIFS(Hitos!$B$2:$B$81,$A33,Hitos!$F$2:$F$81,"Completado"))</f>
        <v/>
      </c>
      <c r="AB33" s="52">
        <f>IF($A33="","",SUMPRODUCT((Hitos!$B$2:$B$81=$A33)*(Hitos!$E$2:$E$81&lt;&gt;"")*(Hitos!$E$2:$E$81&lt;TODAY())*(Hitos!$F$2:$F$81&lt;&gt;"Completado")*(Hitos!$F$2:$F$81&lt;&gt;"Cancelado")))</f>
        <v/>
      </c>
    </row>
    <row r="34" ht="17" customHeight="1">
      <c r="A34" s="45" t="n"/>
      <c r="B34" s="46" t="n"/>
      <c r="C34" s="45" t="n"/>
      <c r="D34" s="45" t="n"/>
      <c r="E34" s="45" t="n"/>
      <c r="F34" s="45" t="n"/>
      <c r="G34" s="45" t="n"/>
      <c r="H34" s="45" t="n"/>
      <c r="I34" s="45" t="n"/>
      <c r="J34" s="47" t="n"/>
      <c r="K34" s="47" t="n"/>
      <c r="L34" s="48" t="n"/>
      <c r="M34" s="45" t="n"/>
      <c r="N34" s="49" t="n"/>
      <c r="O34" s="49" t="n"/>
      <c r="P34" s="50" t="n"/>
      <c r="Q34" s="50" t="n"/>
      <c r="R34" s="50" t="n"/>
      <c r="S34" s="51">
        <f>IF($A34="","",IFERROR($O34/$N34,""))</f>
        <v/>
      </c>
      <c r="T34" s="52">
        <f>IF($A34="","",IF(OR($H34="Completado",$H34="Cancelado"),"",$K34-TODAY()))</f>
        <v/>
      </c>
      <c r="U34" s="51">
        <f>IF($A34="","",IF(OR($H34="Completado",$H34="Cancelado"),"",IFERROR(MEDIAN(0,(TODAY()-$J34)/($K34-$J34),1),"")))</f>
        <v/>
      </c>
      <c r="V34" s="53">
        <f>IF($A34="","",IF($U34="","",$L34-$U34))</f>
        <v/>
      </c>
      <c r="W34" s="54">
        <f>IF($A34="","",IF(OR($H34="Completado",$H34="Cancelado"),"—",IF($T34&lt;0,"Vencido",IF($T34&lt;=14,"Inminente",IF(IF($V34="",FALSE,$V34&lt;-0.15),"Desviado","En plazo")))))</f>
        <v/>
      </c>
      <c r="X34" s="52">
        <f>IF($A34="","",COUNTIF(KPIs!$B$2:$B$71,$A34))</f>
        <v/>
      </c>
      <c r="Y34" s="51">
        <f>IF($A34="","",IFERROR(AVERAGEIF(KPIs!$B$2:$B$71,$A34,KPIs!$N$2:$N$71),""))</f>
        <v/>
      </c>
      <c r="Z34" s="52">
        <f>IF($A34="","",COUNTIF(Hitos!$B$2:$B$81,$A34))</f>
        <v/>
      </c>
      <c r="AA34" s="52">
        <f>IF($A34="","",COUNTIFS(Hitos!$B$2:$B$81,$A34,Hitos!$F$2:$F$81,"Completado"))</f>
        <v/>
      </c>
      <c r="AB34" s="52">
        <f>IF($A34="","",SUMPRODUCT((Hitos!$B$2:$B$81=$A34)*(Hitos!$E$2:$E$81&lt;&gt;"")*(Hitos!$E$2:$E$81&lt;TODAY())*(Hitos!$F$2:$F$81&lt;&gt;"Completado")*(Hitos!$F$2:$F$81&lt;&gt;"Cancelado")))</f>
        <v/>
      </c>
    </row>
    <row r="35" ht="17" customHeight="1">
      <c r="A35" s="45" t="n"/>
      <c r="B35" s="46" t="n"/>
      <c r="C35" s="45" t="n"/>
      <c r="D35" s="45" t="n"/>
      <c r="E35" s="45" t="n"/>
      <c r="F35" s="45" t="n"/>
      <c r="G35" s="45" t="n"/>
      <c r="H35" s="45" t="n"/>
      <c r="I35" s="45" t="n"/>
      <c r="J35" s="47" t="n"/>
      <c r="K35" s="47" t="n"/>
      <c r="L35" s="48" t="n"/>
      <c r="M35" s="45" t="n"/>
      <c r="N35" s="49" t="n"/>
      <c r="O35" s="49" t="n"/>
      <c r="P35" s="50" t="n"/>
      <c r="Q35" s="50" t="n"/>
      <c r="R35" s="50" t="n"/>
      <c r="S35" s="51">
        <f>IF($A35="","",IFERROR($O35/$N35,""))</f>
        <v/>
      </c>
      <c r="T35" s="52">
        <f>IF($A35="","",IF(OR($H35="Completado",$H35="Cancelado"),"",$K35-TODAY()))</f>
        <v/>
      </c>
      <c r="U35" s="51">
        <f>IF($A35="","",IF(OR($H35="Completado",$H35="Cancelado"),"",IFERROR(MEDIAN(0,(TODAY()-$J35)/($K35-$J35),1),"")))</f>
        <v/>
      </c>
      <c r="V35" s="53">
        <f>IF($A35="","",IF($U35="","",$L35-$U35))</f>
        <v/>
      </c>
      <c r="W35" s="54">
        <f>IF($A35="","",IF(OR($H35="Completado",$H35="Cancelado"),"—",IF($T35&lt;0,"Vencido",IF($T35&lt;=14,"Inminente",IF(IF($V35="",FALSE,$V35&lt;-0.15),"Desviado","En plazo")))))</f>
        <v/>
      </c>
      <c r="X35" s="52">
        <f>IF($A35="","",COUNTIF(KPIs!$B$2:$B$71,$A35))</f>
        <v/>
      </c>
      <c r="Y35" s="51">
        <f>IF($A35="","",IFERROR(AVERAGEIF(KPIs!$B$2:$B$71,$A35,KPIs!$N$2:$N$71),""))</f>
        <v/>
      </c>
      <c r="Z35" s="52">
        <f>IF($A35="","",COUNTIF(Hitos!$B$2:$B$81,$A35))</f>
        <v/>
      </c>
      <c r="AA35" s="52">
        <f>IF($A35="","",COUNTIFS(Hitos!$B$2:$B$81,$A35,Hitos!$F$2:$F$81,"Completado"))</f>
        <v/>
      </c>
      <c r="AB35" s="52">
        <f>IF($A35="","",SUMPRODUCT((Hitos!$B$2:$B$81=$A35)*(Hitos!$E$2:$E$81&lt;&gt;"")*(Hitos!$E$2:$E$81&lt;TODAY())*(Hitos!$F$2:$F$81&lt;&gt;"Completado")*(Hitos!$F$2:$F$81&lt;&gt;"Cancelado")))</f>
        <v/>
      </c>
    </row>
    <row r="36" ht="17" customHeight="1">
      <c r="A36" s="45" t="n"/>
      <c r="B36" s="46" t="n"/>
      <c r="C36" s="45" t="n"/>
      <c r="D36" s="45" t="n"/>
      <c r="E36" s="45" t="n"/>
      <c r="F36" s="45" t="n"/>
      <c r="G36" s="45" t="n"/>
      <c r="H36" s="45" t="n"/>
      <c r="I36" s="45" t="n"/>
      <c r="J36" s="47" t="n"/>
      <c r="K36" s="47" t="n"/>
      <c r="L36" s="48" t="n"/>
      <c r="M36" s="45" t="n"/>
      <c r="N36" s="49" t="n"/>
      <c r="O36" s="49" t="n"/>
      <c r="P36" s="50" t="n"/>
      <c r="Q36" s="50" t="n"/>
      <c r="R36" s="50" t="n"/>
      <c r="S36" s="51">
        <f>IF($A36="","",IFERROR($O36/$N36,""))</f>
        <v/>
      </c>
      <c r="T36" s="52">
        <f>IF($A36="","",IF(OR($H36="Completado",$H36="Cancelado"),"",$K36-TODAY()))</f>
        <v/>
      </c>
      <c r="U36" s="51">
        <f>IF($A36="","",IF(OR($H36="Completado",$H36="Cancelado"),"",IFERROR(MEDIAN(0,(TODAY()-$J36)/($K36-$J36),1),"")))</f>
        <v/>
      </c>
      <c r="V36" s="53">
        <f>IF($A36="","",IF($U36="","",$L36-$U36))</f>
        <v/>
      </c>
      <c r="W36" s="54">
        <f>IF($A36="","",IF(OR($H36="Completado",$H36="Cancelado"),"—",IF($T36&lt;0,"Vencido",IF($T36&lt;=14,"Inminente",IF(IF($V36="",FALSE,$V36&lt;-0.15),"Desviado","En plazo")))))</f>
        <v/>
      </c>
      <c r="X36" s="52">
        <f>IF($A36="","",COUNTIF(KPIs!$B$2:$B$71,$A36))</f>
        <v/>
      </c>
      <c r="Y36" s="51">
        <f>IF($A36="","",IFERROR(AVERAGEIF(KPIs!$B$2:$B$71,$A36,KPIs!$N$2:$N$71),""))</f>
        <v/>
      </c>
      <c r="Z36" s="52">
        <f>IF($A36="","",COUNTIF(Hitos!$B$2:$B$81,$A36))</f>
        <v/>
      </c>
      <c r="AA36" s="52">
        <f>IF($A36="","",COUNTIFS(Hitos!$B$2:$B$81,$A36,Hitos!$F$2:$F$81,"Completado"))</f>
        <v/>
      </c>
      <c r="AB36" s="52">
        <f>IF($A36="","",SUMPRODUCT((Hitos!$B$2:$B$81=$A36)*(Hitos!$E$2:$E$81&lt;&gt;"")*(Hitos!$E$2:$E$81&lt;TODAY())*(Hitos!$F$2:$F$81&lt;&gt;"Completado")*(Hitos!$F$2:$F$81&lt;&gt;"Cancelado")))</f>
        <v/>
      </c>
    </row>
    <row r="37" ht="17" customHeight="1">
      <c r="A37" s="45" t="n"/>
      <c r="B37" s="46" t="n"/>
      <c r="C37" s="45" t="n"/>
      <c r="D37" s="45" t="n"/>
      <c r="E37" s="45" t="n"/>
      <c r="F37" s="45" t="n"/>
      <c r="G37" s="45" t="n"/>
      <c r="H37" s="45" t="n"/>
      <c r="I37" s="45" t="n"/>
      <c r="J37" s="47" t="n"/>
      <c r="K37" s="47" t="n"/>
      <c r="L37" s="48" t="n"/>
      <c r="M37" s="45" t="n"/>
      <c r="N37" s="49" t="n"/>
      <c r="O37" s="49" t="n"/>
      <c r="P37" s="50" t="n"/>
      <c r="Q37" s="50" t="n"/>
      <c r="R37" s="50" t="n"/>
      <c r="S37" s="51">
        <f>IF($A37="","",IFERROR($O37/$N37,""))</f>
        <v/>
      </c>
      <c r="T37" s="52">
        <f>IF($A37="","",IF(OR($H37="Completado",$H37="Cancelado"),"",$K37-TODAY()))</f>
        <v/>
      </c>
      <c r="U37" s="51">
        <f>IF($A37="","",IF(OR($H37="Completado",$H37="Cancelado"),"",IFERROR(MEDIAN(0,(TODAY()-$J37)/($K37-$J37),1),"")))</f>
        <v/>
      </c>
      <c r="V37" s="53">
        <f>IF($A37="","",IF($U37="","",$L37-$U37))</f>
        <v/>
      </c>
      <c r="W37" s="54">
        <f>IF($A37="","",IF(OR($H37="Completado",$H37="Cancelado"),"—",IF($T37&lt;0,"Vencido",IF($T37&lt;=14,"Inminente",IF(IF($V37="",FALSE,$V37&lt;-0.15),"Desviado","En plazo")))))</f>
        <v/>
      </c>
      <c r="X37" s="52">
        <f>IF($A37="","",COUNTIF(KPIs!$B$2:$B$71,$A37))</f>
        <v/>
      </c>
      <c r="Y37" s="51">
        <f>IF($A37="","",IFERROR(AVERAGEIF(KPIs!$B$2:$B$71,$A37,KPIs!$N$2:$N$71),""))</f>
        <v/>
      </c>
      <c r="Z37" s="52">
        <f>IF($A37="","",COUNTIF(Hitos!$B$2:$B$81,$A37))</f>
        <v/>
      </c>
      <c r="AA37" s="52">
        <f>IF($A37="","",COUNTIFS(Hitos!$B$2:$B$81,$A37,Hitos!$F$2:$F$81,"Completado"))</f>
        <v/>
      </c>
      <c r="AB37" s="52">
        <f>IF($A37="","",SUMPRODUCT((Hitos!$B$2:$B$81=$A37)*(Hitos!$E$2:$E$81&lt;&gt;"")*(Hitos!$E$2:$E$81&lt;TODAY())*(Hitos!$F$2:$F$81&lt;&gt;"Completado")*(Hitos!$F$2:$F$81&lt;&gt;"Cancelado")))</f>
        <v/>
      </c>
    </row>
    <row r="38" ht="17" customHeight="1">
      <c r="A38" s="45" t="n"/>
      <c r="B38" s="46" t="n"/>
      <c r="C38" s="45" t="n"/>
      <c r="D38" s="45" t="n"/>
      <c r="E38" s="45" t="n"/>
      <c r="F38" s="45" t="n"/>
      <c r="G38" s="45" t="n"/>
      <c r="H38" s="45" t="n"/>
      <c r="I38" s="45" t="n"/>
      <c r="J38" s="47" t="n"/>
      <c r="K38" s="47" t="n"/>
      <c r="L38" s="48" t="n"/>
      <c r="M38" s="45" t="n"/>
      <c r="N38" s="49" t="n"/>
      <c r="O38" s="49" t="n"/>
      <c r="P38" s="50" t="n"/>
      <c r="Q38" s="50" t="n"/>
      <c r="R38" s="50" t="n"/>
      <c r="S38" s="51">
        <f>IF($A38="","",IFERROR($O38/$N38,""))</f>
        <v/>
      </c>
      <c r="T38" s="52">
        <f>IF($A38="","",IF(OR($H38="Completado",$H38="Cancelado"),"",$K38-TODAY()))</f>
        <v/>
      </c>
      <c r="U38" s="51">
        <f>IF($A38="","",IF(OR($H38="Completado",$H38="Cancelado"),"",IFERROR(MEDIAN(0,(TODAY()-$J38)/($K38-$J38),1),"")))</f>
        <v/>
      </c>
      <c r="V38" s="53">
        <f>IF($A38="","",IF($U38="","",$L38-$U38))</f>
        <v/>
      </c>
      <c r="W38" s="54">
        <f>IF($A38="","",IF(OR($H38="Completado",$H38="Cancelado"),"—",IF($T38&lt;0,"Vencido",IF($T38&lt;=14,"Inminente",IF(IF($V38="",FALSE,$V38&lt;-0.15),"Desviado","En plazo")))))</f>
        <v/>
      </c>
      <c r="X38" s="52">
        <f>IF($A38="","",COUNTIF(KPIs!$B$2:$B$71,$A38))</f>
        <v/>
      </c>
      <c r="Y38" s="51">
        <f>IF($A38="","",IFERROR(AVERAGEIF(KPIs!$B$2:$B$71,$A38,KPIs!$N$2:$N$71),""))</f>
        <v/>
      </c>
      <c r="Z38" s="52">
        <f>IF($A38="","",COUNTIF(Hitos!$B$2:$B$81,$A38))</f>
        <v/>
      </c>
      <c r="AA38" s="52">
        <f>IF($A38="","",COUNTIFS(Hitos!$B$2:$B$81,$A38,Hitos!$F$2:$F$81,"Completado"))</f>
        <v/>
      </c>
      <c r="AB38" s="52">
        <f>IF($A38="","",SUMPRODUCT((Hitos!$B$2:$B$81=$A38)*(Hitos!$E$2:$E$81&lt;&gt;"")*(Hitos!$E$2:$E$81&lt;TODAY())*(Hitos!$F$2:$F$81&lt;&gt;"Completado")*(Hitos!$F$2:$F$81&lt;&gt;"Cancelado")))</f>
        <v/>
      </c>
    </row>
    <row r="39" ht="17" customHeight="1">
      <c r="A39" s="45" t="n"/>
      <c r="B39" s="46" t="n"/>
      <c r="C39" s="45" t="n"/>
      <c r="D39" s="45" t="n"/>
      <c r="E39" s="45" t="n"/>
      <c r="F39" s="45" t="n"/>
      <c r="G39" s="45" t="n"/>
      <c r="H39" s="45" t="n"/>
      <c r="I39" s="45" t="n"/>
      <c r="J39" s="47" t="n"/>
      <c r="K39" s="47" t="n"/>
      <c r="L39" s="48" t="n"/>
      <c r="M39" s="45" t="n"/>
      <c r="N39" s="49" t="n"/>
      <c r="O39" s="49" t="n"/>
      <c r="P39" s="50" t="n"/>
      <c r="Q39" s="50" t="n"/>
      <c r="R39" s="50" t="n"/>
      <c r="S39" s="51">
        <f>IF($A39="","",IFERROR($O39/$N39,""))</f>
        <v/>
      </c>
      <c r="T39" s="52">
        <f>IF($A39="","",IF(OR($H39="Completado",$H39="Cancelado"),"",$K39-TODAY()))</f>
        <v/>
      </c>
      <c r="U39" s="51">
        <f>IF($A39="","",IF(OR($H39="Completado",$H39="Cancelado"),"",IFERROR(MEDIAN(0,(TODAY()-$J39)/($K39-$J39),1),"")))</f>
        <v/>
      </c>
      <c r="V39" s="53">
        <f>IF($A39="","",IF($U39="","",$L39-$U39))</f>
        <v/>
      </c>
      <c r="W39" s="54">
        <f>IF($A39="","",IF(OR($H39="Completado",$H39="Cancelado"),"—",IF($T39&lt;0,"Vencido",IF($T39&lt;=14,"Inminente",IF(IF($V39="",FALSE,$V39&lt;-0.15),"Desviado","En plazo")))))</f>
        <v/>
      </c>
      <c r="X39" s="52">
        <f>IF($A39="","",COUNTIF(KPIs!$B$2:$B$71,$A39))</f>
        <v/>
      </c>
      <c r="Y39" s="51">
        <f>IF($A39="","",IFERROR(AVERAGEIF(KPIs!$B$2:$B$71,$A39,KPIs!$N$2:$N$71),""))</f>
        <v/>
      </c>
      <c r="Z39" s="52">
        <f>IF($A39="","",COUNTIF(Hitos!$B$2:$B$81,$A39))</f>
        <v/>
      </c>
      <c r="AA39" s="52">
        <f>IF($A39="","",COUNTIFS(Hitos!$B$2:$B$81,$A39,Hitos!$F$2:$F$81,"Completado"))</f>
        <v/>
      </c>
      <c r="AB39" s="52">
        <f>IF($A39="","",SUMPRODUCT((Hitos!$B$2:$B$81=$A39)*(Hitos!$E$2:$E$81&lt;&gt;"")*(Hitos!$E$2:$E$81&lt;TODAY())*(Hitos!$F$2:$F$81&lt;&gt;"Completado")*(Hitos!$F$2:$F$81&lt;&gt;"Cancelado")))</f>
        <v/>
      </c>
    </row>
    <row r="40" ht="17" customHeight="1">
      <c r="A40" s="45" t="n"/>
      <c r="B40" s="46" t="n"/>
      <c r="C40" s="45" t="n"/>
      <c r="D40" s="45" t="n"/>
      <c r="E40" s="45" t="n"/>
      <c r="F40" s="45" t="n"/>
      <c r="G40" s="45" t="n"/>
      <c r="H40" s="45" t="n"/>
      <c r="I40" s="45" t="n"/>
      <c r="J40" s="47" t="n"/>
      <c r="K40" s="47" t="n"/>
      <c r="L40" s="48" t="n"/>
      <c r="M40" s="45" t="n"/>
      <c r="N40" s="49" t="n"/>
      <c r="O40" s="49" t="n"/>
      <c r="P40" s="50" t="n"/>
      <c r="Q40" s="50" t="n"/>
      <c r="R40" s="50" t="n"/>
      <c r="S40" s="51">
        <f>IF($A40="","",IFERROR($O40/$N40,""))</f>
        <v/>
      </c>
      <c r="T40" s="52">
        <f>IF($A40="","",IF(OR($H40="Completado",$H40="Cancelado"),"",$K40-TODAY()))</f>
        <v/>
      </c>
      <c r="U40" s="51">
        <f>IF($A40="","",IF(OR($H40="Completado",$H40="Cancelado"),"",IFERROR(MEDIAN(0,(TODAY()-$J40)/($K40-$J40),1),"")))</f>
        <v/>
      </c>
      <c r="V40" s="53">
        <f>IF($A40="","",IF($U40="","",$L40-$U40))</f>
        <v/>
      </c>
      <c r="W40" s="54">
        <f>IF($A40="","",IF(OR($H40="Completado",$H40="Cancelado"),"—",IF($T40&lt;0,"Vencido",IF($T40&lt;=14,"Inminente",IF(IF($V40="",FALSE,$V40&lt;-0.15),"Desviado","En plazo")))))</f>
        <v/>
      </c>
      <c r="X40" s="52">
        <f>IF($A40="","",COUNTIF(KPIs!$B$2:$B$71,$A40))</f>
        <v/>
      </c>
      <c r="Y40" s="51">
        <f>IF($A40="","",IFERROR(AVERAGEIF(KPIs!$B$2:$B$71,$A40,KPIs!$N$2:$N$71),""))</f>
        <v/>
      </c>
      <c r="Z40" s="52">
        <f>IF($A40="","",COUNTIF(Hitos!$B$2:$B$81,$A40))</f>
        <v/>
      </c>
      <c r="AA40" s="52">
        <f>IF($A40="","",COUNTIFS(Hitos!$B$2:$B$81,$A40,Hitos!$F$2:$F$81,"Completado"))</f>
        <v/>
      </c>
      <c r="AB40" s="52">
        <f>IF($A40="","",SUMPRODUCT((Hitos!$B$2:$B$81=$A40)*(Hitos!$E$2:$E$81&lt;&gt;"")*(Hitos!$E$2:$E$81&lt;TODAY())*(Hitos!$F$2:$F$81&lt;&gt;"Completado")*(Hitos!$F$2:$F$81&lt;&gt;"Cancelado")))</f>
        <v/>
      </c>
    </row>
    <row r="41" ht="17" customHeight="1">
      <c r="A41" s="45" t="n"/>
      <c r="B41" s="46" t="n"/>
      <c r="C41" s="45" t="n"/>
      <c r="D41" s="45" t="n"/>
      <c r="E41" s="45" t="n"/>
      <c r="F41" s="45" t="n"/>
      <c r="G41" s="45" t="n"/>
      <c r="H41" s="45" t="n"/>
      <c r="I41" s="45" t="n"/>
      <c r="J41" s="47" t="n"/>
      <c r="K41" s="47" t="n"/>
      <c r="L41" s="48" t="n"/>
      <c r="M41" s="45" t="n"/>
      <c r="N41" s="49" t="n"/>
      <c r="O41" s="49" t="n"/>
      <c r="P41" s="50" t="n"/>
      <c r="Q41" s="50" t="n"/>
      <c r="R41" s="50" t="n"/>
      <c r="S41" s="51">
        <f>IF($A41="","",IFERROR($O41/$N41,""))</f>
        <v/>
      </c>
      <c r="T41" s="52">
        <f>IF($A41="","",IF(OR($H41="Completado",$H41="Cancelado"),"",$K41-TODAY()))</f>
        <v/>
      </c>
      <c r="U41" s="51">
        <f>IF($A41="","",IF(OR($H41="Completado",$H41="Cancelado"),"",IFERROR(MEDIAN(0,(TODAY()-$J41)/($K41-$J41),1),"")))</f>
        <v/>
      </c>
      <c r="V41" s="53">
        <f>IF($A41="","",IF($U41="","",$L41-$U41))</f>
        <v/>
      </c>
      <c r="W41" s="54">
        <f>IF($A41="","",IF(OR($H41="Completado",$H41="Cancelado"),"—",IF($T41&lt;0,"Vencido",IF($T41&lt;=14,"Inminente",IF(IF($V41="",FALSE,$V41&lt;-0.15),"Desviado","En plazo")))))</f>
        <v/>
      </c>
      <c r="X41" s="52">
        <f>IF($A41="","",COUNTIF(KPIs!$B$2:$B$71,$A41))</f>
        <v/>
      </c>
      <c r="Y41" s="51">
        <f>IF($A41="","",IFERROR(AVERAGEIF(KPIs!$B$2:$B$71,$A41,KPIs!$N$2:$N$71),""))</f>
        <v/>
      </c>
      <c r="Z41" s="52">
        <f>IF($A41="","",COUNTIF(Hitos!$B$2:$B$81,$A41))</f>
        <v/>
      </c>
      <c r="AA41" s="52">
        <f>IF($A41="","",COUNTIFS(Hitos!$B$2:$B$81,$A41,Hitos!$F$2:$F$81,"Completado"))</f>
        <v/>
      </c>
      <c r="AB41" s="52">
        <f>IF($A41="","",SUMPRODUCT((Hitos!$B$2:$B$81=$A41)*(Hitos!$E$2:$E$81&lt;&gt;"")*(Hitos!$E$2:$E$81&lt;TODAY())*(Hitos!$F$2:$F$81&lt;&gt;"Completado")*(Hitos!$F$2:$F$81&lt;&gt;"Cancelado")))</f>
        <v/>
      </c>
    </row>
  </sheetData>
  <autoFilter ref="A1:AB41"/>
  <conditionalFormatting sqref="H2:H41">
    <cfRule type="cellIs" priority="1" operator="equal" dxfId="0">
      <formula>"Backlog"</formula>
    </cfRule>
    <cfRule type="cellIs" priority="2" operator="equal" dxfId="1">
      <formula>"En curso"</formula>
    </cfRule>
    <cfRule type="cellIs" priority="3" operator="equal" dxfId="2">
      <formula>"En riesgo"</formula>
    </cfRule>
    <cfRule type="cellIs" priority="4" operator="equal" dxfId="3">
      <formula>"Bloqueado"</formula>
    </cfRule>
    <cfRule type="cellIs" priority="5" operator="equal" dxfId="4">
      <formula>"Completado"</formula>
    </cfRule>
    <cfRule type="cellIs" priority="6" operator="equal" dxfId="0">
      <formula>"Cancelado"</formula>
    </cfRule>
  </conditionalFormatting>
  <conditionalFormatting sqref="W2:W41">
    <cfRule type="cellIs" priority="7" operator="equal" dxfId="3">
      <formula>"Vencido"</formula>
    </cfRule>
    <cfRule type="cellIs" priority="8" operator="equal" dxfId="2">
      <formula>"Desviado"</formula>
    </cfRule>
    <cfRule type="cellIs" priority="9" operator="equal" dxfId="2">
      <formula>"Inminente"</formula>
    </cfRule>
    <cfRule type="cellIs" priority="10" operator="equal" dxfId="4">
      <formula>"En plazo"</formula>
    </cfRule>
  </conditionalFormatting>
  <conditionalFormatting sqref="M2:M41">
    <cfRule type="cellIs" priority="11" operator="equal" dxfId="3">
      <formula>"Alto"</formula>
    </cfRule>
    <cfRule type="cellIs" priority="12" operator="equal" dxfId="2">
      <formula>"Medio"</formula>
    </cfRule>
    <cfRule type="cellIs" priority="13" operator="equal" dxfId="4">
      <formula>"Bajo"</formula>
    </cfRule>
  </conditionalFormatting>
  <conditionalFormatting sqref="L2:L41">
    <cfRule type="dataBar" priority="14">
      <dataBar>
        <cfvo type="num" val="0"/>
        <cfvo type="num" val="1"/>
        <color rgb="005045C8"/>
      </dataBar>
    </cfRule>
  </conditionalFormatting>
  <conditionalFormatting sqref="Y2:Y41">
    <cfRule type="dataBar" priority="15">
      <dataBar>
        <cfvo type="num" val="0"/>
        <cfvo type="num" val="1"/>
        <color rgb="00A3D9C5"/>
      </dataBar>
    </cfRule>
  </conditionalFormatting>
  <conditionalFormatting sqref="V2:V41">
    <cfRule type="cellIs" priority="16" operator="lessThan" dxfId="3">
      <formula>-0.15</formula>
    </cfRule>
  </conditionalFormatting>
  <conditionalFormatting sqref="AB2:AB41">
    <cfRule type="cellIs" priority="17" operator="greaterThan" dxfId="3">
      <formula>0</formula>
    </cfRule>
  </conditionalFormatting>
  <conditionalFormatting sqref="S2:S41">
    <cfRule type="cellIs" priority="18" operator="greaterThan" dxfId="3">
      <formula>1</formula>
    </cfRule>
  </conditionalFormatting>
  <dataValidations count="8">
    <dataValidation sqref="C2:C41" showDropDown="0" showInputMessage="0" showErrorMessage="0" allowBlank="1" errorTitle="Valor no previsto" error="Valor fuera de la lista. Si necesitas uno nuevo, añádelo en taxonomia.yaml y regenera." type="list" errorStyle="warning">
      <formula1>=Config!$K$2:$K$2</formula1>
    </dataValidation>
    <dataValidation sqref="D2:D41" showDropDown="0" showInputMessage="0" showErrorMessage="0" allowBlank="1" errorTitle="Valor no previsto" error="Valor fuera de la lista. Si necesitas uno nuevo, añádelo en taxonomia.yaml y regenera." type="list" errorStyle="warning">
      <formula1>=Config!$L$2:$L$8</formula1>
    </dataValidation>
    <dataValidation sqref="E2:E41" showDropDown="0" showInputMessage="0" showErrorMessage="0" allowBlank="1" errorTitle="Valor no previsto" error="Valor fuera de la lista. Si necesitas uno nuevo, añádelo en taxonomia.yaml y regenera." type="list" errorStyle="warning">
      <formula1>=Config!$M$2:$M$3</formula1>
    </dataValidation>
    <dataValidation sqref="F2:F41" showDropDown="0" showInputMessage="0" showErrorMessage="0" allowBlank="1" errorTitle="Valor no previsto" error="Valor fuera de la lista. Si necesitas uno nuevo, añádelo en taxonomia.yaml y regenera." type="list" errorStyle="warning">
      <formula1>=Config!$D$2:$D$8</formula1>
    </dataValidation>
    <dataValidation sqref="G2:G41" showDropDown="0" showInputMessage="0" showErrorMessage="0" allowBlank="1" errorTitle="Valor no previsto" error="Valor fuera de la lista. Si necesitas uno nuevo, añádelo en taxonomia.yaml y regenera." type="list" errorStyle="warning">
      <formula1>=Config!$C$2:$C$4</formula1>
    </dataValidation>
    <dataValidation sqref="H2:H41" showDropDown="0" showInputMessage="0" showErrorMessage="0" allowBlank="1" errorTitle="Valor no previsto" error="Valor fuera de la lista. Si necesitas uno nuevo, añádelo en taxonomia.yaml y regenera." type="list" errorStyle="warning">
      <formula1>=Config!$A$2:$A$7</formula1>
    </dataValidation>
    <dataValidation sqref="I2:I41" showDropDown="0" showInputMessage="0" showErrorMessage="0" allowBlank="1" errorTitle="Valor no previsto" error="Valor fuera de la lista. Si necesitas uno nuevo, añádelo en taxonomia.yaml y regenera." type="list" errorStyle="warning">
      <formula1>=Config!$B$2:$B$6</formula1>
    </dataValidation>
    <dataValidation sqref="M2:M41" showDropDown="0" showInputMessage="0" showErrorMessage="0" allowBlank="1" errorTitle="Valor no previsto" error="Valor fuera de la lista. Si necesitas uno nuevo, añádelo en taxonomia.yaml y regenera." type="list" errorStyle="warning">
      <formula1>=Config!$E$2:$E$4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045C8"/>
    <outlinePr summaryBelow="1" summaryRight="1"/>
    <pageSetUpPr/>
  </sheetPr>
  <dimension ref="A1:O7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34" customWidth="1" min="11" max="11"/>
    <col width="13" customWidth="1" min="12" max="12"/>
    <col width="22" customWidth="1" min="13" max="13"/>
    <col width="14" customWidth="1" min="14" max="14"/>
    <col width="12" customWidth="1" min="15" max="15"/>
  </cols>
  <sheetData>
    <row r="1" ht="34" customHeight="1">
      <c r="A1" s="18" t="inlineStr">
        <is>
          <t>ID</t>
        </is>
      </c>
      <c r="B1" s="18" t="inlineStr">
        <is>
          <t>Proyecto ID</t>
        </is>
      </c>
      <c r="C1" s="18" t="inlineStr">
        <is>
          <t>KPI</t>
        </is>
      </c>
      <c r="D1" s="18" t="inlineStr">
        <is>
          <t>Unidad</t>
        </is>
      </c>
      <c r="E1" s="18" t="inlineStr">
        <is>
          <t>Dirección</t>
        </is>
      </c>
      <c r="F1" s="18" t="inlineStr">
        <is>
          <t>Baseline</t>
        </is>
      </c>
      <c r="G1" s="18" t="inlineStr">
        <is>
          <t>Target</t>
        </is>
      </c>
      <c r="H1" s="18" t="inlineStr">
        <is>
          <t>Actual</t>
        </is>
      </c>
      <c r="I1" s="18" t="inlineStr">
        <is>
          <t>Frecuencia</t>
        </is>
      </c>
      <c r="J1" s="18" t="inlineStr">
        <is>
          <t>Fuente</t>
        </is>
      </c>
      <c r="K1" s="44" t="inlineStr">
        <is>
          <t>ƒ Proyecto</t>
        </is>
      </c>
      <c r="L1" s="44" t="inlineStr">
        <is>
          <t>ƒ Departamento</t>
        </is>
      </c>
      <c r="M1" s="44" t="inlineStr">
        <is>
          <t>ƒ Subárea</t>
        </is>
      </c>
      <c r="N1" s="44" t="inlineStr">
        <is>
          <t>ƒ % consecución</t>
        </is>
      </c>
      <c r="O1" s="44" t="inlineStr">
        <is>
          <t>ƒ Estado</t>
        </is>
      </c>
    </row>
    <row r="2" ht="17" customHeight="1">
      <c r="A2" s="24" t="inlineStr">
        <is>
          <t>KPI-001</t>
        </is>
      </c>
      <c r="B2" s="24" t="inlineStr">
        <is>
          <t>GRW-001</t>
        </is>
      </c>
      <c r="C2" s="19" t="inlineStr">
        <is>
          <t>MQL generados (trimestre)</t>
        </is>
      </c>
      <c r="D2" s="24" t="inlineStr">
        <is>
          <t>nº</t>
        </is>
      </c>
      <c r="E2" s="24" t="inlineStr">
        <is>
          <t>Subir</t>
        </is>
      </c>
      <c r="F2" s="20" t="n">
        <v>1150</v>
      </c>
      <c r="G2" s="20" t="n">
        <v>2250</v>
      </c>
      <c r="H2" s="20" t="n">
        <v>1480</v>
      </c>
      <c r="I2" s="24" t="inlineStr">
        <is>
          <t>Semanal</t>
        </is>
      </c>
      <c r="J2" s="24" t="inlineStr">
        <is>
          <t>HubSpot</t>
        </is>
      </c>
      <c r="K2" s="55">
        <f>IF($B2="","",IFERROR(INDEX(Proyectos!$B$2:$B$41,MATCH($B2,Proyectos!$A$2:$A$41,0)),"⚠ ID no encontrado"))</f>
        <v/>
      </c>
      <c r="L2" s="56">
        <f>IF($B2="","",IFERROR(INDEX(Proyectos!$C$2:$C$41,MATCH($B2,Proyectos!$A$2:$A$41,0)),"⚠ ID no encontrado"))</f>
        <v/>
      </c>
      <c r="M2" s="56">
        <f>IF($B2="","",IFERROR(INDEX(Proyectos!$D$2:$D$41,MATCH($B2,Proyectos!$A$2:$A$41,0)),"⚠ ID no encontrado"))</f>
        <v/>
      </c>
      <c r="N2" s="57">
        <f>IF(OR($B2="",$E2="",$F2="",$G2="",$H2=""),"",IFERROR(IF($E2="Bajar",($F2-$H2)/($F2-$G2),($H2-$F2)/($G2-$F2)),""))</f>
        <v/>
      </c>
      <c r="O2" s="56">
        <f>IF($N2="","",IF($N2&gt;=1,"Conseguido",IF($N2&gt;=0.7,"En camino",IF($N2&gt;=0.3,"Atención","Crítico"))))</f>
        <v/>
      </c>
    </row>
    <row r="3" ht="17" customHeight="1">
      <c r="A3" s="24" t="inlineStr">
        <is>
          <t>KPI-002</t>
        </is>
      </c>
      <c r="B3" s="24" t="inlineStr">
        <is>
          <t>GRW-001</t>
        </is>
      </c>
      <c r="C3" s="19" t="inlineStr">
        <is>
          <t>CAC blended</t>
        </is>
      </c>
      <c r="D3" s="24" t="inlineStr">
        <is>
          <t>EUR</t>
        </is>
      </c>
      <c r="E3" s="24" t="inlineStr">
        <is>
          <t>Bajar</t>
        </is>
      </c>
      <c r="F3" s="22" t="n">
        <v>690</v>
      </c>
      <c r="G3" s="22" t="n">
        <v>620</v>
      </c>
      <c r="H3" s="22" t="n">
        <v>715</v>
      </c>
      <c r="I3" s="24" t="inlineStr">
        <is>
          <t>Semanal</t>
        </is>
      </c>
      <c r="J3" s="24" t="inlineStr">
        <is>
          <t>Meta Ads</t>
        </is>
      </c>
      <c r="K3" s="55">
        <f>IF($B3="","",IFERROR(INDEX(Proyectos!$B$2:$B$41,MATCH($B3,Proyectos!$A$2:$A$41,0)),"⚠ ID no encontrado"))</f>
        <v/>
      </c>
      <c r="L3" s="56">
        <f>IF($B3="","",IFERROR(INDEX(Proyectos!$C$2:$C$41,MATCH($B3,Proyectos!$A$2:$A$41,0)),"⚠ ID no encontrado"))</f>
        <v/>
      </c>
      <c r="M3" s="56">
        <f>IF($B3="","",IFERROR(INDEX(Proyectos!$D$2:$D$41,MATCH($B3,Proyectos!$A$2:$A$41,0)),"⚠ ID no encontrado"))</f>
        <v/>
      </c>
      <c r="N3" s="57">
        <f>IF(OR($B3="",$E3="",$F3="",$G3="",$H3=""),"",IFERROR(IF($E3="Bajar",($F3-$H3)/($F3-$G3),($H3-$F3)/($G3-$F3)),""))</f>
        <v/>
      </c>
      <c r="O3" s="56">
        <f>IF($N3="","",IF($N3&gt;=1,"Conseguido",IF($N3&gt;=0.7,"En camino",IF($N3&gt;=0.3,"Atención","Crítico"))))</f>
        <v/>
      </c>
    </row>
    <row r="4" ht="17" customHeight="1">
      <c r="A4" s="24" t="inlineStr">
        <is>
          <t>KPI-003</t>
        </is>
      </c>
      <c r="B4" s="24" t="inlineStr">
        <is>
          <t>GRW-001</t>
        </is>
      </c>
      <c r="C4" s="19" t="inlineStr">
        <is>
          <t>ROAS campañas paid</t>
        </is>
      </c>
      <c r="D4" s="24" t="inlineStr">
        <is>
          <t>ratio</t>
        </is>
      </c>
      <c r="E4" s="24" t="inlineStr">
        <is>
          <t>Subir</t>
        </is>
      </c>
      <c r="F4" s="58" t="n">
        <v>2.4</v>
      </c>
      <c r="G4" s="58" t="n">
        <v>3.2</v>
      </c>
      <c r="H4" s="58" t="n">
        <v>2.6</v>
      </c>
      <c r="I4" s="24" t="inlineStr">
        <is>
          <t>Semanal</t>
        </is>
      </c>
      <c r="J4" s="24" t="inlineStr">
        <is>
          <t>Google Ads</t>
        </is>
      </c>
      <c r="K4" s="55">
        <f>IF($B4="","",IFERROR(INDEX(Proyectos!$B$2:$B$41,MATCH($B4,Proyectos!$A$2:$A$41,0)),"⚠ ID no encontrado"))</f>
        <v/>
      </c>
      <c r="L4" s="56">
        <f>IF($B4="","",IFERROR(INDEX(Proyectos!$C$2:$C$41,MATCH($B4,Proyectos!$A$2:$A$41,0)),"⚠ ID no encontrado"))</f>
        <v/>
      </c>
      <c r="M4" s="56">
        <f>IF($B4="","",IFERROR(INDEX(Proyectos!$D$2:$D$41,MATCH($B4,Proyectos!$A$2:$A$41,0)),"⚠ ID no encontrado"))</f>
        <v/>
      </c>
      <c r="N4" s="57">
        <f>IF(OR($B4="",$E4="",$F4="",$G4="",$H4=""),"",IFERROR(IF($E4="Bajar",($F4-$H4)/($F4-$G4),($H4-$F4)/($G4-$F4)),""))</f>
        <v/>
      </c>
      <c r="O4" s="56">
        <f>IF($N4="","",IF($N4&gt;=1,"Conseguido",IF($N4&gt;=0.7,"En camino",IF($N4&gt;=0.3,"Atención","Crítico"))))</f>
        <v/>
      </c>
    </row>
    <row r="5" ht="17" customHeight="1">
      <c r="A5" s="24" t="inlineStr">
        <is>
          <t>KPI-004</t>
        </is>
      </c>
      <c r="B5" s="24" t="inlineStr">
        <is>
          <t>GRW-002</t>
        </is>
      </c>
      <c r="C5" s="19" t="inlineStr">
        <is>
          <t>CVR visita → lead</t>
        </is>
      </c>
      <c r="D5" s="24" t="inlineStr">
        <is>
          <t>%</t>
        </is>
      </c>
      <c r="E5" s="24" t="inlineStr">
        <is>
          <t>Subir</t>
        </is>
      </c>
      <c r="F5" s="59" t="n">
        <v>0.021</v>
      </c>
      <c r="G5" s="59" t="n">
        <v>0.028</v>
      </c>
      <c r="H5" s="59" t="n">
        <v>0.0235</v>
      </c>
      <c r="I5" s="24" t="inlineStr">
        <is>
          <t>Semanal</t>
        </is>
      </c>
      <c r="J5" s="24" t="inlineStr">
        <is>
          <t>GA4</t>
        </is>
      </c>
      <c r="K5" s="55">
        <f>IF($B5="","",IFERROR(INDEX(Proyectos!$B$2:$B$41,MATCH($B5,Proyectos!$A$2:$A$41,0)),"⚠ ID no encontrado"))</f>
        <v/>
      </c>
      <c r="L5" s="56">
        <f>IF($B5="","",IFERROR(INDEX(Proyectos!$C$2:$C$41,MATCH($B5,Proyectos!$A$2:$A$41,0)),"⚠ ID no encontrado"))</f>
        <v/>
      </c>
      <c r="M5" s="56">
        <f>IF($B5="","",IFERROR(INDEX(Proyectos!$D$2:$D$41,MATCH($B5,Proyectos!$A$2:$A$41,0)),"⚠ ID no encontrado"))</f>
        <v/>
      </c>
      <c r="N5" s="57">
        <f>IF(OR($B5="",$E5="",$F5="",$G5="",$H5=""),"",IFERROR(IF($E5="Bajar",($F5-$H5)/($F5-$G5),($H5-$F5)/($G5-$F5)),""))</f>
        <v/>
      </c>
      <c r="O5" s="56">
        <f>IF($N5="","",IF($N5&gt;=1,"Conseguido",IF($N5&gt;=0.7,"En camino",IF($N5&gt;=0.3,"Atención","Crítico"))))</f>
        <v/>
      </c>
    </row>
    <row r="6" ht="17" customHeight="1">
      <c r="A6" s="24" t="inlineStr">
        <is>
          <t>KPI-005</t>
        </is>
      </c>
      <c r="B6" s="24" t="inlineStr">
        <is>
          <t>GRW-002</t>
        </is>
      </c>
      <c r="C6" s="19" t="inlineStr">
        <is>
          <t>Scroll depth al pricing</t>
        </is>
      </c>
      <c r="D6" s="24" t="inlineStr">
        <is>
          <t>%</t>
        </is>
      </c>
      <c r="E6" s="24" t="inlineStr">
        <is>
          <t>Subir</t>
        </is>
      </c>
      <c r="F6" s="59" t="n">
        <v>0.34</v>
      </c>
      <c r="G6" s="59" t="n">
        <v>0.6</v>
      </c>
      <c r="H6" s="59" t="n">
        <v>0.41</v>
      </c>
      <c r="I6" s="24" t="inlineStr">
        <is>
          <t>Semanal</t>
        </is>
      </c>
      <c r="J6" s="24" t="inlineStr">
        <is>
          <t>GA4</t>
        </is>
      </c>
      <c r="K6" s="55">
        <f>IF($B6="","",IFERROR(INDEX(Proyectos!$B$2:$B$41,MATCH($B6,Proyectos!$A$2:$A$41,0)),"⚠ ID no encontrado"))</f>
        <v/>
      </c>
      <c r="L6" s="56">
        <f>IF($B6="","",IFERROR(INDEX(Proyectos!$C$2:$C$41,MATCH($B6,Proyectos!$A$2:$A$41,0)),"⚠ ID no encontrado"))</f>
        <v/>
      </c>
      <c r="M6" s="56">
        <f>IF($B6="","",IFERROR(INDEX(Proyectos!$D$2:$D$41,MATCH($B6,Proyectos!$A$2:$A$41,0)),"⚠ ID no encontrado"))</f>
        <v/>
      </c>
      <c r="N6" s="57">
        <f>IF(OR($B6="",$E6="",$F6="",$G6="",$H6=""),"",IFERROR(IF($E6="Bajar",($F6-$H6)/($F6-$G6),($H6-$F6)/($G6-$F6)),""))</f>
        <v/>
      </c>
      <c r="O6" s="56">
        <f>IF($N6="","",IF($N6&gt;=1,"Conseguido",IF($N6&gt;=0.7,"En camino",IF($N6&gt;=0.3,"Atención","Crítico"))))</f>
        <v/>
      </c>
    </row>
    <row r="7" ht="17" customHeight="1">
      <c r="A7" s="24" t="inlineStr">
        <is>
          <t>KPI-006</t>
        </is>
      </c>
      <c r="B7" s="24" t="inlineStr">
        <is>
          <t>GRW-003</t>
        </is>
      </c>
      <c r="C7" s="19" t="inlineStr">
        <is>
          <t>Sesiones orgánicas / mes</t>
        </is>
      </c>
      <c r="D7" s="24" t="inlineStr">
        <is>
          <t>nº</t>
        </is>
      </c>
      <c r="E7" s="24" t="inlineStr">
        <is>
          <t>Subir</t>
        </is>
      </c>
      <c r="F7" s="20" t="n">
        <v>18000</v>
      </c>
      <c r="G7" s="20" t="n">
        <v>60000</v>
      </c>
      <c r="H7" s="20" t="n">
        <v>27500</v>
      </c>
      <c r="I7" s="24" t="inlineStr">
        <is>
          <t>Mensual</t>
        </is>
      </c>
      <c r="J7" s="24" t="inlineStr">
        <is>
          <t>Search Console</t>
        </is>
      </c>
      <c r="K7" s="55">
        <f>IF($B7="","",IFERROR(INDEX(Proyectos!$B$2:$B$41,MATCH($B7,Proyectos!$A$2:$A$41,0)),"⚠ ID no encontrado"))</f>
        <v/>
      </c>
      <c r="L7" s="56">
        <f>IF($B7="","",IFERROR(INDEX(Proyectos!$C$2:$C$41,MATCH($B7,Proyectos!$A$2:$A$41,0)),"⚠ ID no encontrado"))</f>
        <v/>
      </c>
      <c r="M7" s="56">
        <f>IF($B7="","",IFERROR(INDEX(Proyectos!$D$2:$D$41,MATCH($B7,Proyectos!$A$2:$A$41,0)),"⚠ ID no encontrado"))</f>
        <v/>
      </c>
      <c r="N7" s="57">
        <f>IF(OR($B7="",$E7="",$F7="",$G7="",$H7=""),"",IFERROR(IF($E7="Bajar",($F7-$H7)/($F7-$G7),($H7-$F7)/($G7-$F7)),""))</f>
        <v/>
      </c>
      <c r="O7" s="56">
        <f>IF($N7="","",IF($N7&gt;=1,"Conseguido",IF($N7&gt;=0.7,"En camino",IF($N7&gt;=0.3,"Atención","Crítico"))))</f>
        <v/>
      </c>
    </row>
    <row r="8" ht="17" customHeight="1">
      <c r="A8" s="24" t="inlineStr">
        <is>
          <t>KPI-007</t>
        </is>
      </c>
      <c r="B8" s="24" t="inlineStr">
        <is>
          <t>GRW-003</t>
        </is>
      </c>
      <c r="C8" s="19" t="inlineStr">
        <is>
          <t>Keywords en top 10</t>
        </is>
      </c>
      <c r="D8" s="24" t="inlineStr">
        <is>
          <t>nº</t>
        </is>
      </c>
      <c r="E8" s="24" t="inlineStr">
        <is>
          <t>Subir</t>
        </is>
      </c>
      <c r="F8" s="20" t="n">
        <v>34</v>
      </c>
      <c r="G8" s="20" t="n">
        <v>140</v>
      </c>
      <c r="H8" s="20" t="n">
        <v>61</v>
      </c>
      <c r="I8" s="24" t="inlineStr">
        <is>
          <t>Mensual</t>
        </is>
      </c>
      <c r="J8" s="24" t="inlineStr">
        <is>
          <t>Search Console</t>
        </is>
      </c>
      <c r="K8" s="55">
        <f>IF($B8="","",IFERROR(INDEX(Proyectos!$B$2:$B$41,MATCH($B8,Proyectos!$A$2:$A$41,0)),"⚠ ID no encontrado"))</f>
        <v/>
      </c>
      <c r="L8" s="56">
        <f>IF($B8="","",IFERROR(INDEX(Proyectos!$C$2:$C$41,MATCH($B8,Proyectos!$A$2:$A$41,0)),"⚠ ID no encontrado"))</f>
        <v/>
      </c>
      <c r="M8" s="56">
        <f>IF($B8="","",IFERROR(INDEX(Proyectos!$D$2:$D$41,MATCH($B8,Proyectos!$A$2:$A$41,0)),"⚠ ID no encontrado"))</f>
        <v/>
      </c>
      <c r="N8" s="57">
        <f>IF(OR($B8="",$E8="",$F8="",$G8="",$H8=""),"",IFERROR(IF($E8="Bajar",($F8-$H8)/($F8-$G8),($H8-$F8)/($G8-$F8)),""))</f>
        <v/>
      </c>
      <c r="O8" s="56">
        <f>IF($N8="","",IF($N8&gt;=1,"Conseguido",IF($N8&gt;=0.7,"En camino",IF($N8&gt;=0.3,"Atención","Crítico"))))</f>
        <v/>
      </c>
    </row>
    <row r="9" ht="17" customHeight="1">
      <c r="A9" s="24" t="inlineStr">
        <is>
          <t>KPI-008</t>
        </is>
      </c>
      <c r="B9" s="24" t="inlineStr">
        <is>
          <t>GRW-003</t>
        </is>
      </c>
      <c r="C9" s="19" t="inlineStr">
        <is>
          <t>Artículos publicados</t>
        </is>
      </c>
      <c r="D9" s="24" t="inlineStr">
        <is>
          <t>nº</t>
        </is>
      </c>
      <c r="E9" s="24" t="inlineStr">
        <is>
          <t>Subir</t>
        </is>
      </c>
      <c r="F9" s="20" t="n">
        <v>0</v>
      </c>
      <c r="G9" s="20" t="n">
        <v>40</v>
      </c>
      <c r="H9" s="20" t="n">
        <v>16</v>
      </c>
      <c r="I9" s="24" t="inlineStr">
        <is>
          <t>Mensual</t>
        </is>
      </c>
      <c r="J9" s="24" t="inlineStr">
        <is>
          <t>Manual</t>
        </is>
      </c>
      <c r="K9" s="55">
        <f>IF($B9="","",IFERROR(INDEX(Proyectos!$B$2:$B$41,MATCH($B9,Proyectos!$A$2:$A$41,0)),"⚠ ID no encontrado"))</f>
        <v/>
      </c>
      <c r="L9" s="56">
        <f>IF($B9="","",IFERROR(INDEX(Proyectos!$C$2:$C$41,MATCH($B9,Proyectos!$A$2:$A$41,0)),"⚠ ID no encontrado"))</f>
        <v/>
      </c>
      <c r="M9" s="56">
        <f>IF($B9="","",IFERROR(INDEX(Proyectos!$D$2:$D$41,MATCH($B9,Proyectos!$A$2:$A$41,0)),"⚠ ID no encontrado"))</f>
        <v/>
      </c>
      <c r="N9" s="57">
        <f>IF(OR($B9="",$E9="",$F9="",$G9="",$H9=""),"",IFERROR(IF($E9="Bajar",($F9-$H9)/($F9-$G9),($H9-$F9)/($G9-$F9)),""))</f>
        <v/>
      </c>
      <c r="O9" s="56">
        <f>IF($N9="","",IF($N9&gt;=1,"Conseguido",IF($N9&gt;=0.7,"En camino",IF($N9&gt;=0.3,"Atención","Crítico"))))</f>
        <v/>
      </c>
    </row>
    <row r="10" ht="17" customHeight="1">
      <c r="A10" s="24" t="inlineStr">
        <is>
          <t>KPI-009</t>
        </is>
      </c>
      <c r="B10" s="24" t="inlineStr">
        <is>
          <t>GRW-004</t>
        </is>
      </c>
      <c r="C10" s="19" t="inlineStr">
        <is>
          <t>Días de ciclo lead → matrícula</t>
        </is>
      </c>
      <c r="D10" s="24" t="inlineStr">
        <is>
          <t>días</t>
        </is>
      </c>
      <c r="E10" s="24" t="inlineStr">
        <is>
          <t>Bajar</t>
        </is>
      </c>
      <c r="F10" s="60" t="n">
        <v>34</v>
      </c>
      <c r="G10" s="60" t="n">
        <v>26</v>
      </c>
      <c r="H10" s="60" t="n">
        <v>31</v>
      </c>
      <c r="I10" s="24" t="inlineStr">
        <is>
          <t>Mensual</t>
        </is>
      </c>
      <c r="J10" s="24" t="inlineStr">
        <is>
          <t>HubSpot</t>
        </is>
      </c>
      <c r="K10" s="55">
        <f>IF($B10="","",IFERROR(INDEX(Proyectos!$B$2:$B$41,MATCH($B10,Proyectos!$A$2:$A$41,0)),"⚠ ID no encontrado"))</f>
        <v/>
      </c>
      <c r="L10" s="56">
        <f>IF($B10="","",IFERROR(INDEX(Proyectos!$C$2:$C$41,MATCH($B10,Proyectos!$A$2:$A$41,0)),"⚠ ID no encontrado"))</f>
        <v/>
      </c>
      <c r="M10" s="56">
        <f>IF($B10="","",IFERROR(INDEX(Proyectos!$D$2:$D$41,MATCH($B10,Proyectos!$A$2:$A$41,0)),"⚠ ID no encontrado"))</f>
        <v/>
      </c>
      <c r="N10" s="57">
        <f>IF(OR($B10="",$E10="",$F10="",$G10="",$H10=""),"",IFERROR(IF($E10="Bajar",($F10-$H10)/($F10-$G10),($H10-$F10)/($G10-$F10)),""))</f>
        <v/>
      </c>
      <c r="O10" s="56">
        <f>IF($N10="","",IF($N10&gt;=1,"Conseguido",IF($N10&gt;=0.7,"En camino",IF($N10&gt;=0.3,"Atención","Crítico"))))</f>
        <v/>
      </c>
    </row>
    <row r="11" ht="17" customHeight="1">
      <c r="A11" s="24" t="inlineStr">
        <is>
          <t>KPI-010</t>
        </is>
      </c>
      <c r="B11" s="24" t="inlineStr">
        <is>
          <t>GRW-004</t>
        </is>
      </c>
      <c r="C11" s="19" t="inlineStr">
        <is>
          <t>Conversión MQL → matrícula</t>
        </is>
      </c>
      <c r="D11" s="24" t="inlineStr">
        <is>
          <t>%</t>
        </is>
      </c>
      <c r="E11" s="24" t="inlineStr">
        <is>
          <t>Subir</t>
        </is>
      </c>
      <c r="F11" s="59" t="n">
        <v>0.058</v>
      </c>
      <c r="G11" s="59" t="n">
        <v>0.098</v>
      </c>
      <c r="H11" s="59" t="n">
        <v>0.067</v>
      </c>
      <c r="I11" s="24" t="inlineStr">
        <is>
          <t>Mensual</t>
        </is>
      </c>
      <c r="J11" s="24" t="inlineStr">
        <is>
          <t>HubSpot</t>
        </is>
      </c>
      <c r="K11" s="55">
        <f>IF($B11="","",IFERROR(INDEX(Proyectos!$B$2:$B$41,MATCH($B11,Proyectos!$A$2:$A$41,0)),"⚠ ID no encontrado"))</f>
        <v/>
      </c>
      <c r="L11" s="56">
        <f>IF($B11="","",IFERROR(INDEX(Proyectos!$C$2:$C$41,MATCH($B11,Proyectos!$A$2:$A$41,0)),"⚠ ID no encontrado"))</f>
        <v/>
      </c>
      <c r="M11" s="56">
        <f>IF($B11="","",IFERROR(INDEX(Proyectos!$D$2:$D$41,MATCH($B11,Proyectos!$A$2:$A$41,0)),"⚠ ID no encontrado"))</f>
        <v/>
      </c>
      <c r="N11" s="57">
        <f>IF(OR($B11="",$E11="",$F11="",$G11="",$H11=""),"",IFERROR(IF($E11="Bajar",($F11-$H11)/($F11-$G11),($H11-$F11)/($G11-$F11)),""))</f>
        <v/>
      </c>
      <c r="O11" s="56">
        <f>IF($N11="","",IF($N11&gt;=1,"Conseguido",IF($N11&gt;=0.7,"En camino",IF($N11&gt;=0.3,"Atención","Crítico"))))</f>
        <v/>
      </c>
    </row>
    <row r="12" ht="17" customHeight="1">
      <c r="A12" s="24" t="inlineStr">
        <is>
          <t>KPI-011</t>
        </is>
      </c>
      <c r="B12" s="24" t="inlineStr">
        <is>
          <t>GRW-004</t>
        </is>
      </c>
      <c r="C12" s="19" t="inlineStr">
        <is>
          <t>Tasa de apertura secuencias</t>
        </is>
      </c>
      <c r="D12" s="24" t="inlineStr">
        <is>
          <t>%</t>
        </is>
      </c>
      <c r="E12" s="24" t="inlineStr">
        <is>
          <t>Subir</t>
        </is>
      </c>
      <c r="F12" s="59" t="n">
        <v>0.28</v>
      </c>
      <c r="G12" s="59" t="n">
        <v>0.42</v>
      </c>
      <c r="H12" s="59" t="n">
        <v>0.355</v>
      </c>
      <c r="I12" s="24" t="inlineStr">
        <is>
          <t>Semanal</t>
        </is>
      </c>
      <c r="J12" s="24" t="inlineStr">
        <is>
          <t>HubSpot</t>
        </is>
      </c>
      <c r="K12" s="55">
        <f>IF($B12="","",IFERROR(INDEX(Proyectos!$B$2:$B$41,MATCH($B12,Proyectos!$A$2:$A$41,0)),"⚠ ID no encontrado"))</f>
        <v/>
      </c>
      <c r="L12" s="56">
        <f>IF($B12="","",IFERROR(INDEX(Proyectos!$C$2:$C$41,MATCH($B12,Proyectos!$A$2:$A$41,0)),"⚠ ID no encontrado"))</f>
        <v/>
      </c>
      <c r="M12" s="56">
        <f>IF($B12="","",IFERROR(INDEX(Proyectos!$D$2:$D$41,MATCH($B12,Proyectos!$A$2:$A$41,0)),"⚠ ID no encontrado"))</f>
        <v/>
      </c>
      <c r="N12" s="57">
        <f>IF(OR($B12="",$E12="",$F12="",$G12="",$H12=""),"",IFERROR(IF($E12="Bajar",($F12-$H12)/($F12-$G12),($H12-$F12)/($G12-$F12)),""))</f>
        <v/>
      </c>
      <c r="O12" s="56">
        <f>IF($N12="","",IF($N12&gt;=1,"Conseguido",IF($N12&gt;=0.7,"En camino",IF($N12&gt;=0.3,"Atención","Crítico"))))</f>
        <v/>
      </c>
    </row>
    <row r="13" ht="17" customHeight="1">
      <c r="A13" s="24" t="inlineStr">
        <is>
          <t>KPI-012</t>
        </is>
      </c>
      <c r="B13" s="24" t="inlineStr">
        <is>
          <t>GRW-005</t>
        </is>
      </c>
      <c r="C13" s="19" t="inlineStr">
        <is>
          <t>Embajadores activos</t>
        </is>
      </c>
      <c r="D13" s="24" t="inlineStr">
        <is>
          <t>nº</t>
        </is>
      </c>
      <c r="E13" s="24" t="inlineStr">
        <is>
          <t>Subir</t>
        </is>
      </c>
      <c r="F13" s="20" t="n">
        <v>0</v>
      </c>
      <c r="G13" s="20" t="n">
        <v>120</v>
      </c>
      <c r="H13" s="20" t="n">
        <v>0</v>
      </c>
      <c r="I13" s="24" t="inlineStr">
        <is>
          <t>Mensual</t>
        </is>
      </c>
      <c r="J13" s="24" t="inlineStr">
        <is>
          <t>Manual</t>
        </is>
      </c>
      <c r="K13" s="55">
        <f>IF($B13="","",IFERROR(INDEX(Proyectos!$B$2:$B$41,MATCH($B13,Proyectos!$A$2:$A$41,0)),"⚠ ID no encontrado"))</f>
        <v/>
      </c>
      <c r="L13" s="56">
        <f>IF($B13="","",IFERROR(INDEX(Proyectos!$C$2:$C$41,MATCH($B13,Proyectos!$A$2:$A$41,0)),"⚠ ID no encontrado"))</f>
        <v/>
      </c>
      <c r="M13" s="56">
        <f>IF($B13="","",IFERROR(INDEX(Proyectos!$D$2:$D$41,MATCH($B13,Proyectos!$A$2:$A$41,0)),"⚠ ID no encontrado"))</f>
        <v/>
      </c>
      <c r="N13" s="57">
        <f>IF(OR($B13="",$E13="",$F13="",$G13="",$H13=""),"",IFERROR(IF($E13="Bajar",($F13-$H13)/($F13-$G13),($H13-$F13)/($G13-$F13)),""))</f>
        <v/>
      </c>
      <c r="O13" s="56">
        <f>IF($N13="","",IF($N13&gt;=1,"Conseguido",IF($N13&gt;=0.7,"En camino",IF($N13&gt;=0.3,"Atención","Crítico"))))</f>
        <v/>
      </c>
    </row>
    <row r="14" ht="17" customHeight="1">
      <c r="A14" s="24" t="inlineStr">
        <is>
          <t>KPI-013</t>
        </is>
      </c>
      <c r="B14" s="24" t="inlineStr">
        <is>
          <t>GRW-005</t>
        </is>
      </c>
      <c r="C14" s="19" t="inlineStr">
        <is>
          <t>% matrículas por referido</t>
        </is>
      </c>
      <c r="D14" s="24" t="inlineStr">
        <is>
          <t>%</t>
        </is>
      </c>
      <c r="E14" s="24" t="inlineStr">
        <is>
          <t>Subir</t>
        </is>
      </c>
      <c r="F14" s="59" t="n">
        <v>0.012</v>
      </c>
      <c r="G14" s="59" t="n">
        <v>0.08</v>
      </c>
      <c r="H14" s="59" t="n">
        <v>0.012</v>
      </c>
      <c r="I14" s="24" t="inlineStr">
        <is>
          <t>Mensual</t>
        </is>
      </c>
      <c r="J14" s="24" t="inlineStr">
        <is>
          <t>HubSpot</t>
        </is>
      </c>
      <c r="K14" s="55">
        <f>IF($B14="","",IFERROR(INDEX(Proyectos!$B$2:$B$41,MATCH($B14,Proyectos!$A$2:$A$41,0)),"⚠ ID no encontrado"))</f>
        <v/>
      </c>
      <c r="L14" s="56">
        <f>IF($B14="","",IFERROR(INDEX(Proyectos!$C$2:$C$41,MATCH($B14,Proyectos!$A$2:$A$41,0)),"⚠ ID no encontrado"))</f>
        <v/>
      </c>
      <c r="M14" s="56">
        <f>IF($B14="","",IFERROR(INDEX(Proyectos!$D$2:$D$41,MATCH($B14,Proyectos!$A$2:$A$41,0)),"⚠ ID no encontrado"))</f>
        <v/>
      </c>
      <c r="N14" s="57">
        <f>IF(OR($B14="",$E14="",$F14="",$G14="",$H14=""),"",IFERROR(IF($E14="Bajar",($F14-$H14)/($F14-$G14),($H14-$F14)/($G14-$F14)),""))</f>
        <v/>
      </c>
      <c r="O14" s="56">
        <f>IF($N14="","",IF($N14&gt;=1,"Conseguido",IF($N14&gt;=0.7,"En camino",IF($N14&gt;=0.3,"Atención","Crítico"))))</f>
        <v/>
      </c>
    </row>
    <row r="15" ht="17" customHeight="1">
      <c r="A15" s="24" t="inlineStr">
        <is>
          <t>KPI-014</t>
        </is>
      </c>
      <c r="B15" s="24" t="inlineStr">
        <is>
          <t>GRW-006</t>
        </is>
      </c>
      <c r="C15" s="19" t="inlineStr">
        <is>
          <t>CVR visita → lead (Augment MBA)</t>
        </is>
      </c>
      <c r="D15" s="24" t="inlineStr">
        <is>
          <t>%</t>
        </is>
      </c>
      <c r="E15" s="24" t="inlineStr">
        <is>
          <t>Subir</t>
        </is>
      </c>
      <c r="F15" s="59" t="n">
        <v>0</v>
      </c>
      <c r="G15" s="59" t="n">
        <v>0.022</v>
      </c>
      <c r="H15" s="59" t="n">
        <v>0.019</v>
      </c>
      <c r="I15" s="24" t="inlineStr">
        <is>
          <t>Semanal</t>
        </is>
      </c>
      <c r="J15" s="24" t="inlineStr">
        <is>
          <t>GA4</t>
        </is>
      </c>
      <c r="K15" s="55">
        <f>IF($B15="","",IFERROR(INDEX(Proyectos!$B$2:$B$41,MATCH($B15,Proyectos!$A$2:$A$41,0)),"⚠ ID no encontrado"))</f>
        <v/>
      </c>
      <c r="L15" s="56">
        <f>IF($B15="","",IFERROR(INDEX(Proyectos!$C$2:$C$41,MATCH($B15,Proyectos!$A$2:$A$41,0)),"⚠ ID no encontrado"))</f>
        <v/>
      </c>
      <c r="M15" s="56">
        <f>IF($B15="","",IFERROR(INDEX(Proyectos!$D$2:$D$41,MATCH($B15,Proyectos!$A$2:$A$41,0)),"⚠ ID no encontrado"))</f>
        <v/>
      </c>
      <c r="N15" s="57">
        <f>IF(OR($B15="",$E15="",$F15="",$G15="",$H15=""),"",IFERROR(IF($E15="Bajar",($F15-$H15)/($F15-$G15),($H15-$F15)/($G15-$F15)),""))</f>
        <v/>
      </c>
      <c r="O15" s="56">
        <f>IF($N15="","",IF($N15&gt;=1,"Conseguido",IF($N15&gt;=0.7,"En camino",IF($N15&gt;=0.3,"Atención","Crítico"))))</f>
        <v/>
      </c>
    </row>
    <row r="16" ht="17" customHeight="1">
      <c r="A16" s="24" t="inlineStr">
        <is>
          <t>KPI-015</t>
        </is>
      </c>
      <c r="B16" s="24" t="inlineStr">
        <is>
          <t>GRW-006</t>
        </is>
      </c>
      <c r="C16" s="19" t="inlineStr">
        <is>
          <t>Lighthouse performance mobile</t>
        </is>
      </c>
      <c r="D16" s="24" t="inlineStr">
        <is>
          <t>nº</t>
        </is>
      </c>
      <c r="E16" s="24" t="inlineStr">
        <is>
          <t>Subir</t>
        </is>
      </c>
      <c r="F16" s="20" t="n">
        <v>0</v>
      </c>
      <c r="G16" s="20" t="n">
        <v>90</v>
      </c>
      <c r="H16" s="20" t="n">
        <v>94</v>
      </c>
      <c r="I16" s="24" t="inlineStr">
        <is>
          <t>Mensual</t>
        </is>
      </c>
      <c r="J16" s="24" t="inlineStr">
        <is>
          <t>Manual</t>
        </is>
      </c>
      <c r="K16" s="55">
        <f>IF($B16="","",IFERROR(INDEX(Proyectos!$B$2:$B$41,MATCH($B16,Proyectos!$A$2:$A$41,0)),"⚠ ID no encontrado"))</f>
        <v/>
      </c>
      <c r="L16" s="56">
        <f>IF($B16="","",IFERROR(INDEX(Proyectos!$C$2:$C$41,MATCH($B16,Proyectos!$A$2:$A$41,0)),"⚠ ID no encontrado"))</f>
        <v/>
      </c>
      <c r="M16" s="56">
        <f>IF($B16="","",IFERROR(INDEX(Proyectos!$D$2:$D$41,MATCH($B16,Proyectos!$A$2:$A$41,0)),"⚠ ID no encontrado"))</f>
        <v/>
      </c>
      <c r="N16" s="57">
        <f>IF(OR($B16="",$E16="",$F16="",$G16="",$H16=""),"",IFERROR(IF($E16="Bajar",($F16-$H16)/($F16-$G16),($H16-$F16)/($G16-$F16)),""))</f>
        <v/>
      </c>
      <c r="O16" s="56">
        <f>IF($N16="","",IF($N16&gt;=1,"Conseguido",IF($N16&gt;=0.7,"En camino",IF($N16&gt;=0.3,"Atención","Crítico"))))</f>
        <v/>
      </c>
    </row>
    <row r="17" ht="17" customHeight="1">
      <c r="A17" s="24" t="inlineStr">
        <is>
          <t>KPI-016</t>
        </is>
      </c>
      <c r="B17" s="24" t="inlineStr">
        <is>
          <t>GRW-007</t>
        </is>
      </c>
      <c r="C17" s="19" t="inlineStr">
        <is>
          <t>Cobertura de conversiones trackeadas</t>
        </is>
      </c>
      <c r="D17" s="24" t="inlineStr">
        <is>
          <t>%</t>
        </is>
      </c>
      <c r="E17" s="24" t="inlineStr">
        <is>
          <t>Subir</t>
        </is>
      </c>
      <c r="F17" s="59" t="n">
        <v>0.52</v>
      </c>
      <c r="G17" s="59" t="n">
        <v>0.95</v>
      </c>
      <c r="H17" s="59" t="n">
        <v>0.74</v>
      </c>
      <c r="I17" s="24" t="inlineStr">
        <is>
          <t>Semanal</t>
        </is>
      </c>
      <c r="J17" s="24" t="inlineStr">
        <is>
          <t>GA4</t>
        </is>
      </c>
      <c r="K17" s="55">
        <f>IF($B17="","",IFERROR(INDEX(Proyectos!$B$2:$B$41,MATCH($B17,Proyectos!$A$2:$A$41,0)),"⚠ ID no encontrado"))</f>
        <v/>
      </c>
      <c r="L17" s="56">
        <f>IF($B17="","",IFERROR(INDEX(Proyectos!$C$2:$C$41,MATCH($B17,Proyectos!$A$2:$A$41,0)),"⚠ ID no encontrado"))</f>
        <v/>
      </c>
      <c r="M17" s="56">
        <f>IF($B17="","",IFERROR(INDEX(Proyectos!$D$2:$D$41,MATCH($B17,Proyectos!$A$2:$A$41,0)),"⚠ ID no encontrado"))</f>
        <v/>
      </c>
      <c r="N17" s="57">
        <f>IF(OR($B17="",$E17="",$F17="",$G17="",$H17=""),"",IFERROR(IF($E17="Bajar",($F17-$H17)/($F17-$G17),($H17-$F17)/($G17-$F17)),""))</f>
        <v/>
      </c>
      <c r="O17" s="56">
        <f>IF($N17="","",IF($N17&gt;=1,"Conseguido",IF($N17&gt;=0.7,"En camino",IF($N17&gt;=0.3,"Atención","Crítico"))))</f>
        <v/>
      </c>
    </row>
    <row r="18" ht="17" customHeight="1">
      <c r="A18" s="24" t="inlineStr">
        <is>
          <t>KPI-017</t>
        </is>
      </c>
      <c r="B18" s="24" t="inlineStr">
        <is>
          <t>GRW-007</t>
        </is>
      </c>
      <c r="C18" s="19" t="inlineStr">
        <is>
          <t>Desviación GA4 vs HubSpot</t>
        </is>
      </c>
      <c r="D18" s="24" t="inlineStr">
        <is>
          <t>%</t>
        </is>
      </c>
      <c r="E18" s="24" t="inlineStr">
        <is>
          <t>Bajar</t>
        </is>
      </c>
      <c r="F18" s="59" t="n">
        <v>0.31</v>
      </c>
      <c r="G18" s="59" t="n">
        <v>0.05</v>
      </c>
      <c r="H18" s="59" t="n">
        <v>0.14</v>
      </c>
      <c r="I18" s="24" t="inlineStr">
        <is>
          <t>Semanal</t>
        </is>
      </c>
      <c r="J18" s="24" t="inlineStr">
        <is>
          <t>GA4</t>
        </is>
      </c>
      <c r="K18" s="55">
        <f>IF($B18="","",IFERROR(INDEX(Proyectos!$B$2:$B$41,MATCH($B18,Proyectos!$A$2:$A$41,0)),"⚠ ID no encontrado"))</f>
        <v/>
      </c>
      <c r="L18" s="56">
        <f>IF($B18="","",IFERROR(INDEX(Proyectos!$C$2:$C$41,MATCH($B18,Proyectos!$A$2:$A$41,0)),"⚠ ID no encontrado"))</f>
        <v/>
      </c>
      <c r="M18" s="56">
        <f>IF($B18="","",IFERROR(INDEX(Proyectos!$D$2:$D$41,MATCH($B18,Proyectos!$A$2:$A$41,0)),"⚠ ID no encontrado"))</f>
        <v/>
      </c>
      <c r="N18" s="57">
        <f>IF(OR($B18="",$E18="",$F18="",$G18="",$H18=""),"",IFERROR(IF($E18="Bajar",($F18-$H18)/($F18-$G18),($H18-$F18)/($G18-$F18)),""))</f>
        <v/>
      </c>
      <c r="O18" s="56">
        <f>IF($N18="","",IF($N18&gt;=1,"Conseguido",IF($N18&gt;=0.7,"En camino",IF($N18&gt;=0.3,"Atención","Crítico"))))</f>
        <v/>
      </c>
    </row>
    <row r="19" ht="17" customHeight="1">
      <c r="A19" s="24" t="inlineStr">
        <is>
          <t>KPI-018</t>
        </is>
      </c>
      <c r="B19" s="24" t="inlineStr">
        <is>
          <t>GRW-008</t>
        </is>
      </c>
      <c r="C19" s="19" t="inlineStr">
        <is>
          <t>Leads por webinar</t>
        </is>
      </c>
      <c r="D19" s="24" t="inlineStr">
        <is>
          <t>nº</t>
        </is>
      </c>
      <c r="E19" s="24" t="inlineStr">
        <is>
          <t>Subir</t>
        </is>
      </c>
      <c r="F19" s="20" t="n">
        <v>180</v>
      </c>
      <c r="G19" s="20" t="n">
        <v>400</v>
      </c>
      <c r="H19" s="20" t="n">
        <v>305</v>
      </c>
      <c r="I19" s="24" t="inlineStr">
        <is>
          <t>Mensual</t>
        </is>
      </c>
      <c r="J19" s="24" t="inlineStr">
        <is>
          <t>HubSpot</t>
        </is>
      </c>
      <c r="K19" s="55">
        <f>IF($B19="","",IFERROR(INDEX(Proyectos!$B$2:$B$41,MATCH($B19,Proyectos!$A$2:$A$41,0)),"⚠ ID no encontrado"))</f>
        <v/>
      </c>
      <c r="L19" s="56">
        <f>IF($B19="","",IFERROR(INDEX(Proyectos!$C$2:$C$41,MATCH($B19,Proyectos!$A$2:$A$41,0)),"⚠ ID no encontrado"))</f>
        <v/>
      </c>
      <c r="M19" s="56">
        <f>IF($B19="","",IFERROR(INDEX(Proyectos!$D$2:$D$41,MATCH($B19,Proyectos!$A$2:$A$41,0)),"⚠ ID no encontrado"))</f>
        <v/>
      </c>
      <c r="N19" s="57">
        <f>IF(OR($B19="",$E19="",$F19="",$G19="",$H19=""),"",IFERROR(IF($E19="Bajar",($F19-$H19)/($F19-$G19),($H19-$F19)/($G19-$F19)),""))</f>
        <v/>
      </c>
      <c r="O19" s="56">
        <f>IF($N19="","",IF($N19&gt;=1,"Conseguido",IF($N19&gt;=0.7,"En camino",IF($N19&gt;=0.3,"Atención","Crítico"))))</f>
        <v/>
      </c>
    </row>
    <row r="20" ht="17" customHeight="1">
      <c r="A20" s="24" t="inlineStr">
        <is>
          <t>KPI-019</t>
        </is>
      </c>
      <c r="B20" s="24" t="inlineStr">
        <is>
          <t>GRW-008</t>
        </is>
      </c>
      <c r="C20" s="19" t="inlineStr">
        <is>
          <t>Show-up rate</t>
        </is>
      </c>
      <c r="D20" s="24" t="inlineStr">
        <is>
          <t>%</t>
        </is>
      </c>
      <c r="E20" s="24" t="inlineStr">
        <is>
          <t>Subir</t>
        </is>
      </c>
      <c r="F20" s="59" t="n">
        <v>0.32</v>
      </c>
      <c r="G20" s="59" t="n">
        <v>0.45</v>
      </c>
      <c r="H20" s="59" t="n">
        <v>0.39</v>
      </c>
      <c r="I20" s="24" t="inlineStr">
        <is>
          <t>Mensual</t>
        </is>
      </c>
      <c r="J20" s="24" t="inlineStr">
        <is>
          <t>Manual</t>
        </is>
      </c>
      <c r="K20" s="55">
        <f>IF($B20="","",IFERROR(INDEX(Proyectos!$B$2:$B$41,MATCH($B20,Proyectos!$A$2:$A$41,0)),"⚠ ID no encontrado"))</f>
        <v/>
      </c>
      <c r="L20" s="56">
        <f>IF($B20="","",IFERROR(INDEX(Proyectos!$C$2:$C$41,MATCH($B20,Proyectos!$A$2:$A$41,0)),"⚠ ID no encontrado"))</f>
        <v/>
      </c>
      <c r="M20" s="56">
        <f>IF($B20="","",IFERROR(INDEX(Proyectos!$D$2:$D$41,MATCH($B20,Proyectos!$A$2:$A$41,0)),"⚠ ID no encontrado"))</f>
        <v/>
      </c>
      <c r="N20" s="57">
        <f>IF(OR($B20="",$E20="",$F20="",$G20="",$H20=""),"",IFERROR(IF($E20="Bajar",($F20-$H20)/($F20-$G20),($H20-$F20)/($G20-$F20)),""))</f>
        <v/>
      </c>
      <c r="O20" s="56">
        <f>IF($N20="","",IF($N20&gt;=1,"Conseguido",IF($N20&gt;=0.7,"En camino",IF($N20&gt;=0.3,"Atención","Crítico"))))</f>
        <v/>
      </c>
    </row>
    <row r="21" ht="17" customHeight="1">
      <c r="A21" s="24" t="inlineStr">
        <is>
          <t>KPI-020</t>
        </is>
      </c>
      <c r="B21" s="24" t="inlineStr">
        <is>
          <t>GRW-008</t>
        </is>
      </c>
      <c r="C21" s="19" t="inlineStr">
        <is>
          <t>CPL webinar</t>
        </is>
      </c>
      <c r="D21" s="24" t="inlineStr">
        <is>
          <t>EUR</t>
        </is>
      </c>
      <c r="E21" s="24" t="inlineStr">
        <is>
          <t>Bajar</t>
        </is>
      </c>
      <c r="F21" s="22" t="n">
        <v>42</v>
      </c>
      <c r="G21" s="22" t="n">
        <v>28</v>
      </c>
      <c r="H21" s="22" t="n">
        <v>33</v>
      </c>
      <c r="I21" s="24" t="inlineStr">
        <is>
          <t>Mensual</t>
        </is>
      </c>
      <c r="J21" s="24" t="inlineStr">
        <is>
          <t>Meta Ads</t>
        </is>
      </c>
      <c r="K21" s="55">
        <f>IF($B21="","",IFERROR(INDEX(Proyectos!$B$2:$B$41,MATCH($B21,Proyectos!$A$2:$A$41,0)),"⚠ ID no encontrado"))</f>
        <v/>
      </c>
      <c r="L21" s="56">
        <f>IF($B21="","",IFERROR(INDEX(Proyectos!$C$2:$C$41,MATCH($B21,Proyectos!$A$2:$A$41,0)),"⚠ ID no encontrado"))</f>
        <v/>
      </c>
      <c r="M21" s="56">
        <f>IF($B21="","",IFERROR(INDEX(Proyectos!$D$2:$D$41,MATCH($B21,Proyectos!$A$2:$A$41,0)),"⚠ ID no encontrado"))</f>
        <v/>
      </c>
      <c r="N21" s="57">
        <f>IF(OR($B21="",$E21="",$F21="",$G21="",$H21=""),"",IFERROR(IF($E21="Bajar",($F21-$H21)/($F21-$G21),($H21-$F21)/($G21-$F21)),""))</f>
        <v/>
      </c>
      <c r="O21" s="56">
        <f>IF($N21="","",IF($N21&gt;=1,"Conseguido",IF($N21&gt;=0.7,"En camino",IF($N21&gt;=0.3,"Atención","Crítico"))))</f>
        <v/>
      </c>
    </row>
    <row r="22" ht="17" customHeight="1">
      <c r="A22" s="24" t="inlineStr">
        <is>
          <t>KPI-021</t>
        </is>
      </c>
      <c r="B22" s="24" t="inlineStr">
        <is>
          <t>GRW-009</t>
        </is>
      </c>
      <c r="C22" s="19" t="inlineStr">
        <is>
          <t>Cuentas corporativas firmadas</t>
        </is>
      </c>
      <c r="D22" s="24" t="inlineStr">
        <is>
          <t>nº</t>
        </is>
      </c>
      <c r="E22" s="24" t="inlineStr">
        <is>
          <t>Subir</t>
        </is>
      </c>
      <c r="F22" s="20" t="n">
        <v>2</v>
      </c>
      <c r="G22" s="20" t="n">
        <v>14</v>
      </c>
      <c r="H22" s="20" t="n">
        <v>2</v>
      </c>
      <c r="I22" s="24" t="inlineStr">
        <is>
          <t>Mensual</t>
        </is>
      </c>
      <c r="J22" s="24" t="inlineStr">
        <is>
          <t>HubSpot</t>
        </is>
      </c>
      <c r="K22" s="55">
        <f>IF($B22="","",IFERROR(INDEX(Proyectos!$B$2:$B$41,MATCH($B22,Proyectos!$A$2:$A$41,0)),"⚠ ID no encontrado"))</f>
        <v/>
      </c>
      <c r="L22" s="56">
        <f>IF($B22="","",IFERROR(INDEX(Proyectos!$C$2:$C$41,MATCH($B22,Proyectos!$A$2:$A$41,0)),"⚠ ID no encontrado"))</f>
        <v/>
      </c>
      <c r="M22" s="56">
        <f>IF($B22="","",IFERROR(INDEX(Proyectos!$D$2:$D$41,MATCH($B22,Proyectos!$A$2:$A$41,0)),"⚠ ID no encontrado"))</f>
        <v/>
      </c>
      <c r="N22" s="57">
        <f>IF(OR($B22="",$E22="",$F22="",$G22="",$H22=""),"",IFERROR(IF($E22="Bajar",($F22-$H22)/($F22-$G22),($H22-$F22)/($G22-$F22)),""))</f>
        <v/>
      </c>
      <c r="O22" s="56">
        <f>IF($N22="","",IF($N22&gt;=1,"Conseguido",IF($N22&gt;=0.7,"En camino",IF($N22&gt;=0.3,"Atención","Crítico"))))</f>
        <v/>
      </c>
    </row>
    <row r="23" ht="17" customHeight="1">
      <c r="A23" s="24" t="inlineStr">
        <is>
          <t>KPI-022</t>
        </is>
      </c>
      <c r="B23" s="24" t="inlineStr">
        <is>
          <t>GRW-009</t>
        </is>
      </c>
      <c r="C23" s="19" t="inlineStr">
        <is>
          <t>Pipeline B2B generado</t>
        </is>
      </c>
      <c r="D23" s="24" t="inlineStr">
        <is>
          <t>EUR</t>
        </is>
      </c>
      <c r="E23" s="24" t="inlineStr">
        <is>
          <t>Subir</t>
        </is>
      </c>
      <c r="F23" s="22" t="n">
        <v>0</v>
      </c>
      <c r="G23" s="22" t="n">
        <v>750000</v>
      </c>
      <c r="H23" s="22" t="n">
        <v>60000</v>
      </c>
      <c r="I23" s="24" t="inlineStr">
        <is>
          <t>Mensual</t>
        </is>
      </c>
      <c r="J23" s="24" t="inlineStr">
        <is>
          <t>HubSpot</t>
        </is>
      </c>
      <c r="K23" s="55">
        <f>IF($B23="","",IFERROR(INDEX(Proyectos!$B$2:$B$41,MATCH($B23,Proyectos!$A$2:$A$41,0)),"⚠ ID no encontrado"))</f>
        <v/>
      </c>
      <c r="L23" s="56">
        <f>IF($B23="","",IFERROR(INDEX(Proyectos!$C$2:$C$41,MATCH($B23,Proyectos!$A$2:$A$41,0)),"⚠ ID no encontrado"))</f>
        <v/>
      </c>
      <c r="M23" s="56">
        <f>IF($B23="","",IFERROR(INDEX(Proyectos!$D$2:$D$41,MATCH($B23,Proyectos!$A$2:$A$41,0)),"⚠ ID no encontrado"))</f>
        <v/>
      </c>
      <c r="N23" s="57">
        <f>IF(OR($B23="",$E23="",$F23="",$G23="",$H23=""),"",IFERROR(IF($E23="Bajar",($F23-$H23)/($F23-$G23),($H23-$F23)/($G23-$F23)),""))</f>
        <v/>
      </c>
      <c r="O23" s="56">
        <f>IF($N23="","",IF($N23&gt;=1,"Conseguido",IF($N23&gt;=0.7,"En camino",IF($N23&gt;=0.3,"Atención","Crítico"))))</f>
        <v/>
      </c>
    </row>
    <row r="24" ht="17" customHeight="1">
      <c r="A24" s="24" t="inlineStr">
        <is>
          <t>KPI-023</t>
        </is>
      </c>
      <c r="B24" s="24" t="inlineStr">
        <is>
          <t>GRW-010</t>
        </is>
      </c>
      <c r="C24" s="19" t="inlineStr">
        <is>
          <t>Abandono en checkout</t>
        </is>
      </c>
      <c r="D24" s="24" t="inlineStr">
        <is>
          <t>%</t>
        </is>
      </c>
      <c r="E24" s="24" t="inlineStr">
        <is>
          <t>Bajar</t>
        </is>
      </c>
      <c r="F24" s="59" t="n">
        <v>0.68</v>
      </c>
      <c r="G24" s="59" t="n">
        <v>0.5600000000000001</v>
      </c>
      <c r="H24" s="59" t="n">
        <v>0.585</v>
      </c>
      <c r="I24" s="24" t="inlineStr">
        <is>
          <t>Semanal</t>
        </is>
      </c>
      <c r="J24" s="24" t="inlineStr">
        <is>
          <t>GA4</t>
        </is>
      </c>
      <c r="K24" s="55">
        <f>IF($B24="","",IFERROR(INDEX(Proyectos!$B$2:$B$41,MATCH($B24,Proyectos!$A$2:$A$41,0)),"⚠ ID no encontrado"))</f>
        <v/>
      </c>
      <c r="L24" s="56">
        <f>IF($B24="","",IFERROR(INDEX(Proyectos!$C$2:$C$41,MATCH($B24,Proyectos!$A$2:$A$41,0)),"⚠ ID no encontrado"))</f>
        <v/>
      </c>
      <c r="M24" s="56">
        <f>IF($B24="","",IFERROR(INDEX(Proyectos!$D$2:$D$41,MATCH($B24,Proyectos!$A$2:$A$41,0)),"⚠ ID no encontrado"))</f>
        <v/>
      </c>
      <c r="N24" s="57">
        <f>IF(OR($B24="",$E24="",$F24="",$G24="",$H24=""),"",IFERROR(IF($E24="Bajar",($F24-$H24)/($F24-$G24),($H24-$F24)/($G24-$F24)),""))</f>
        <v/>
      </c>
      <c r="O24" s="56">
        <f>IF($N24="","",IF($N24&gt;=1,"Conseguido",IF($N24&gt;=0.7,"En camino",IF($N24&gt;=0.3,"Atención","Crítico"))))</f>
        <v/>
      </c>
    </row>
    <row r="25" ht="17" customHeight="1">
      <c r="A25" s="24" t="inlineStr">
        <is>
          <t>KPI-024</t>
        </is>
      </c>
      <c r="B25" s="24" t="inlineStr">
        <is>
          <t>GRW-010</t>
        </is>
      </c>
      <c r="C25" s="19" t="inlineStr">
        <is>
          <t>% matrículas con financiación</t>
        </is>
      </c>
      <c r="D25" s="24" t="inlineStr">
        <is>
          <t>%</t>
        </is>
      </c>
      <c r="E25" s="24" t="inlineStr">
        <is>
          <t>Subir</t>
        </is>
      </c>
      <c r="F25" s="59" t="n">
        <v>0.41</v>
      </c>
      <c r="G25" s="59" t="n">
        <v>0.55</v>
      </c>
      <c r="H25" s="59" t="n">
        <v>0.505</v>
      </c>
      <c r="I25" s="24" t="inlineStr">
        <is>
          <t>Mensual</t>
        </is>
      </c>
      <c r="J25" s="24" t="inlineStr">
        <is>
          <t>HubSpot</t>
        </is>
      </c>
      <c r="K25" s="55">
        <f>IF($B25="","",IFERROR(INDEX(Proyectos!$B$2:$B$41,MATCH($B25,Proyectos!$A$2:$A$41,0)),"⚠ ID no encontrado"))</f>
        <v/>
      </c>
      <c r="L25" s="56">
        <f>IF($B25="","",IFERROR(INDEX(Proyectos!$C$2:$C$41,MATCH($B25,Proyectos!$A$2:$A$41,0)),"⚠ ID no encontrado"))</f>
        <v/>
      </c>
      <c r="M25" s="56">
        <f>IF($B25="","",IFERROR(INDEX(Proyectos!$D$2:$D$41,MATCH($B25,Proyectos!$A$2:$A$41,0)),"⚠ ID no encontrado"))</f>
        <v/>
      </c>
      <c r="N25" s="57">
        <f>IF(OR($B25="",$E25="",$F25="",$G25="",$H25=""),"",IFERROR(IF($E25="Bajar",($F25-$H25)/($F25-$G25),($H25-$F25)/($G25-$F25)),""))</f>
        <v/>
      </c>
      <c r="O25" s="56">
        <f>IF($N25="","",IF($N25&gt;=1,"Conseguido",IF($N25&gt;=0.7,"En camino",IF($N25&gt;=0.3,"Atención","Crítico"))))</f>
        <v/>
      </c>
    </row>
    <row r="26" ht="17" customHeight="1">
      <c r="A26" s="24" t="inlineStr">
        <is>
          <t>KPI-025</t>
        </is>
      </c>
      <c r="B26" s="24" t="inlineStr">
        <is>
          <t>GRW-011</t>
        </is>
      </c>
      <c r="C26" s="19" t="inlineStr">
        <is>
          <t>Suscriptores</t>
        </is>
      </c>
      <c r="D26" s="24" t="inlineStr">
        <is>
          <t>nº</t>
        </is>
      </c>
      <c r="E26" s="24" t="inlineStr">
        <is>
          <t>Subir</t>
        </is>
      </c>
      <c r="F26" s="20" t="n">
        <v>12000</v>
      </c>
      <c r="G26" s="20" t="n">
        <v>50000</v>
      </c>
      <c r="H26" s="20" t="n">
        <v>27400</v>
      </c>
      <c r="I26" s="24" t="inlineStr">
        <is>
          <t>Semanal</t>
        </is>
      </c>
      <c r="J26" s="24" t="inlineStr">
        <is>
          <t>HubSpot</t>
        </is>
      </c>
      <c r="K26" s="55">
        <f>IF($B26="","",IFERROR(INDEX(Proyectos!$B$2:$B$41,MATCH($B26,Proyectos!$A$2:$A$41,0)),"⚠ ID no encontrado"))</f>
        <v/>
      </c>
      <c r="L26" s="56">
        <f>IF($B26="","",IFERROR(INDEX(Proyectos!$C$2:$C$41,MATCH($B26,Proyectos!$A$2:$A$41,0)),"⚠ ID no encontrado"))</f>
        <v/>
      </c>
      <c r="M26" s="56">
        <f>IF($B26="","",IFERROR(INDEX(Proyectos!$D$2:$D$41,MATCH($B26,Proyectos!$A$2:$A$41,0)),"⚠ ID no encontrado"))</f>
        <v/>
      </c>
      <c r="N26" s="57">
        <f>IF(OR($B26="",$E26="",$F26="",$G26="",$H26=""),"",IFERROR(IF($E26="Bajar",($F26-$H26)/($F26-$G26),($H26-$F26)/($G26-$F26)),""))</f>
        <v/>
      </c>
      <c r="O26" s="56">
        <f>IF($N26="","",IF($N26&gt;=1,"Conseguido",IF($N26&gt;=0.7,"En camino",IF($N26&gt;=0.3,"Atención","Crítico"))))</f>
        <v/>
      </c>
    </row>
    <row r="27" ht="17" customHeight="1">
      <c r="A27" s="24" t="inlineStr">
        <is>
          <t>KPI-026</t>
        </is>
      </c>
      <c r="B27" s="24" t="inlineStr">
        <is>
          <t>GRW-011</t>
        </is>
      </c>
      <c r="C27" s="19" t="inlineStr">
        <is>
          <t>CTR newsletter</t>
        </is>
      </c>
      <c r="D27" s="24" t="inlineStr">
        <is>
          <t>%</t>
        </is>
      </c>
      <c r="E27" s="24" t="inlineStr">
        <is>
          <t>Subir</t>
        </is>
      </c>
      <c r="F27" s="59" t="n">
        <v>0.024</v>
      </c>
      <c r="G27" s="59" t="n">
        <v>0.045</v>
      </c>
      <c r="H27" s="59" t="n">
        <v>0.031</v>
      </c>
      <c r="I27" s="24" t="inlineStr">
        <is>
          <t>Semanal</t>
        </is>
      </c>
      <c r="J27" s="24" t="inlineStr">
        <is>
          <t>HubSpot</t>
        </is>
      </c>
      <c r="K27" s="55">
        <f>IF($B27="","",IFERROR(INDEX(Proyectos!$B$2:$B$41,MATCH($B27,Proyectos!$A$2:$A$41,0)),"⚠ ID no encontrado"))</f>
        <v/>
      </c>
      <c r="L27" s="56">
        <f>IF($B27="","",IFERROR(INDEX(Proyectos!$C$2:$C$41,MATCH($B27,Proyectos!$A$2:$A$41,0)),"⚠ ID no encontrado"))</f>
        <v/>
      </c>
      <c r="M27" s="56">
        <f>IF($B27="","",IFERROR(INDEX(Proyectos!$D$2:$D$41,MATCH($B27,Proyectos!$A$2:$A$41,0)),"⚠ ID no encontrado"))</f>
        <v/>
      </c>
      <c r="N27" s="57">
        <f>IF(OR($B27="",$E27="",$F27="",$G27="",$H27=""),"",IFERROR(IF($E27="Bajar",($F27-$H27)/($F27-$G27),($H27-$F27)/($G27-$F27)),""))</f>
        <v/>
      </c>
      <c r="O27" s="56">
        <f>IF($N27="","",IF($N27&gt;=1,"Conseguido",IF($N27&gt;=0.7,"En camino",IF($N27&gt;=0.3,"Atención","Crítico"))))</f>
        <v/>
      </c>
    </row>
    <row r="28" ht="17" customHeight="1">
      <c r="A28" s="24" t="inlineStr">
        <is>
          <t>KPI-027</t>
        </is>
      </c>
      <c r="B28" s="24" t="inlineStr">
        <is>
          <t>GRW-011</t>
        </is>
      </c>
      <c r="C28" s="19" t="inlineStr">
        <is>
          <t>Bajas mensuales</t>
        </is>
      </c>
      <c r="D28" s="24" t="inlineStr">
        <is>
          <t>%</t>
        </is>
      </c>
      <c r="E28" s="24" t="inlineStr">
        <is>
          <t>Bajar</t>
        </is>
      </c>
      <c r="F28" s="59" t="n">
        <v>0.021</v>
      </c>
      <c r="G28" s="59" t="n">
        <v>0.012</v>
      </c>
      <c r="H28" s="59" t="n">
        <v>0.018</v>
      </c>
      <c r="I28" s="24" t="inlineStr">
        <is>
          <t>Mensual</t>
        </is>
      </c>
      <c r="J28" s="24" t="inlineStr">
        <is>
          <t>HubSpot</t>
        </is>
      </c>
      <c r="K28" s="55">
        <f>IF($B28="","",IFERROR(INDEX(Proyectos!$B$2:$B$41,MATCH($B28,Proyectos!$A$2:$A$41,0)),"⚠ ID no encontrado"))</f>
        <v/>
      </c>
      <c r="L28" s="56">
        <f>IF($B28="","",IFERROR(INDEX(Proyectos!$C$2:$C$41,MATCH($B28,Proyectos!$A$2:$A$41,0)),"⚠ ID no encontrado"))</f>
        <v/>
      </c>
      <c r="M28" s="56">
        <f>IF($B28="","",IFERROR(INDEX(Proyectos!$D$2:$D$41,MATCH($B28,Proyectos!$A$2:$A$41,0)),"⚠ ID no encontrado"))</f>
        <v/>
      </c>
      <c r="N28" s="57">
        <f>IF(OR($B28="",$E28="",$F28="",$G28="",$H28=""),"",IFERROR(IF($E28="Bajar",($F28-$H28)/($F28-$G28),($H28-$F28)/($G28-$F28)),""))</f>
        <v/>
      </c>
      <c r="O28" s="56">
        <f>IF($N28="","",IF($N28&gt;=1,"Conseguido",IF($N28&gt;=0.7,"En camino",IF($N28&gt;=0.3,"Atención","Crítico"))))</f>
        <v/>
      </c>
    </row>
    <row r="29" ht="17" customHeight="1">
      <c r="A29" s="24" t="inlineStr">
        <is>
          <t>KPI-028</t>
        </is>
      </c>
      <c r="B29" s="24" t="inlineStr">
        <is>
          <t>GRW-012</t>
        </is>
      </c>
      <c r="C29" s="19" t="inlineStr">
        <is>
          <t>Horas/semana de reporting manual</t>
        </is>
      </c>
      <c r="D29" s="24" t="inlineStr">
        <is>
          <t>días</t>
        </is>
      </c>
      <c r="E29" s="24" t="inlineStr">
        <is>
          <t>Bajar</t>
        </is>
      </c>
      <c r="F29" s="60" t="n">
        <v>6</v>
      </c>
      <c r="G29" s="60" t="n">
        <v>0.5</v>
      </c>
      <c r="H29" s="60" t="n">
        <v>6</v>
      </c>
      <c r="I29" s="24" t="inlineStr">
        <is>
          <t>Semanal</t>
        </is>
      </c>
      <c r="J29" s="24" t="inlineStr">
        <is>
          <t>Manual</t>
        </is>
      </c>
      <c r="K29" s="55">
        <f>IF($B29="","",IFERROR(INDEX(Proyectos!$B$2:$B$41,MATCH($B29,Proyectos!$A$2:$A$41,0)),"⚠ ID no encontrado"))</f>
        <v/>
      </c>
      <c r="L29" s="56">
        <f>IF($B29="","",IFERROR(INDEX(Proyectos!$C$2:$C$41,MATCH($B29,Proyectos!$A$2:$A$41,0)),"⚠ ID no encontrado"))</f>
        <v/>
      </c>
      <c r="M29" s="56">
        <f>IF($B29="","",IFERROR(INDEX(Proyectos!$D$2:$D$41,MATCH($B29,Proyectos!$A$2:$A$41,0)),"⚠ ID no encontrado"))</f>
        <v/>
      </c>
      <c r="N29" s="57">
        <f>IF(OR($B29="",$E29="",$F29="",$G29="",$H29=""),"",IFERROR(IF($E29="Bajar",($F29-$H29)/($F29-$G29),($H29-$F29)/($G29-$F29)),""))</f>
        <v/>
      </c>
      <c r="O29" s="56">
        <f>IF($N29="","",IF($N29&gt;=1,"Conseguido",IF($N29&gt;=0.7,"En camino",IF($N29&gt;=0.3,"Atención","Crítico"))))</f>
        <v/>
      </c>
    </row>
    <row r="30" ht="17" customHeight="1">
      <c r="A30" s="24" t="inlineStr">
        <is>
          <t>KPI-029</t>
        </is>
      </c>
      <c r="B30" s="24" t="inlineStr">
        <is>
          <t>GRW-012</t>
        </is>
      </c>
      <c r="C30" s="19" t="inlineStr">
        <is>
          <t>Dashboards automatizados</t>
        </is>
      </c>
      <c r="D30" s="24" t="inlineStr">
        <is>
          <t>nº</t>
        </is>
      </c>
      <c r="E30" s="24" t="inlineStr">
        <is>
          <t>Subir</t>
        </is>
      </c>
      <c r="F30" s="20" t="n">
        <v>0</v>
      </c>
      <c r="G30" s="20" t="n">
        <v>5</v>
      </c>
      <c r="H30" s="20" t="n">
        <v>0</v>
      </c>
      <c r="I30" s="24" t="inlineStr">
        <is>
          <t>Mensual</t>
        </is>
      </c>
      <c r="J30" s="24" t="inlineStr">
        <is>
          <t>Make</t>
        </is>
      </c>
      <c r="K30" s="55">
        <f>IF($B30="","",IFERROR(INDEX(Proyectos!$B$2:$B$41,MATCH($B30,Proyectos!$A$2:$A$41,0)),"⚠ ID no encontrado"))</f>
        <v/>
      </c>
      <c r="L30" s="56">
        <f>IF($B30="","",IFERROR(INDEX(Proyectos!$C$2:$C$41,MATCH($B30,Proyectos!$A$2:$A$41,0)),"⚠ ID no encontrado"))</f>
        <v/>
      </c>
      <c r="M30" s="56">
        <f>IF($B30="","",IFERROR(INDEX(Proyectos!$D$2:$D$41,MATCH($B30,Proyectos!$A$2:$A$41,0)),"⚠ ID no encontrado"))</f>
        <v/>
      </c>
      <c r="N30" s="57">
        <f>IF(OR($B30="",$E30="",$F30="",$G30="",$H30=""),"",IFERROR(IF($E30="Bajar",($F30-$H30)/($F30-$G30),($H30-$F30)/($G30-$F30)),""))</f>
        <v/>
      </c>
      <c r="O30" s="56">
        <f>IF($N30="","",IF($N30&gt;=1,"Conseguido",IF($N30&gt;=0.7,"En camino",IF($N30&gt;=0.3,"Atención","Crítico"))))</f>
        <v/>
      </c>
    </row>
    <row r="31" ht="17" customHeight="1">
      <c r="A31" s="24" t="n"/>
      <c r="B31" s="24" t="n"/>
      <c r="C31" s="19" t="n"/>
      <c r="D31" s="24" t="n"/>
      <c r="E31" s="24" t="n"/>
      <c r="F31" s="61" t="n"/>
      <c r="G31" s="61" t="n"/>
      <c r="H31" s="61" t="n"/>
      <c r="I31" s="24" t="n"/>
      <c r="J31" s="24" t="n"/>
      <c r="K31" s="55">
        <f>IF($B31="","",IFERROR(INDEX(Proyectos!$B$2:$B$41,MATCH($B31,Proyectos!$A$2:$A$41,0)),"⚠ ID no encontrado"))</f>
        <v/>
      </c>
      <c r="L31" s="56">
        <f>IF($B31="","",IFERROR(INDEX(Proyectos!$C$2:$C$41,MATCH($B31,Proyectos!$A$2:$A$41,0)),"⚠ ID no encontrado"))</f>
        <v/>
      </c>
      <c r="M31" s="56">
        <f>IF($B31="","",IFERROR(INDEX(Proyectos!$D$2:$D$41,MATCH($B31,Proyectos!$A$2:$A$41,0)),"⚠ ID no encontrado"))</f>
        <v/>
      </c>
      <c r="N31" s="57">
        <f>IF(OR($B31="",$E31="",$F31="",$G31="",$H31=""),"",IFERROR(IF($E31="Bajar",($F31-$H31)/($F31-$G31),($H31-$F31)/($G31-$F31)),""))</f>
        <v/>
      </c>
      <c r="O31" s="56">
        <f>IF($N31="","",IF($N31&gt;=1,"Conseguido",IF($N31&gt;=0.7,"En camino",IF($N31&gt;=0.3,"Atención","Crítico"))))</f>
        <v/>
      </c>
    </row>
    <row r="32" ht="17" customHeight="1">
      <c r="A32" s="24" t="n"/>
      <c r="B32" s="24" t="n"/>
      <c r="C32" s="19" t="n"/>
      <c r="D32" s="24" t="n"/>
      <c r="E32" s="24" t="n"/>
      <c r="F32" s="61" t="n"/>
      <c r="G32" s="61" t="n"/>
      <c r="H32" s="61" t="n"/>
      <c r="I32" s="24" t="n"/>
      <c r="J32" s="24" t="n"/>
      <c r="K32" s="55">
        <f>IF($B32="","",IFERROR(INDEX(Proyectos!$B$2:$B$41,MATCH($B32,Proyectos!$A$2:$A$41,0)),"⚠ ID no encontrado"))</f>
        <v/>
      </c>
      <c r="L32" s="56">
        <f>IF($B32="","",IFERROR(INDEX(Proyectos!$C$2:$C$41,MATCH($B32,Proyectos!$A$2:$A$41,0)),"⚠ ID no encontrado"))</f>
        <v/>
      </c>
      <c r="M32" s="56">
        <f>IF($B32="","",IFERROR(INDEX(Proyectos!$D$2:$D$41,MATCH($B32,Proyectos!$A$2:$A$41,0)),"⚠ ID no encontrado"))</f>
        <v/>
      </c>
      <c r="N32" s="57">
        <f>IF(OR($B32="",$E32="",$F32="",$G32="",$H32=""),"",IFERROR(IF($E32="Bajar",($F32-$H32)/($F32-$G32),($H32-$F32)/($G32-$F32)),""))</f>
        <v/>
      </c>
      <c r="O32" s="56">
        <f>IF($N32="","",IF($N32&gt;=1,"Conseguido",IF($N32&gt;=0.7,"En camino",IF($N32&gt;=0.3,"Atención","Crítico"))))</f>
        <v/>
      </c>
    </row>
    <row r="33" ht="17" customHeight="1">
      <c r="A33" s="24" t="n"/>
      <c r="B33" s="24" t="n"/>
      <c r="C33" s="19" t="n"/>
      <c r="D33" s="24" t="n"/>
      <c r="E33" s="24" t="n"/>
      <c r="F33" s="61" t="n"/>
      <c r="G33" s="61" t="n"/>
      <c r="H33" s="61" t="n"/>
      <c r="I33" s="24" t="n"/>
      <c r="J33" s="24" t="n"/>
      <c r="K33" s="55">
        <f>IF($B33="","",IFERROR(INDEX(Proyectos!$B$2:$B$41,MATCH($B33,Proyectos!$A$2:$A$41,0)),"⚠ ID no encontrado"))</f>
        <v/>
      </c>
      <c r="L33" s="56">
        <f>IF($B33="","",IFERROR(INDEX(Proyectos!$C$2:$C$41,MATCH($B33,Proyectos!$A$2:$A$41,0)),"⚠ ID no encontrado"))</f>
        <v/>
      </c>
      <c r="M33" s="56">
        <f>IF($B33="","",IFERROR(INDEX(Proyectos!$D$2:$D$41,MATCH($B33,Proyectos!$A$2:$A$41,0)),"⚠ ID no encontrado"))</f>
        <v/>
      </c>
      <c r="N33" s="57">
        <f>IF(OR($B33="",$E33="",$F33="",$G33="",$H33=""),"",IFERROR(IF($E33="Bajar",($F33-$H33)/($F33-$G33),($H33-$F33)/($G33-$F33)),""))</f>
        <v/>
      </c>
      <c r="O33" s="56">
        <f>IF($N33="","",IF($N33&gt;=1,"Conseguido",IF($N33&gt;=0.7,"En camino",IF($N33&gt;=0.3,"Atención","Crítico"))))</f>
        <v/>
      </c>
    </row>
    <row r="34" ht="17" customHeight="1">
      <c r="A34" s="24" t="n"/>
      <c r="B34" s="24" t="n"/>
      <c r="C34" s="19" t="n"/>
      <c r="D34" s="24" t="n"/>
      <c r="E34" s="24" t="n"/>
      <c r="F34" s="61" t="n"/>
      <c r="G34" s="61" t="n"/>
      <c r="H34" s="61" t="n"/>
      <c r="I34" s="24" t="n"/>
      <c r="J34" s="24" t="n"/>
      <c r="K34" s="55">
        <f>IF($B34="","",IFERROR(INDEX(Proyectos!$B$2:$B$41,MATCH($B34,Proyectos!$A$2:$A$41,0)),"⚠ ID no encontrado"))</f>
        <v/>
      </c>
      <c r="L34" s="56">
        <f>IF($B34="","",IFERROR(INDEX(Proyectos!$C$2:$C$41,MATCH($B34,Proyectos!$A$2:$A$41,0)),"⚠ ID no encontrado"))</f>
        <v/>
      </c>
      <c r="M34" s="56">
        <f>IF($B34="","",IFERROR(INDEX(Proyectos!$D$2:$D$41,MATCH($B34,Proyectos!$A$2:$A$41,0)),"⚠ ID no encontrado"))</f>
        <v/>
      </c>
      <c r="N34" s="57">
        <f>IF(OR($B34="",$E34="",$F34="",$G34="",$H34=""),"",IFERROR(IF($E34="Bajar",($F34-$H34)/($F34-$G34),($H34-$F34)/($G34-$F34)),""))</f>
        <v/>
      </c>
      <c r="O34" s="56">
        <f>IF($N34="","",IF($N34&gt;=1,"Conseguido",IF($N34&gt;=0.7,"En camino",IF($N34&gt;=0.3,"Atención","Crítico"))))</f>
        <v/>
      </c>
    </row>
    <row r="35" ht="17" customHeight="1">
      <c r="A35" s="24" t="n"/>
      <c r="B35" s="24" t="n"/>
      <c r="C35" s="19" t="n"/>
      <c r="D35" s="24" t="n"/>
      <c r="E35" s="24" t="n"/>
      <c r="F35" s="61" t="n"/>
      <c r="G35" s="61" t="n"/>
      <c r="H35" s="61" t="n"/>
      <c r="I35" s="24" t="n"/>
      <c r="J35" s="24" t="n"/>
      <c r="K35" s="55">
        <f>IF($B35="","",IFERROR(INDEX(Proyectos!$B$2:$B$41,MATCH($B35,Proyectos!$A$2:$A$41,0)),"⚠ ID no encontrado"))</f>
        <v/>
      </c>
      <c r="L35" s="56">
        <f>IF($B35="","",IFERROR(INDEX(Proyectos!$C$2:$C$41,MATCH($B35,Proyectos!$A$2:$A$41,0)),"⚠ ID no encontrado"))</f>
        <v/>
      </c>
      <c r="M35" s="56">
        <f>IF($B35="","",IFERROR(INDEX(Proyectos!$D$2:$D$41,MATCH($B35,Proyectos!$A$2:$A$41,0)),"⚠ ID no encontrado"))</f>
        <v/>
      </c>
      <c r="N35" s="57">
        <f>IF(OR($B35="",$E35="",$F35="",$G35="",$H35=""),"",IFERROR(IF($E35="Bajar",($F35-$H35)/($F35-$G35),($H35-$F35)/($G35-$F35)),""))</f>
        <v/>
      </c>
      <c r="O35" s="56">
        <f>IF($N35="","",IF($N35&gt;=1,"Conseguido",IF($N35&gt;=0.7,"En camino",IF($N35&gt;=0.3,"Atención","Crítico"))))</f>
        <v/>
      </c>
    </row>
    <row r="36" ht="17" customHeight="1">
      <c r="A36" s="24" t="n"/>
      <c r="B36" s="24" t="n"/>
      <c r="C36" s="19" t="n"/>
      <c r="D36" s="24" t="n"/>
      <c r="E36" s="24" t="n"/>
      <c r="F36" s="61" t="n"/>
      <c r="G36" s="61" t="n"/>
      <c r="H36" s="61" t="n"/>
      <c r="I36" s="24" t="n"/>
      <c r="J36" s="24" t="n"/>
      <c r="K36" s="55">
        <f>IF($B36="","",IFERROR(INDEX(Proyectos!$B$2:$B$41,MATCH($B36,Proyectos!$A$2:$A$41,0)),"⚠ ID no encontrado"))</f>
        <v/>
      </c>
      <c r="L36" s="56">
        <f>IF($B36="","",IFERROR(INDEX(Proyectos!$C$2:$C$41,MATCH($B36,Proyectos!$A$2:$A$41,0)),"⚠ ID no encontrado"))</f>
        <v/>
      </c>
      <c r="M36" s="56">
        <f>IF($B36="","",IFERROR(INDEX(Proyectos!$D$2:$D$41,MATCH($B36,Proyectos!$A$2:$A$41,0)),"⚠ ID no encontrado"))</f>
        <v/>
      </c>
      <c r="N36" s="57">
        <f>IF(OR($B36="",$E36="",$F36="",$G36="",$H36=""),"",IFERROR(IF($E36="Bajar",($F36-$H36)/($F36-$G36),($H36-$F36)/($G36-$F36)),""))</f>
        <v/>
      </c>
      <c r="O36" s="56">
        <f>IF($N36="","",IF($N36&gt;=1,"Conseguido",IF($N36&gt;=0.7,"En camino",IF($N36&gt;=0.3,"Atención","Crítico"))))</f>
        <v/>
      </c>
    </row>
    <row r="37" ht="17" customHeight="1">
      <c r="A37" s="24" t="n"/>
      <c r="B37" s="24" t="n"/>
      <c r="C37" s="19" t="n"/>
      <c r="D37" s="24" t="n"/>
      <c r="E37" s="24" t="n"/>
      <c r="F37" s="61" t="n"/>
      <c r="G37" s="61" t="n"/>
      <c r="H37" s="61" t="n"/>
      <c r="I37" s="24" t="n"/>
      <c r="J37" s="24" t="n"/>
      <c r="K37" s="55">
        <f>IF($B37="","",IFERROR(INDEX(Proyectos!$B$2:$B$41,MATCH($B37,Proyectos!$A$2:$A$41,0)),"⚠ ID no encontrado"))</f>
        <v/>
      </c>
      <c r="L37" s="56">
        <f>IF($B37="","",IFERROR(INDEX(Proyectos!$C$2:$C$41,MATCH($B37,Proyectos!$A$2:$A$41,0)),"⚠ ID no encontrado"))</f>
        <v/>
      </c>
      <c r="M37" s="56">
        <f>IF($B37="","",IFERROR(INDEX(Proyectos!$D$2:$D$41,MATCH($B37,Proyectos!$A$2:$A$41,0)),"⚠ ID no encontrado"))</f>
        <v/>
      </c>
      <c r="N37" s="57">
        <f>IF(OR($B37="",$E37="",$F37="",$G37="",$H37=""),"",IFERROR(IF($E37="Bajar",($F37-$H37)/($F37-$G37),($H37-$F37)/($G37-$F37)),""))</f>
        <v/>
      </c>
      <c r="O37" s="56">
        <f>IF($N37="","",IF($N37&gt;=1,"Conseguido",IF($N37&gt;=0.7,"En camino",IF($N37&gt;=0.3,"Atención","Crítico"))))</f>
        <v/>
      </c>
    </row>
    <row r="38" ht="17" customHeight="1">
      <c r="A38" s="24" t="n"/>
      <c r="B38" s="24" t="n"/>
      <c r="C38" s="19" t="n"/>
      <c r="D38" s="24" t="n"/>
      <c r="E38" s="24" t="n"/>
      <c r="F38" s="61" t="n"/>
      <c r="G38" s="61" t="n"/>
      <c r="H38" s="61" t="n"/>
      <c r="I38" s="24" t="n"/>
      <c r="J38" s="24" t="n"/>
      <c r="K38" s="55">
        <f>IF($B38="","",IFERROR(INDEX(Proyectos!$B$2:$B$41,MATCH($B38,Proyectos!$A$2:$A$41,0)),"⚠ ID no encontrado"))</f>
        <v/>
      </c>
      <c r="L38" s="56">
        <f>IF($B38="","",IFERROR(INDEX(Proyectos!$C$2:$C$41,MATCH($B38,Proyectos!$A$2:$A$41,0)),"⚠ ID no encontrado"))</f>
        <v/>
      </c>
      <c r="M38" s="56">
        <f>IF($B38="","",IFERROR(INDEX(Proyectos!$D$2:$D$41,MATCH($B38,Proyectos!$A$2:$A$41,0)),"⚠ ID no encontrado"))</f>
        <v/>
      </c>
      <c r="N38" s="57">
        <f>IF(OR($B38="",$E38="",$F38="",$G38="",$H38=""),"",IFERROR(IF($E38="Bajar",($F38-$H38)/($F38-$G38),($H38-$F38)/($G38-$F38)),""))</f>
        <v/>
      </c>
      <c r="O38" s="56">
        <f>IF($N38="","",IF($N38&gt;=1,"Conseguido",IF($N38&gt;=0.7,"En camino",IF($N38&gt;=0.3,"Atención","Crítico"))))</f>
        <v/>
      </c>
    </row>
    <row r="39" ht="17" customHeight="1">
      <c r="A39" s="24" t="n"/>
      <c r="B39" s="24" t="n"/>
      <c r="C39" s="19" t="n"/>
      <c r="D39" s="24" t="n"/>
      <c r="E39" s="24" t="n"/>
      <c r="F39" s="61" t="n"/>
      <c r="G39" s="61" t="n"/>
      <c r="H39" s="61" t="n"/>
      <c r="I39" s="24" t="n"/>
      <c r="J39" s="24" t="n"/>
      <c r="K39" s="55">
        <f>IF($B39="","",IFERROR(INDEX(Proyectos!$B$2:$B$41,MATCH($B39,Proyectos!$A$2:$A$41,0)),"⚠ ID no encontrado"))</f>
        <v/>
      </c>
      <c r="L39" s="56">
        <f>IF($B39="","",IFERROR(INDEX(Proyectos!$C$2:$C$41,MATCH($B39,Proyectos!$A$2:$A$41,0)),"⚠ ID no encontrado"))</f>
        <v/>
      </c>
      <c r="M39" s="56">
        <f>IF($B39="","",IFERROR(INDEX(Proyectos!$D$2:$D$41,MATCH($B39,Proyectos!$A$2:$A$41,0)),"⚠ ID no encontrado"))</f>
        <v/>
      </c>
      <c r="N39" s="57">
        <f>IF(OR($B39="",$E39="",$F39="",$G39="",$H39=""),"",IFERROR(IF($E39="Bajar",($F39-$H39)/($F39-$G39),($H39-$F39)/($G39-$F39)),""))</f>
        <v/>
      </c>
      <c r="O39" s="56">
        <f>IF($N39="","",IF($N39&gt;=1,"Conseguido",IF($N39&gt;=0.7,"En camino",IF($N39&gt;=0.3,"Atención","Crítico"))))</f>
        <v/>
      </c>
    </row>
    <row r="40" ht="17" customHeight="1">
      <c r="A40" s="24" t="n"/>
      <c r="B40" s="24" t="n"/>
      <c r="C40" s="19" t="n"/>
      <c r="D40" s="24" t="n"/>
      <c r="E40" s="24" t="n"/>
      <c r="F40" s="61" t="n"/>
      <c r="G40" s="61" t="n"/>
      <c r="H40" s="61" t="n"/>
      <c r="I40" s="24" t="n"/>
      <c r="J40" s="24" t="n"/>
      <c r="K40" s="55">
        <f>IF($B40="","",IFERROR(INDEX(Proyectos!$B$2:$B$41,MATCH($B40,Proyectos!$A$2:$A$41,0)),"⚠ ID no encontrado"))</f>
        <v/>
      </c>
      <c r="L40" s="56">
        <f>IF($B40="","",IFERROR(INDEX(Proyectos!$C$2:$C$41,MATCH($B40,Proyectos!$A$2:$A$41,0)),"⚠ ID no encontrado"))</f>
        <v/>
      </c>
      <c r="M40" s="56">
        <f>IF($B40="","",IFERROR(INDEX(Proyectos!$D$2:$D$41,MATCH($B40,Proyectos!$A$2:$A$41,0)),"⚠ ID no encontrado"))</f>
        <v/>
      </c>
      <c r="N40" s="57">
        <f>IF(OR($B40="",$E40="",$F40="",$G40="",$H40=""),"",IFERROR(IF($E40="Bajar",($F40-$H40)/($F40-$G40),($H40-$F40)/($G40-$F40)),""))</f>
        <v/>
      </c>
      <c r="O40" s="56">
        <f>IF($N40="","",IF($N40&gt;=1,"Conseguido",IF($N40&gt;=0.7,"En camino",IF($N40&gt;=0.3,"Atención","Crítico"))))</f>
        <v/>
      </c>
    </row>
    <row r="41" ht="17" customHeight="1">
      <c r="A41" s="24" t="n"/>
      <c r="B41" s="24" t="n"/>
      <c r="C41" s="19" t="n"/>
      <c r="D41" s="24" t="n"/>
      <c r="E41" s="24" t="n"/>
      <c r="F41" s="61" t="n"/>
      <c r="G41" s="61" t="n"/>
      <c r="H41" s="61" t="n"/>
      <c r="I41" s="24" t="n"/>
      <c r="J41" s="24" t="n"/>
      <c r="K41" s="55">
        <f>IF($B41="","",IFERROR(INDEX(Proyectos!$B$2:$B$41,MATCH($B41,Proyectos!$A$2:$A$41,0)),"⚠ ID no encontrado"))</f>
        <v/>
      </c>
      <c r="L41" s="56">
        <f>IF($B41="","",IFERROR(INDEX(Proyectos!$C$2:$C$41,MATCH($B41,Proyectos!$A$2:$A$41,0)),"⚠ ID no encontrado"))</f>
        <v/>
      </c>
      <c r="M41" s="56">
        <f>IF($B41="","",IFERROR(INDEX(Proyectos!$D$2:$D$41,MATCH($B41,Proyectos!$A$2:$A$41,0)),"⚠ ID no encontrado"))</f>
        <v/>
      </c>
      <c r="N41" s="57">
        <f>IF(OR($B41="",$E41="",$F41="",$G41="",$H41=""),"",IFERROR(IF($E41="Bajar",($F41-$H41)/($F41-$G41),($H41-$F41)/($G41-$F41)),""))</f>
        <v/>
      </c>
      <c r="O41" s="56">
        <f>IF($N41="","",IF($N41&gt;=1,"Conseguido",IF($N41&gt;=0.7,"En camino",IF($N41&gt;=0.3,"Atención","Crítico"))))</f>
        <v/>
      </c>
    </row>
    <row r="42" ht="17" customHeight="1">
      <c r="A42" s="24" t="n"/>
      <c r="B42" s="24" t="n"/>
      <c r="C42" s="19" t="n"/>
      <c r="D42" s="24" t="n"/>
      <c r="E42" s="24" t="n"/>
      <c r="F42" s="61" t="n"/>
      <c r="G42" s="61" t="n"/>
      <c r="H42" s="61" t="n"/>
      <c r="I42" s="24" t="n"/>
      <c r="J42" s="24" t="n"/>
      <c r="K42" s="55">
        <f>IF($B42="","",IFERROR(INDEX(Proyectos!$B$2:$B$41,MATCH($B42,Proyectos!$A$2:$A$41,0)),"⚠ ID no encontrado"))</f>
        <v/>
      </c>
      <c r="L42" s="56">
        <f>IF($B42="","",IFERROR(INDEX(Proyectos!$C$2:$C$41,MATCH($B42,Proyectos!$A$2:$A$41,0)),"⚠ ID no encontrado"))</f>
        <v/>
      </c>
      <c r="M42" s="56">
        <f>IF($B42="","",IFERROR(INDEX(Proyectos!$D$2:$D$41,MATCH($B42,Proyectos!$A$2:$A$41,0)),"⚠ ID no encontrado"))</f>
        <v/>
      </c>
      <c r="N42" s="57">
        <f>IF(OR($B42="",$E42="",$F42="",$G42="",$H42=""),"",IFERROR(IF($E42="Bajar",($F42-$H42)/($F42-$G42),($H42-$F42)/($G42-$F42)),""))</f>
        <v/>
      </c>
      <c r="O42" s="56">
        <f>IF($N42="","",IF($N42&gt;=1,"Conseguido",IF($N42&gt;=0.7,"En camino",IF($N42&gt;=0.3,"Atención","Crítico"))))</f>
        <v/>
      </c>
    </row>
    <row r="43" ht="17" customHeight="1">
      <c r="A43" s="24" t="n"/>
      <c r="B43" s="24" t="n"/>
      <c r="C43" s="19" t="n"/>
      <c r="D43" s="24" t="n"/>
      <c r="E43" s="24" t="n"/>
      <c r="F43" s="61" t="n"/>
      <c r="G43" s="61" t="n"/>
      <c r="H43" s="61" t="n"/>
      <c r="I43" s="24" t="n"/>
      <c r="J43" s="24" t="n"/>
      <c r="K43" s="55">
        <f>IF($B43="","",IFERROR(INDEX(Proyectos!$B$2:$B$41,MATCH($B43,Proyectos!$A$2:$A$41,0)),"⚠ ID no encontrado"))</f>
        <v/>
      </c>
      <c r="L43" s="56">
        <f>IF($B43="","",IFERROR(INDEX(Proyectos!$C$2:$C$41,MATCH($B43,Proyectos!$A$2:$A$41,0)),"⚠ ID no encontrado"))</f>
        <v/>
      </c>
      <c r="M43" s="56">
        <f>IF($B43="","",IFERROR(INDEX(Proyectos!$D$2:$D$41,MATCH($B43,Proyectos!$A$2:$A$41,0)),"⚠ ID no encontrado"))</f>
        <v/>
      </c>
      <c r="N43" s="57">
        <f>IF(OR($B43="",$E43="",$F43="",$G43="",$H43=""),"",IFERROR(IF($E43="Bajar",($F43-$H43)/($F43-$G43),($H43-$F43)/($G43-$F43)),""))</f>
        <v/>
      </c>
      <c r="O43" s="56">
        <f>IF($N43="","",IF($N43&gt;=1,"Conseguido",IF($N43&gt;=0.7,"En camino",IF($N43&gt;=0.3,"Atención","Crítico"))))</f>
        <v/>
      </c>
    </row>
    <row r="44" ht="17" customHeight="1">
      <c r="A44" s="24" t="n"/>
      <c r="B44" s="24" t="n"/>
      <c r="C44" s="19" t="n"/>
      <c r="D44" s="24" t="n"/>
      <c r="E44" s="24" t="n"/>
      <c r="F44" s="61" t="n"/>
      <c r="G44" s="61" t="n"/>
      <c r="H44" s="61" t="n"/>
      <c r="I44" s="24" t="n"/>
      <c r="J44" s="24" t="n"/>
      <c r="K44" s="55">
        <f>IF($B44="","",IFERROR(INDEX(Proyectos!$B$2:$B$41,MATCH($B44,Proyectos!$A$2:$A$41,0)),"⚠ ID no encontrado"))</f>
        <v/>
      </c>
      <c r="L44" s="56">
        <f>IF($B44="","",IFERROR(INDEX(Proyectos!$C$2:$C$41,MATCH($B44,Proyectos!$A$2:$A$41,0)),"⚠ ID no encontrado"))</f>
        <v/>
      </c>
      <c r="M44" s="56">
        <f>IF($B44="","",IFERROR(INDEX(Proyectos!$D$2:$D$41,MATCH($B44,Proyectos!$A$2:$A$41,0)),"⚠ ID no encontrado"))</f>
        <v/>
      </c>
      <c r="N44" s="57">
        <f>IF(OR($B44="",$E44="",$F44="",$G44="",$H44=""),"",IFERROR(IF($E44="Bajar",($F44-$H44)/($F44-$G44),($H44-$F44)/($G44-$F44)),""))</f>
        <v/>
      </c>
      <c r="O44" s="56">
        <f>IF($N44="","",IF($N44&gt;=1,"Conseguido",IF($N44&gt;=0.7,"En camino",IF($N44&gt;=0.3,"Atención","Crítico"))))</f>
        <v/>
      </c>
    </row>
    <row r="45" ht="17" customHeight="1">
      <c r="A45" s="24" t="n"/>
      <c r="B45" s="24" t="n"/>
      <c r="C45" s="19" t="n"/>
      <c r="D45" s="24" t="n"/>
      <c r="E45" s="24" t="n"/>
      <c r="F45" s="61" t="n"/>
      <c r="G45" s="61" t="n"/>
      <c r="H45" s="61" t="n"/>
      <c r="I45" s="24" t="n"/>
      <c r="J45" s="24" t="n"/>
      <c r="K45" s="55">
        <f>IF($B45="","",IFERROR(INDEX(Proyectos!$B$2:$B$41,MATCH($B45,Proyectos!$A$2:$A$41,0)),"⚠ ID no encontrado"))</f>
        <v/>
      </c>
      <c r="L45" s="56">
        <f>IF($B45="","",IFERROR(INDEX(Proyectos!$C$2:$C$41,MATCH($B45,Proyectos!$A$2:$A$41,0)),"⚠ ID no encontrado"))</f>
        <v/>
      </c>
      <c r="M45" s="56">
        <f>IF($B45="","",IFERROR(INDEX(Proyectos!$D$2:$D$41,MATCH($B45,Proyectos!$A$2:$A$41,0)),"⚠ ID no encontrado"))</f>
        <v/>
      </c>
      <c r="N45" s="57">
        <f>IF(OR($B45="",$E45="",$F45="",$G45="",$H45=""),"",IFERROR(IF($E45="Bajar",($F45-$H45)/($F45-$G45),($H45-$F45)/($G45-$F45)),""))</f>
        <v/>
      </c>
      <c r="O45" s="56">
        <f>IF($N45="","",IF($N45&gt;=1,"Conseguido",IF($N45&gt;=0.7,"En camino",IF($N45&gt;=0.3,"Atención","Crítico"))))</f>
        <v/>
      </c>
    </row>
    <row r="46" ht="17" customHeight="1">
      <c r="A46" s="24" t="n"/>
      <c r="B46" s="24" t="n"/>
      <c r="C46" s="19" t="n"/>
      <c r="D46" s="24" t="n"/>
      <c r="E46" s="24" t="n"/>
      <c r="F46" s="61" t="n"/>
      <c r="G46" s="61" t="n"/>
      <c r="H46" s="61" t="n"/>
      <c r="I46" s="24" t="n"/>
      <c r="J46" s="24" t="n"/>
      <c r="K46" s="55">
        <f>IF($B46="","",IFERROR(INDEX(Proyectos!$B$2:$B$41,MATCH($B46,Proyectos!$A$2:$A$41,0)),"⚠ ID no encontrado"))</f>
        <v/>
      </c>
      <c r="L46" s="56">
        <f>IF($B46="","",IFERROR(INDEX(Proyectos!$C$2:$C$41,MATCH($B46,Proyectos!$A$2:$A$41,0)),"⚠ ID no encontrado"))</f>
        <v/>
      </c>
      <c r="M46" s="56">
        <f>IF($B46="","",IFERROR(INDEX(Proyectos!$D$2:$D$41,MATCH($B46,Proyectos!$A$2:$A$41,0)),"⚠ ID no encontrado"))</f>
        <v/>
      </c>
      <c r="N46" s="57">
        <f>IF(OR($B46="",$E46="",$F46="",$G46="",$H46=""),"",IFERROR(IF($E46="Bajar",($F46-$H46)/($F46-$G46),($H46-$F46)/($G46-$F46)),""))</f>
        <v/>
      </c>
      <c r="O46" s="56">
        <f>IF($N46="","",IF($N46&gt;=1,"Conseguido",IF($N46&gt;=0.7,"En camino",IF($N46&gt;=0.3,"Atención","Crítico"))))</f>
        <v/>
      </c>
    </row>
    <row r="47" ht="17" customHeight="1">
      <c r="A47" s="24" t="n"/>
      <c r="B47" s="24" t="n"/>
      <c r="C47" s="19" t="n"/>
      <c r="D47" s="24" t="n"/>
      <c r="E47" s="24" t="n"/>
      <c r="F47" s="61" t="n"/>
      <c r="G47" s="61" t="n"/>
      <c r="H47" s="61" t="n"/>
      <c r="I47" s="24" t="n"/>
      <c r="J47" s="24" t="n"/>
      <c r="K47" s="55">
        <f>IF($B47="","",IFERROR(INDEX(Proyectos!$B$2:$B$41,MATCH($B47,Proyectos!$A$2:$A$41,0)),"⚠ ID no encontrado"))</f>
        <v/>
      </c>
      <c r="L47" s="56">
        <f>IF($B47="","",IFERROR(INDEX(Proyectos!$C$2:$C$41,MATCH($B47,Proyectos!$A$2:$A$41,0)),"⚠ ID no encontrado"))</f>
        <v/>
      </c>
      <c r="M47" s="56">
        <f>IF($B47="","",IFERROR(INDEX(Proyectos!$D$2:$D$41,MATCH($B47,Proyectos!$A$2:$A$41,0)),"⚠ ID no encontrado"))</f>
        <v/>
      </c>
      <c r="N47" s="57">
        <f>IF(OR($B47="",$E47="",$F47="",$G47="",$H47=""),"",IFERROR(IF($E47="Bajar",($F47-$H47)/($F47-$G47),($H47-$F47)/($G47-$F47)),""))</f>
        <v/>
      </c>
      <c r="O47" s="56">
        <f>IF($N47="","",IF($N47&gt;=1,"Conseguido",IF($N47&gt;=0.7,"En camino",IF($N47&gt;=0.3,"Atención","Crítico"))))</f>
        <v/>
      </c>
    </row>
    <row r="48" ht="17" customHeight="1">
      <c r="A48" s="24" t="n"/>
      <c r="B48" s="24" t="n"/>
      <c r="C48" s="19" t="n"/>
      <c r="D48" s="24" t="n"/>
      <c r="E48" s="24" t="n"/>
      <c r="F48" s="61" t="n"/>
      <c r="G48" s="61" t="n"/>
      <c r="H48" s="61" t="n"/>
      <c r="I48" s="24" t="n"/>
      <c r="J48" s="24" t="n"/>
      <c r="K48" s="55">
        <f>IF($B48="","",IFERROR(INDEX(Proyectos!$B$2:$B$41,MATCH($B48,Proyectos!$A$2:$A$41,0)),"⚠ ID no encontrado"))</f>
        <v/>
      </c>
      <c r="L48" s="56">
        <f>IF($B48="","",IFERROR(INDEX(Proyectos!$C$2:$C$41,MATCH($B48,Proyectos!$A$2:$A$41,0)),"⚠ ID no encontrado"))</f>
        <v/>
      </c>
      <c r="M48" s="56">
        <f>IF($B48="","",IFERROR(INDEX(Proyectos!$D$2:$D$41,MATCH($B48,Proyectos!$A$2:$A$41,0)),"⚠ ID no encontrado"))</f>
        <v/>
      </c>
      <c r="N48" s="57">
        <f>IF(OR($B48="",$E48="",$F48="",$G48="",$H48=""),"",IFERROR(IF($E48="Bajar",($F48-$H48)/($F48-$G48),($H48-$F48)/($G48-$F48)),""))</f>
        <v/>
      </c>
      <c r="O48" s="56">
        <f>IF($N48="","",IF($N48&gt;=1,"Conseguido",IF($N48&gt;=0.7,"En camino",IF($N48&gt;=0.3,"Atención","Crítico"))))</f>
        <v/>
      </c>
    </row>
    <row r="49" ht="17" customHeight="1">
      <c r="A49" s="24" t="n"/>
      <c r="B49" s="24" t="n"/>
      <c r="C49" s="19" t="n"/>
      <c r="D49" s="24" t="n"/>
      <c r="E49" s="24" t="n"/>
      <c r="F49" s="61" t="n"/>
      <c r="G49" s="61" t="n"/>
      <c r="H49" s="61" t="n"/>
      <c r="I49" s="24" t="n"/>
      <c r="J49" s="24" t="n"/>
      <c r="K49" s="55">
        <f>IF($B49="","",IFERROR(INDEX(Proyectos!$B$2:$B$41,MATCH($B49,Proyectos!$A$2:$A$41,0)),"⚠ ID no encontrado"))</f>
        <v/>
      </c>
      <c r="L49" s="56">
        <f>IF($B49="","",IFERROR(INDEX(Proyectos!$C$2:$C$41,MATCH($B49,Proyectos!$A$2:$A$41,0)),"⚠ ID no encontrado"))</f>
        <v/>
      </c>
      <c r="M49" s="56">
        <f>IF($B49="","",IFERROR(INDEX(Proyectos!$D$2:$D$41,MATCH($B49,Proyectos!$A$2:$A$41,0)),"⚠ ID no encontrado"))</f>
        <v/>
      </c>
      <c r="N49" s="57">
        <f>IF(OR($B49="",$E49="",$F49="",$G49="",$H49=""),"",IFERROR(IF($E49="Bajar",($F49-$H49)/($F49-$G49),($H49-$F49)/($G49-$F49)),""))</f>
        <v/>
      </c>
      <c r="O49" s="56">
        <f>IF($N49="","",IF($N49&gt;=1,"Conseguido",IF($N49&gt;=0.7,"En camino",IF($N49&gt;=0.3,"Atención","Crítico"))))</f>
        <v/>
      </c>
    </row>
    <row r="50" ht="17" customHeight="1">
      <c r="A50" s="24" t="n"/>
      <c r="B50" s="24" t="n"/>
      <c r="C50" s="19" t="n"/>
      <c r="D50" s="24" t="n"/>
      <c r="E50" s="24" t="n"/>
      <c r="F50" s="61" t="n"/>
      <c r="G50" s="61" t="n"/>
      <c r="H50" s="61" t="n"/>
      <c r="I50" s="24" t="n"/>
      <c r="J50" s="24" t="n"/>
      <c r="K50" s="55">
        <f>IF($B50="","",IFERROR(INDEX(Proyectos!$B$2:$B$41,MATCH($B50,Proyectos!$A$2:$A$41,0)),"⚠ ID no encontrado"))</f>
        <v/>
      </c>
      <c r="L50" s="56">
        <f>IF($B50="","",IFERROR(INDEX(Proyectos!$C$2:$C$41,MATCH($B50,Proyectos!$A$2:$A$41,0)),"⚠ ID no encontrado"))</f>
        <v/>
      </c>
      <c r="M50" s="56">
        <f>IF($B50="","",IFERROR(INDEX(Proyectos!$D$2:$D$41,MATCH($B50,Proyectos!$A$2:$A$41,0)),"⚠ ID no encontrado"))</f>
        <v/>
      </c>
      <c r="N50" s="57">
        <f>IF(OR($B50="",$E50="",$F50="",$G50="",$H50=""),"",IFERROR(IF($E50="Bajar",($F50-$H50)/($F50-$G50),($H50-$F50)/($G50-$F50)),""))</f>
        <v/>
      </c>
      <c r="O50" s="56">
        <f>IF($N50="","",IF($N50&gt;=1,"Conseguido",IF($N50&gt;=0.7,"En camino",IF($N50&gt;=0.3,"Atención","Crítico"))))</f>
        <v/>
      </c>
    </row>
    <row r="51" ht="17" customHeight="1">
      <c r="A51" s="24" t="n"/>
      <c r="B51" s="24" t="n"/>
      <c r="C51" s="19" t="n"/>
      <c r="D51" s="24" t="n"/>
      <c r="E51" s="24" t="n"/>
      <c r="F51" s="61" t="n"/>
      <c r="G51" s="61" t="n"/>
      <c r="H51" s="61" t="n"/>
      <c r="I51" s="24" t="n"/>
      <c r="J51" s="24" t="n"/>
      <c r="K51" s="55">
        <f>IF($B51="","",IFERROR(INDEX(Proyectos!$B$2:$B$41,MATCH($B51,Proyectos!$A$2:$A$41,0)),"⚠ ID no encontrado"))</f>
        <v/>
      </c>
      <c r="L51" s="56">
        <f>IF($B51="","",IFERROR(INDEX(Proyectos!$C$2:$C$41,MATCH($B51,Proyectos!$A$2:$A$41,0)),"⚠ ID no encontrado"))</f>
        <v/>
      </c>
      <c r="M51" s="56">
        <f>IF($B51="","",IFERROR(INDEX(Proyectos!$D$2:$D$41,MATCH($B51,Proyectos!$A$2:$A$41,0)),"⚠ ID no encontrado"))</f>
        <v/>
      </c>
      <c r="N51" s="57">
        <f>IF(OR($B51="",$E51="",$F51="",$G51="",$H51=""),"",IFERROR(IF($E51="Bajar",($F51-$H51)/($F51-$G51),($H51-$F51)/($G51-$F51)),""))</f>
        <v/>
      </c>
      <c r="O51" s="56">
        <f>IF($N51="","",IF($N51&gt;=1,"Conseguido",IF($N51&gt;=0.7,"En camino",IF($N51&gt;=0.3,"Atención","Crítico"))))</f>
        <v/>
      </c>
    </row>
    <row r="52" ht="17" customHeight="1">
      <c r="A52" s="24" t="n"/>
      <c r="B52" s="24" t="n"/>
      <c r="C52" s="19" t="n"/>
      <c r="D52" s="24" t="n"/>
      <c r="E52" s="24" t="n"/>
      <c r="F52" s="61" t="n"/>
      <c r="G52" s="61" t="n"/>
      <c r="H52" s="61" t="n"/>
      <c r="I52" s="24" t="n"/>
      <c r="J52" s="24" t="n"/>
      <c r="K52" s="55">
        <f>IF($B52="","",IFERROR(INDEX(Proyectos!$B$2:$B$41,MATCH($B52,Proyectos!$A$2:$A$41,0)),"⚠ ID no encontrado"))</f>
        <v/>
      </c>
      <c r="L52" s="56">
        <f>IF($B52="","",IFERROR(INDEX(Proyectos!$C$2:$C$41,MATCH($B52,Proyectos!$A$2:$A$41,0)),"⚠ ID no encontrado"))</f>
        <v/>
      </c>
      <c r="M52" s="56">
        <f>IF($B52="","",IFERROR(INDEX(Proyectos!$D$2:$D$41,MATCH($B52,Proyectos!$A$2:$A$41,0)),"⚠ ID no encontrado"))</f>
        <v/>
      </c>
      <c r="N52" s="57">
        <f>IF(OR($B52="",$E52="",$F52="",$G52="",$H52=""),"",IFERROR(IF($E52="Bajar",($F52-$H52)/($F52-$G52),($H52-$F52)/($G52-$F52)),""))</f>
        <v/>
      </c>
      <c r="O52" s="56">
        <f>IF($N52="","",IF($N52&gt;=1,"Conseguido",IF($N52&gt;=0.7,"En camino",IF($N52&gt;=0.3,"Atención","Crítico"))))</f>
        <v/>
      </c>
    </row>
    <row r="53" ht="17" customHeight="1">
      <c r="A53" s="24" t="n"/>
      <c r="B53" s="24" t="n"/>
      <c r="C53" s="19" t="n"/>
      <c r="D53" s="24" t="n"/>
      <c r="E53" s="24" t="n"/>
      <c r="F53" s="61" t="n"/>
      <c r="G53" s="61" t="n"/>
      <c r="H53" s="61" t="n"/>
      <c r="I53" s="24" t="n"/>
      <c r="J53" s="24" t="n"/>
      <c r="K53" s="55">
        <f>IF($B53="","",IFERROR(INDEX(Proyectos!$B$2:$B$41,MATCH($B53,Proyectos!$A$2:$A$41,0)),"⚠ ID no encontrado"))</f>
        <v/>
      </c>
      <c r="L53" s="56">
        <f>IF($B53="","",IFERROR(INDEX(Proyectos!$C$2:$C$41,MATCH($B53,Proyectos!$A$2:$A$41,0)),"⚠ ID no encontrado"))</f>
        <v/>
      </c>
      <c r="M53" s="56">
        <f>IF($B53="","",IFERROR(INDEX(Proyectos!$D$2:$D$41,MATCH($B53,Proyectos!$A$2:$A$41,0)),"⚠ ID no encontrado"))</f>
        <v/>
      </c>
      <c r="N53" s="57">
        <f>IF(OR($B53="",$E53="",$F53="",$G53="",$H53=""),"",IFERROR(IF($E53="Bajar",($F53-$H53)/($F53-$G53),($H53-$F53)/($G53-$F53)),""))</f>
        <v/>
      </c>
      <c r="O53" s="56">
        <f>IF($N53="","",IF($N53&gt;=1,"Conseguido",IF($N53&gt;=0.7,"En camino",IF($N53&gt;=0.3,"Atención","Crítico"))))</f>
        <v/>
      </c>
    </row>
    <row r="54" ht="17" customHeight="1">
      <c r="A54" s="24" t="n"/>
      <c r="B54" s="24" t="n"/>
      <c r="C54" s="19" t="n"/>
      <c r="D54" s="24" t="n"/>
      <c r="E54" s="24" t="n"/>
      <c r="F54" s="61" t="n"/>
      <c r="G54" s="61" t="n"/>
      <c r="H54" s="61" t="n"/>
      <c r="I54" s="24" t="n"/>
      <c r="J54" s="24" t="n"/>
      <c r="K54" s="55">
        <f>IF($B54="","",IFERROR(INDEX(Proyectos!$B$2:$B$41,MATCH($B54,Proyectos!$A$2:$A$41,0)),"⚠ ID no encontrado"))</f>
        <v/>
      </c>
      <c r="L54" s="56">
        <f>IF($B54="","",IFERROR(INDEX(Proyectos!$C$2:$C$41,MATCH($B54,Proyectos!$A$2:$A$41,0)),"⚠ ID no encontrado"))</f>
        <v/>
      </c>
      <c r="M54" s="56">
        <f>IF($B54="","",IFERROR(INDEX(Proyectos!$D$2:$D$41,MATCH($B54,Proyectos!$A$2:$A$41,0)),"⚠ ID no encontrado"))</f>
        <v/>
      </c>
      <c r="N54" s="57">
        <f>IF(OR($B54="",$E54="",$F54="",$G54="",$H54=""),"",IFERROR(IF($E54="Bajar",($F54-$H54)/($F54-$G54),($H54-$F54)/($G54-$F54)),""))</f>
        <v/>
      </c>
      <c r="O54" s="56">
        <f>IF($N54="","",IF($N54&gt;=1,"Conseguido",IF($N54&gt;=0.7,"En camino",IF($N54&gt;=0.3,"Atención","Crítico"))))</f>
        <v/>
      </c>
    </row>
    <row r="55" ht="17" customHeight="1">
      <c r="A55" s="24" t="n"/>
      <c r="B55" s="24" t="n"/>
      <c r="C55" s="19" t="n"/>
      <c r="D55" s="24" t="n"/>
      <c r="E55" s="24" t="n"/>
      <c r="F55" s="61" t="n"/>
      <c r="G55" s="61" t="n"/>
      <c r="H55" s="61" t="n"/>
      <c r="I55" s="24" t="n"/>
      <c r="J55" s="24" t="n"/>
      <c r="K55" s="55">
        <f>IF($B55="","",IFERROR(INDEX(Proyectos!$B$2:$B$41,MATCH($B55,Proyectos!$A$2:$A$41,0)),"⚠ ID no encontrado"))</f>
        <v/>
      </c>
      <c r="L55" s="56">
        <f>IF($B55="","",IFERROR(INDEX(Proyectos!$C$2:$C$41,MATCH($B55,Proyectos!$A$2:$A$41,0)),"⚠ ID no encontrado"))</f>
        <v/>
      </c>
      <c r="M55" s="56">
        <f>IF($B55="","",IFERROR(INDEX(Proyectos!$D$2:$D$41,MATCH($B55,Proyectos!$A$2:$A$41,0)),"⚠ ID no encontrado"))</f>
        <v/>
      </c>
      <c r="N55" s="57">
        <f>IF(OR($B55="",$E55="",$F55="",$G55="",$H55=""),"",IFERROR(IF($E55="Bajar",($F55-$H55)/($F55-$G55),($H55-$F55)/($G55-$F55)),""))</f>
        <v/>
      </c>
      <c r="O55" s="56">
        <f>IF($N55="","",IF($N55&gt;=1,"Conseguido",IF($N55&gt;=0.7,"En camino",IF($N55&gt;=0.3,"Atención","Crítico"))))</f>
        <v/>
      </c>
    </row>
    <row r="56" ht="17" customHeight="1">
      <c r="A56" s="24" t="n"/>
      <c r="B56" s="24" t="n"/>
      <c r="C56" s="19" t="n"/>
      <c r="D56" s="24" t="n"/>
      <c r="E56" s="24" t="n"/>
      <c r="F56" s="61" t="n"/>
      <c r="G56" s="61" t="n"/>
      <c r="H56" s="61" t="n"/>
      <c r="I56" s="24" t="n"/>
      <c r="J56" s="24" t="n"/>
      <c r="K56" s="55">
        <f>IF($B56="","",IFERROR(INDEX(Proyectos!$B$2:$B$41,MATCH($B56,Proyectos!$A$2:$A$41,0)),"⚠ ID no encontrado"))</f>
        <v/>
      </c>
      <c r="L56" s="56">
        <f>IF($B56="","",IFERROR(INDEX(Proyectos!$C$2:$C$41,MATCH($B56,Proyectos!$A$2:$A$41,0)),"⚠ ID no encontrado"))</f>
        <v/>
      </c>
      <c r="M56" s="56">
        <f>IF($B56="","",IFERROR(INDEX(Proyectos!$D$2:$D$41,MATCH($B56,Proyectos!$A$2:$A$41,0)),"⚠ ID no encontrado"))</f>
        <v/>
      </c>
      <c r="N56" s="57">
        <f>IF(OR($B56="",$E56="",$F56="",$G56="",$H56=""),"",IFERROR(IF($E56="Bajar",($F56-$H56)/($F56-$G56),($H56-$F56)/($G56-$F56)),""))</f>
        <v/>
      </c>
      <c r="O56" s="56">
        <f>IF($N56="","",IF($N56&gt;=1,"Conseguido",IF($N56&gt;=0.7,"En camino",IF($N56&gt;=0.3,"Atención","Crítico"))))</f>
        <v/>
      </c>
    </row>
    <row r="57" ht="17" customHeight="1">
      <c r="A57" s="24" t="n"/>
      <c r="B57" s="24" t="n"/>
      <c r="C57" s="19" t="n"/>
      <c r="D57" s="24" t="n"/>
      <c r="E57" s="24" t="n"/>
      <c r="F57" s="61" t="n"/>
      <c r="G57" s="61" t="n"/>
      <c r="H57" s="61" t="n"/>
      <c r="I57" s="24" t="n"/>
      <c r="J57" s="24" t="n"/>
      <c r="K57" s="55">
        <f>IF($B57="","",IFERROR(INDEX(Proyectos!$B$2:$B$41,MATCH($B57,Proyectos!$A$2:$A$41,0)),"⚠ ID no encontrado"))</f>
        <v/>
      </c>
      <c r="L57" s="56">
        <f>IF($B57="","",IFERROR(INDEX(Proyectos!$C$2:$C$41,MATCH($B57,Proyectos!$A$2:$A$41,0)),"⚠ ID no encontrado"))</f>
        <v/>
      </c>
      <c r="M57" s="56">
        <f>IF($B57="","",IFERROR(INDEX(Proyectos!$D$2:$D$41,MATCH($B57,Proyectos!$A$2:$A$41,0)),"⚠ ID no encontrado"))</f>
        <v/>
      </c>
      <c r="N57" s="57">
        <f>IF(OR($B57="",$E57="",$F57="",$G57="",$H57=""),"",IFERROR(IF($E57="Bajar",($F57-$H57)/($F57-$G57),($H57-$F57)/($G57-$F57)),""))</f>
        <v/>
      </c>
      <c r="O57" s="56">
        <f>IF($N57="","",IF($N57&gt;=1,"Conseguido",IF($N57&gt;=0.7,"En camino",IF($N57&gt;=0.3,"Atención","Crítico"))))</f>
        <v/>
      </c>
    </row>
    <row r="58" ht="17" customHeight="1">
      <c r="A58" s="24" t="n"/>
      <c r="B58" s="24" t="n"/>
      <c r="C58" s="19" t="n"/>
      <c r="D58" s="24" t="n"/>
      <c r="E58" s="24" t="n"/>
      <c r="F58" s="61" t="n"/>
      <c r="G58" s="61" t="n"/>
      <c r="H58" s="61" t="n"/>
      <c r="I58" s="24" t="n"/>
      <c r="J58" s="24" t="n"/>
      <c r="K58" s="55">
        <f>IF($B58="","",IFERROR(INDEX(Proyectos!$B$2:$B$41,MATCH($B58,Proyectos!$A$2:$A$41,0)),"⚠ ID no encontrado"))</f>
        <v/>
      </c>
      <c r="L58" s="56">
        <f>IF($B58="","",IFERROR(INDEX(Proyectos!$C$2:$C$41,MATCH($B58,Proyectos!$A$2:$A$41,0)),"⚠ ID no encontrado"))</f>
        <v/>
      </c>
      <c r="M58" s="56">
        <f>IF($B58="","",IFERROR(INDEX(Proyectos!$D$2:$D$41,MATCH($B58,Proyectos!$A$2:$A$41,0)),"⚠ ID no encontrado"))</f>
        <v/>
      </c>
      <c r="N58" s="57">
        <f>IF(OR($B58="",$E58="",$F58="",$G58="",$H58=""),"",IFERROR(IF($E58="Bajar",($F58-$H58)/($F58-$G58),($H58-$F58)/($G58-$F58)),""))</f>
        <v/>
      </c>
      <c r="O58" s="56">
        <f>IF($N58="","",IF($N58&gt;=1,"Conseguido",IF($N58&gt;=0.7,"En camino",IF($N58&gt;=0.3,"Atención","Crítico"))))</f>
        <v/>
      </c>
    </row>
    <row r="59" ht="17" customHeight="1">
      <c r="A59" s="24" t="n"/>
      <c r="B59" s="24" t="n"/>
      <c r="C59" s="19" t="n"/>
      <c r="D59" s="24" t="n"/>
      <c r="E59" s="24" t="n"/>
      <c r="F59" s="61" t="n"/>
      <c r="G59" s="61" t="n"/>
      <c r="H59" s="61" t="n"/>
      <c r="I59" s="24" t="n"/>
      <c r="J59" s="24" t="n"/>
      <c r="K59" s="55">
        <f>IF($B59="","",IFERROR(INDEX(Proyectos!$B$2:$B$41,MATCH($B59,Proyectos!$A$2:$A$41,0)),"⚠ ID no encontrado"))</f>
        <v/>
      </c>
      <c r="L59" s="56">
        <f>IF($B59="","",IFERROR(INDEX(Proyectos!$C$2:$C$41,MATCH($B59,Proyectos!$A$2:$A$41,0)),"⚠ ID no encontrado"))</f>
        <v/>
      </c>
      <c r="M59" s="56">
        <f>IF($B59="","",IFERROR(INDEX(Proyectos!$D$2:$D$41,MATCH($B59,Proyectos!$A$2:$A$41,0)),"⚠ ID no encontrado"))</f>
        <v/>
      </c>
      <c r="N59" s="57">
        <f>IF(OR($B59="",$E59="",$F59="",$G59="",$H59=""),"",IFERROR(IF($E59="Bajar",($F59-$H59)/($F59-$G59),($H59-$F59)/($G59-$F59)),""))</f>
        <v/>
      </c>
      <c r="O59" s="56">
        <f>IF($N59="","",IF($N59&gt;=1,"Conseguido",IF($N59&gt;=0.7,"En camino",IF($N59&gt;=0.3,"Atención","Crítico"))))</f>
        <v/>
      </c>
    </row>
    <row r="60" ht="17" customHeight="1">
      <c r="A60" s="24" t="n"/>
      <c r="B60" s="24" t="n"/>
      <c r="C60" s="19" t="n"/>
      <c r="D60" s="24" t="n"/>
      <c r="E60" s="24" t="n"/>
      <c r="F60" s="61" t="n"/>
      <c r="G60" s="61" t="n"/>
      <c r="H60" s="61" t="n"/>
      <c r="I60" s="24" t="n"/>
      <c r="J60" s="24" t="n"/>
      <c r="K60" s="55">
        <f>IF($B60="","",IFERROR(INDEX(Proyectos!$B$2:$B$41,MATCH($B60,Proyectos!$A$2:$A$41,0)),"⚠ ID no encontrado"))</f>
        <v/>
      </c>
      <c r="L60" s="56">
        <f>IF($B60="","",IFERROR(INDEX(Proyectos!$C$2:$C$41,MATCH($B60,Proyectos!$A$2:$A$41,0)),"⚠ ID no encontrado"))</f>
        <v/>
      </c>
      <c r="M60" s="56">
        <f>IF($B60="","",IFERROR(INDEX(Proyectos!$D$2:$D$41,MATCH($B60,Proyectos!$A$2:$A$41,0)),"⚠ ID no encontrado"))</f>
        <v/>
      </c>
      <c r="N60" s="57">
        <f>IF(OR($B60="",$E60="",$F60="",$G60="",$H60=""),"",IFERROR(IF($E60="Bajar",($F60-$H60)/($F60-$G60),($H60-$F60)/($G60-$F60)),""))</f>
        <v/>
      </c>
      <c r="O60" s="56">
        <f>IF($N60="","",IF($N60&gt;=1,"Conseguido",IF($N60&gt;=0.7,"En camino",IF($N60&gt;=0.3,"Atención","Crítico"))))</f>
        <v/>
      </c>
    </row>
    <row r="61" ht="17" customHeight="1">
      <c r="A61" s="24" t="n"/>
      <c r="B61" s="24" t="n"/>
      <c r="C61" s="19" t="n"/>
      <c r="D61" s="24" t="n"/>
      <c r="E61" s="24" t="n"/>
      <c r="F61" s="61" t="n"/>
      <c r="G61" s="61" t="n"/>
      <c r="H61" s="61" t="n"/>
      <c r="I61" s="24" t="n"/>
      <c r="J61" s="24" t="n"/>
      <c r="K61" s="55">
        <f>IF($B61="","",IFERROR(INDEX(Proyectos!$B$2:$B$41,MATCH($B61,Proyectos!$A$2:$A$41,0)),"⚠ ID no encontrado"))</f>
        <v/>
      </c>
      <c r="L61" s="56">
        <f>IF($B61="","",IFERROR(INDEX(Proyectos!$C$2:$C$41,MATCH($B61,Proyectos!$A$2:$A$41,0)),"⚠ ID no encontrado"))</f>
        <v/>
      </c>
      <c r="M61" s="56">
        <f>IF($B61="","",IFERROR(INDEX(Proyectos!$D$2:$D$41,MATCH($B61,Proyectos!$A$2:$A$41,0)),"⚠ ID no encontrado"))</f>
        <v/>
      </c>
      <c r="N61" s="57">
        <f>IF(OR($B61="",$E61="",$F61="",$G61="",$H61=""),"",IFERROR(IF($E61="Bajar",($F61-$H61)/($F61-$G61),($H61-$F61)/($G61-$F61)),""))</f>
        <v/>
      </c>
      <c r="O61" s="56">
        <f>IF($N61="","",IF($N61&gt;=1,"Conseguido",IF($N61&gt;=0.7,"En camino",IF($N61&gt;=0.3,"Atención","Crítico"))))</f>
        <v/>
      </c>
    </row>
    <row r="62" ht="17" customHeight="1">
      <c r="A62" s="24" t="n"/>
      <c r="B62" s="24" t="n"/>
      <c r="C62" s="19" t="n"/>
      <c r="D62" s="24" t="n"/>
      <c r="E62" s="24" t="n"/>
      <c r="F62" s="61" t="n"/>
      <c r="G62" s="61" t="n"/>
      <c r="H62" s="61" t="n"/>
      <c r="I62" s="24" t="n"/>
      <c r="J62" s="24" t="n"/>
      <c r="K62" s="55">
        <f>IF($B62="","",IFERROR(INDEX(Proyectos!$B$2:$B$41,MATCH($B62,Proyectos!$A$2:$A$41,0)),"⚠ ID no encontrado"))</f>
        <v/>
      </c>
      <c r="L62" s="56">
        <f>IF($B62="","",IFERROR(INDEX(Proyectos!$C$2:$C$41,MATCH($B62,Proyectos!$A$2:$A$41,0)),"⚠ ID no encontrado"))</f>
        <v/>
      </c>
      <c r="M62" s="56">
        <f>IF($B62="","",IFERROR(INDEX(Proyectos!$D$2:$D$41,MATCH($B62,Proyectos!$A$2:$A$41,0)),"⚠ ID no encontrado"))</f>
        <v/>
      </c>
      <c r="N62" s="57">
        <f>IF(OR($B62="",$E62="",$F62="",$G62="",$H62=""),"",IFERROR(IF($E62="Bajar",($F62-$H62)/($F62-$G62),($H62-$F62)/($G62-$F62)),""))</f>
        <v/>
      </c>
      <c r="O62" s="56">
        <f>IF($N62="","",IF($N62&gt;=1,"Conseguido",IF($N62&gt;=0.7,"En camino",IF($N62&gt;=0.3,"Atención","Crítico"))))</f>
        <v/>
      </c>
    </row>
    <row r="63" ht="17" customHeight="1">
      <c r="A63" s="24" t="n"/>
      <c r="B63" s="24" t="n"/>
      <c r="C63" s="19" t="n"/>
      <c r="D63" s="24" t="n"/>
      <c r="E63" s="24" t="n"/>
      <c r="F63" s="61" t="n"/>
      <c r="G63" s="61" t="n"/>
      <c r="H63" s="61" t="n"/>
      <c r="I63" s="24" t="n"/>
      <c r="J63" s="24" t="n"/>
      <c r="K63" s="55">
        <f>IF($B63="","",IFERROR(INDEX(Proyectos!$B$2:$B$41,MATCH($B63,Proyectos!$A$2:$A$41,0)),"⚠ ID no encontrado"))</f>
        <v/>
      </c>
      <c r="L63" s="56">
        <f>IF($B63="","",IFERROR(INDEX(Proyectos!$C$2:$C$41,MATCH($B63,Proyectos!$A$2:$A$41,0)),"⚠ ID no encontrado"))</f>
        <v/>
      </c>
      <c r="M63" s="56">
        <f>IF($B63="","",IFERROR(INDEX(Proyectos!$D$2:$D$41,MATCH($B63,Proyectos!$A$2:$A$41,0)),"⚠ ID no encontrado"))</f>
        <v/>
      </c>
      <c r="N63" s="57">
        <f>IF(OR($B63="",$E63="",$F63="",$G63="",$H63=""),"",IFERROR(IF($E63="Bajar",($F63-$H63)/($F63-$G63),($H63-$F63)/($G63-$F63)),""))</f>
        <v/>
      </c>
      <c r="O63" s="56">
        <f>IF($N63="","",IF($N63&gt;=1,"Conseguido",IF($N63&gt;=0.7,"En camino",IF($N63&gt;=0.3,"Atención","Crítico"))))</f>
        <v/>
      </c>
    </row>
    <row r="64" ht="17" customHeight="1">
      <c r="A64" s="24" t="n"/>
      <c r="B64" s="24" t="n"/>
      <c r="C64" s="19" t="n"/>
      <c r="D64" s="24" t="n"/>
      <c r="E64" s="24" t="n"/>
      <c r="F64" s="61" t="n"/>
      <c r="G64" s="61" t="n"/>
      <c r="H64" s="61" t="n"/>
      <c r="I64" s="24" t="n"/>
      <c r="J64" s="24" t="n"/>
      <c r="K64" s="55">
        <f>IF($B64="","",IFERROR(INDEX(Proyectos!$B$2:$B$41,MATCH($B64,Proyectos!$A$2:$A$41,0)),"⚠ ID no encontrado"))</f>
        <v/>
      </c>
      <c r="L64" s="56">
        <f>IF($B64="","",IFERROR(INDEX(Proyectos!$C$2:$C$41,MATCH($B64,Proyectos!$A$2:$A$41,0)),"⚠ ID no encontrado"))</f>
        <v/>
      </c>
      <c r="M64" s="56">
        <f>IF($B64="","",IFERROR(INDEX(Proyectos!$D$2:$D$41,MATCH($B64,Proyectos!$A$2:$A$41,0)),"⚠ ID no encontrado"))</f>
        <v/>
      </c>
      <c r="N64" s="57">
        <f>IF(OR($B64="",$E64="",$F64="",$G64="",$H64=""),"",IFERROR(IF($E64="Bajar",($F64-$H64)/($F64-$G64),($H64-$F64)/($G64-$F64)),""))</f>
        <v/>
      </c>
      <c r="O64" s="56">
        <f>IF($N64="","",IF($N64&gt;=1,"Conseguido",IF($N64&gt;=0.7,"En camino",IF($N64&gt;=0.3,"Atención","Crítico"))))</f>
        <v/>
      </c>
    </row>
    <row r="65" ht="17" customHeight="1">
      <c r="A65" s="24" t="n"/>
      <c r="B65" s="24" t="n"/>
      <c r="C65" s="19" t="n"/>
      <c r="D65" s="24" t="n"/>
      <c r="E65" s="24" t="n"/>
      <c r="F65" s="61" t="n"/>
      <c r="G65" s="61" t="n"/>
      <c r="H65" s="61" t="n"/>
      <c r="I65" s="24" t="n"/>
      <c r="J65" s="24" t="n"/>
      <c r="K65" s="55">
        <f>IF($B65="","",IFERROR(INDEX(Proyectos!$B$2:$B$41,MATCH($B65,Proyectos!$A$2:$A$41,0)),"⚠ ID no encontrado"))</f>
        <v/>
      </c>
      <c r="L65" s="56">
        <f>IF($B65="","",IFERROR(INDEX(Proyectos!$C$2:$C$41,MATCH($B65,Proyectos!$A$2:$A$41,0)),"⚠ ID no encontrado"))</f>
        <v/>
      </c>
      <c r="M65" s="56">
        <f>IF($B65="","",IFERROR(INDEX(Proyectos!$D$2:$D$41,MATCH($B65,Proyectos!$A$2:$A$41,0)),"⚠ ID no encontrado"))</f>
        <v/>
      </c>
      <c r="N65" s="57">
        <f>IF(OR($B65="",$E65="",$F65="",$G65="",$H65=""),"",IFERROR(IF($E65="Bajar",($F65-$H65)/($F65-$G65),($H65-$F65)/($G65-$F65)),""))</f>
        <v/>
      </c>
      <c r="O65" s="56">
        <f>IF($N65="","",IF($N65&gt;=1,"Conseguido",IF($N65&gt;=0.7,"En camino",IF($N65&gt;=0.3,"Atención","Crítico"))))</f>
        <v/>
      </c>
    </row>
    <row r="66" ht="17" customHeight="1">
      <c r="A66" s="24" t="n"/>
      <c r="B66" s="24" t="n"/>
      <c r="C66" s="19" t="n"/>
      <c r="D66" s="24" t="n"/>
      <c r="E66" s="24" t="n"/>
      <c r="F66" s="61" t="n"/>
      <c r="G66" s="61" t="n"/>
      <c r="H66" s="61" t="n"/>
      <c r="I66" s="24" t="n"/>
      <c r="J66" s="24" t="n"/>
      <c r="K66" s="55">
        <f>IF($B66="","",IFERROR(INDEX(Proyectos!$B$2:$B$41,MATCH($B66,Proyectos!$A$2:$A$41,0)),"⚠ ID no encontrado"))</f>
        <v/>
      </c>
      <c r="L66" s="56">
        <f>IF($B66="","",IFERROR(INDEX(Proyectos!$C$2:$C$41,MATCH($B66,Proyectos!$A$2:$A$41,0)),"⚠ ID no encontrado"))</f>
        <v/>
      </c>
      <c r="M66" s="56">
        <f>IF($B66="","",IFERROR(INDEX(Proyectos!$D$2:$D$41,MATCH($B66,Proyectos!$A$2:$A$41,0)),"⚠ ID no encontrado"))</f>
        <v/>
      </c>
      <c r="N66" s="57">
        <f>IF(OR($B66="",$E66="",$F66="",$G66="",$H66=""),"",IFERROR(IF($E66="Bajar",($F66-$H66)/($F66-$G66),($H66-$F66)/($G66-$F66)),""))</f>
        <v/>
      </c>
      <c r="O66" s="56">
        <f>IF($N66="","",IF($N66&gt;=1,"Conseguido",IF($N66&gt;=0.7,"En camino",IF($N66&gt;=0.3,"Atención","Crítico"))))</f>
        <v/>
      </c>
    </row>
    <row r="67" ht="17" customHeight="1">
      <c r="A67" s="24" t="n"/>
      <c r="B67" s="24" t="n"/>
      <c r="C67" s="19" t="n"/>
      <c r="D67" s="24" t="n"/>
      <c r="E67" s="24" t="n"/>
      <c r="F67" s="61" t="n"/>
      <c r="G67" s="61" t="n"/>
      <c r="H67" s="61" t="n"/>
      <c r="I67" s="24" t="n"/>
      <c r="J67" s="24" t="n"/>
      <c r="K67" s="55">
        <f>IF($B67="","",IFERROR(INDEX(Proyectos!$B$2:$B$41,MATCH($B67,Proyectos!$A$2:$A$41,0)),"⚠ ID no encontrado"))</f>
        <v/>
      </c>
      <c r="L67" s="56">
        <f>IF($B67="","",IFERROR(INDEX(Proyectos!$C$2:$C$41,MATCH($B67,Proyectos!$A$2:$A$41,0)),"⚠ ID no encontrado"))</f>
        <v/>
      </c>
      <c r="M67" s="56">
        <f>IF($B67="","",IFERROR(INDEX(Proyectos!$D$2:$D$41,MATCH($B67,Proyectos!$A$2:$A$41,0)),"⚠ ID no encontrado"))</f>
        <v/>
      </c>
      <c r="N67" s="57">
        <f>IF(OR($B67="",$E67="",$F67="",$G67="",$H67=""),"",IFERROR(IF($E67="Bajar",($F67-$H67)/($F67-$G67),($H67-$F67)/($G67-$F67)),""))</f>
        <v/>
      </c>
      <c r="O67" s="56">
        <f>IF($N67="","",IF($N67&gt;=1,"Conseguido",IF($N67&gt;=0.7,"En camino",IF($N67&gt;=0.3,"Atención","Crítico"))))</f>
        <v/>
      </c>
    </row>
    <row r="68" ht="17" customHeight="1">
      <c r="A68" s="24" t="n"/>
      <c r="B68" s="24" t="n"/>
      <c r="C68" s="19" t="n"/>
      <c r="D68" s="24" t="n"/>
      <c r="E68" s="24" t="n"/>
      <c r="F68" s="61" t="n"/>
      <c r="G68" s="61" t="n"/>
      <c r="H68" s="61" t="n"/>
      <c r="I68" s="24" t="n"/>
      <c r="J68" s="24" t="n"/>
      <c r="K68" s="55">
        <f>IF($B68="","",IFERROR(INDEX(Proyectos!$B$2:$B$41,MATCH($B68,Proyectos!$A$2:$A$41,0)),"⚠ ID no encontrado"))</f>
        <v/>
      </c>
      <c r="L68" s="56">
        <f>IF($B68="","",IFERROR(INDEX(Proyectos!$C$2:$C$41,MATCH($B68,Proyectos!$A$2:$A$41,0)),"⚠ ID no encontrado"))</f>
        <v/>
      </c>
      <c r="M68" s="56">
        <f>IF($B68="","",IFERROR(INDEX(Proyectos!$D$2:$D$41,MATCH($B68,Proyectos!$A$2:$A$41,0)),"⚠ ID no encontrado"))</f>
        <v/>
      </c>
      <c r="N68" s="57">
        <f>IF(OR($B68="",$E68="",$F68="",$G68="",$H68=""),"",IFERROR(IF($E68="Bajar",($F68-$H68)/($F68-$G68),($H68-$F68)/($G68-$F68)),""))</f>
        <v/>
      </c>
      <c r="O68" s="56">
        <f>IF($N68="","",IF($N68&gt;=1,"Conseguido",IF($N68&gt;=0.7,"En camino",IF($N68&gt;=0.3,"Atención","Crítico"))))</f>
        <v/>
      </c>
    </row>
    <row r="69" ht="17" customHeight="1">
      <c r="A69" s="24" t="n"/>
      <c r="B69" s="24" t="n"/>
      <c r="C69" s="19" t="n"/>
      <c r="D69" s="24" t="n"/>
      <c r="E69" s="24" t="n"/>
      <c r="F69" s="61" t="n"/>
      <c r="G69" s="61" t="n"/>
      <c r="H69" s="61" t="n"/>
      <c r="I69" s="24" t="n"/>
      <c r="J69" s="24" t="n"/>
      <c r="K69" s="55">
        <f>IF($B69="","",IFERROR(INDEX(Proyectos!$B$2:$B$41,MATCH($B69,Proyectos!$A$2:$A$41,0)),"⚠ ID no encontrado"))</f>
        <v/>
      </c>
      <c r="L69" s="56">
        <f>IF($B69="","",IFERROR(INDEX(Proyectos!$C$2:$C$41,MATCH($B69,Proyectos!$A$2:$A$41,0)),"⚠ ID no encontrado"))</f>
        <v/>
      </c>
      <c r="M69" s="56">
        <f>IF($B69="","",IFERROR(INDEX(Proyectos!$D$2:$D$41,MATCH($B69,Proyectos!$A$2:$A$41,0)),"⚠ ID no encontrado"))</f>
        <v/>
      </c>
      <c r="N69" s="57">
        <f>IF(OR($B69="",$E69="",$F69="",$G69="",$H69=""),"",IFERROR(IF($E69="Bajar",($F69-$H69)/($F69-$G69),($H69-$F69)/($G69-$F69)),""))</f>
        <v/>
      </c>
      <c r="O69" s="56">
        <f>IF($N69="","",IF($N69&gt;=1,"Conseguido",IF($N69&gt;=0.7,"En camino",IF($N69&gt;=0.3,"Atención","Crítico"))))</f>
        <v/>
      </c>
    </row>
    <row r="70" ht="17" customHeight="1">
      <c r="A70" s="24" t="n"/>
      <c r="B70" s="24" t="n"/>
      <c r="C70" s="19" t="n"/>
      <c r="D70" s="24" t="n"/>
      <c r="E70" s="24" t="n"/>
      <c r="F70" s="61" t="n"/>
      <c r="G70" s="61" t="n"/>
      <c r="H70" s="61" t="n"/>
      <c r="I70" s="24" t="n"/>
      <c r="J70" s="24" t="n"/>
      <c r="K70" s="55">
        <f>IF($B70="","",IFERROR(INDEX(Proyectos!$B$2:$B$41,MATCH($B70,Proyectos!$A$2:$A$41,0)),"⚠ ID no encontrado"))</f>
        <v/>
      </c>
      <c r="L70" s="56">
        <f>IF($B70="","",IFERROR(INDEX(Proyectos!$C$2:$C$41,MATCH($B70,Proyectos!$A$2:$A$41,0)),"⚠ ID no encontrado"))</f>
        <v/>
      </c>
      <c r="M70" s="56">
        <f>IF($B70="","",IFERROR(INDEX(Proyectos!$D$2:$D$41,MATCH($B70,Proyectos!$A$2:$A$41,0)),"⚠ ID no encontrado"))</f>
        <v/>
      </c>
      <c r="N70" s="57">
        <f>IF(OR($B70="",$E70="",$F70="",$G70="",$H70=""),"",IFERROR(IF($E70="Bajar",($F70-$H70)/($F70-$G70),($H70-$F70)/($G70-$F70)),""))</f>
        <v/>
      </c>
      <c r="O70" s="56">
        <f>IF($N70="","",IF($N70&gt;=1,"Conseguido",IF($N70&gt;=0.7,"En camino",IF($N70&gt;=0.3,"Atención","Crítico"))))</f>
        <v/>
      </c>
    </row>
    <row r="71" ht="17" customHeight="1">
      <c r="A71" s="24" t="n"/>
      <c r="B71" s="24" t="n"/>
      <c r="C71" s="19" t="n"/>
      <c r="D71" s="24" t="n"/>
      <c r="E71" s="24" t="n"/>
      <c r="F71" s="61" t="n"/>
      <c r="G71" s="61" t="n"/>
      <c r="H71" s="61" t="n"/>
      <c r="I71" s="24" t="n"/>
      <c r="J71" s="24" t="n"/>
      <c r="K71" s="55">
        <f>IF($B71="","",IFERROR(INDEX(Proyectos!$B$2:$B$41,MATCH($B71,Proyectos!$A$2:$A$41,0)),"⚠ ID no encontrado"))</f>
        <v/>
      </c>
      <c r="L71" s="56">
        <f>IF($B71="","",IFERROR(INDEX(Proyectos!$C$2:$C$41,MATCH($B71,Proyectos!$A$2:$A$41,0)),"⚠ ID no encontrado"))</f>
        <v/>
      </c>
      <c r="M71" s="56">
        <f>IF($B71="","",IFERROR(INDEX(Proyectos!$D$2:$D$41,MATCH($B71,Proyectos!$A$2:$A$41,0)),"⚠ ID no encontrado"))</f>
        <v/>
      </c>
      <c r="N71" s="57">
        <f>IF(OR($B71="",$E71="",$F71="",$G71="",$H71=""),"",IFERROR(IF($E71="Bajar",($F71-$H71)/($F71-$G71),($H71-$F71)/($G71-$F71)),""))</f>
        <v/>
      </c>
      <c r="O71" s="56">
        <f>IF($N71="","",IF($N71&gt;=1,"Conseguido",IF($N71&gt;=0.7,"En camino",IF($N71&gt;=0.3,"Atención","Crítico"))))</f>
        <v/>
      </c>
    </row>
  </sheetData>
  <autoFilter ref="A1:O71"/>
  <conditionalFormatting sqref="O2:O71">
    <cfRule type="cellIs" priority="1" operator="equal" dxfId="4">
      <formula>"Conseguido"</formula>
    </cfRule>
    <cfRule type="cellIs" priority="2" operator="equal" dxfId="1">
      <formula>"En camino"</formula>
    </cfRule>
    <cfRule type="cellIs" priority="3" operator="equal" dxfId="2">
      <formula>"Atención"</formula>
    </cfRule>
    <cfRule type="cellIs" priority="4" operator="equal" dxfId="3">
      <formula>"Crítico"</formula>
    </cfRule>
  </conditionalFormatting>
  <conditionalFormatting sqref="N2:N71">
    <cfRule type="dataBar" priority="5">
      <dataBar>
        <cfvo type="num" val="0"/>
        <cfvo type="num" val="1"/>
        <color rgb="005045C8"/>
      </dataBar>
    </cfRule>
  </conditionalFormatting>
  <dataValidations count="5">
    <dataValidation sqref="B2:B71" showDropDown="0" showInputMessage="0" showErrorMessage="0" allowBlank="1" errorTitle="Valor no previsto" error="Valor fuera de la lista. Si necesitas uno nuevo, añádelo en taxonomia.yaml y regenera." type="list" errorStyle="warning">
      <formula1>=Proyectos!$A$2:$A$41</formula1>
    </dataValidation>
    <dataValidation sqref="D2:D71" showDropDown="0" showInputMessage="0" showErrorMessage="0" allowBlank="1" errorTitle="Valor no previsto" error="Valor fuera de la lista. Si necesitas uno nuevo, añádelo en taxonomia.yaml y regenera." type="list" errorStyle="warning">
      <formula1>=Config!$G$2:$G$6</formula1>
    </dataValidation>
    <dataValidation sqref="E2:E71" showDropDown="0" showInputMessage="0" showErrorMessage="0" allowBlank="1" errorTitle="Valor no previsto" error="Valor fuera de la lista. Si necesitas uno nuevo, añádelo en taxonomia.yaml y regenera." type="list" errorStyle="warning">
      <formula1>=Config!$H$2:$H$3</formula1>
    </dataValidation>
    <dataValidation sqref="I2:I71" showDropDown="0" showInputMessage="0" showErrorMessage="0" allowBlank="1" errorTitle="Valor no previsto" error="Valor fuera de la lista. Si necesitas uno nuevo, añádelo en taxonomia.yaml y regenera." type="list" errorStyle="warning">
      <formula1>=Config!$I$2:$I$5</formula1>
    </dataValidation>
    <dataValidation sqref="J2:J71" showDropDown="0" showInputMessage="0" showErrorMessage="0" allowBlank="1" errorTitle="Valor no previsto" error="Valor fuera de la lista. Si necesitas uno nuevo, añádelo en taxonomia.yaml y regenera." type="list" errorStyle="warning">
      <formula1>=Config!$J$2:$J$10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5045C8"/>
    <outlinePr summaryBelow="1" summaryRight="1"/>
    <pageSetUpPr/>
  </sheetPr>
  <dimension ref="A1:L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4" customWidth="1" min="3" max="3"/>
    <col width="16" customWidth="1" min="4" max="4"/>
    <col width="14" customWidth="1" min="5" max="5"/>
    <col width="13" customWidth="1" min="6" max="6"/>
    <col width="40" customWidth="1" min="7" max="7"/>
    <col width="34" customWidth="1" min="8" max="8"/>
    <col width="13" customWidth="1" min="9" max="9"/>
    <col width="22" customWidth="1" min="10" max="10"/>
    <col width="13" customWidth="1" min="11" max="11"/>
    <col width="17" customWidth="1" min="12" max="12"/>
  </cols>
  <sheetData>
    <row r="1" ht="34" customHeight="1">
      <c r="A1" s="18" t="inlineStr">
        <is>
          <t>ID</t>
        </is>
      </c>
      <c r="B1" s="18" t="inlineStr">
        <is>
          <t>Proyecto ID</t>
        </is>
      </c>
      <c r="C1" s="18" t="inlineStr">
        <is>
          <t>Hito</t>
        </is>
      </c>
      <c r="D1" s="18" t="inlineStr">
        <is>
          <t>Responsable</t>
        </is>
      </c>
      <c r="E1" s="18" t="inlineStr">
        <is>
          <t>Fecha objetivo</t>
        </is>
      </c>
      <c r="F1" s="18" t="inlineStr">
        <is>
          <t>Estado</t>
        </is>
      </c>
      <c r="G1" s="18" t="inlineStr">
        <is>
          <t>Entregable</t>
        </is>
      </c>
      <c r="H1" s="44" t="inlineStr">
        <is>
          <t>ƒ Proyecto</t>
        </is>
      </c>
      <c r="I1" s="44" t="inlineStr">
        <is>
          <t>ƒ Departamento</t>
        </is>
      </c>
      <c r="J1" s="44" t="inlineStr">
        <is>
          <t>ƒ Subárea</t>
        </is>
      </c>
      <c r="K1" s="44" t="inlineStr">
        <is>
          <t>ƒ Días restantes</t>
        </is>
      </c>
      <c r="L1" s="44" t="inlineStr">
        <is>
          <t>ƒ Alerta</t>
        </is>
      </c>
    </row>
    <row r="2" ht="17" customHeight="1">
      <c r="A2" s="45" t="inlineStr">
        <is>
          <t>H-036</t>
        </is>
      </c>
      <c r="B2" s="45" t="inlineStr">
        <is>
          <t>GRW-011</t>
        </is>
      </c>
      <c r="C2" s="46" t="inlineStr">
        <is>
          <t>Rediseño de plantilla con tokens de marca</t>
        </is>
      </c>
      <c r="D2" s="45" t="inlineStr">
        <is>
          <t>Por asignar</t>
        </is>
      </c>
      <c r="E2" s="47" t="n">
        <v>46157</v>
      </c>
      <c r="F2" s="45" t="inlineStr">
        <is>
          <t>Completado</t>
        </is>
      </c>
      <c r="G2" s="50" t="inlineStr">
        <is>
          <t>Plantilla en HubSpot</t>
        </is>
      </c>
      <c r="H2" s="62">
        <f>IF($B2="","",IFERROR(INDEX(Proyectos!$B$2:$B$41,MATCH($B2,Proyectos!$A$2:$A$41,0)),"⚠ ID no encontrado"))</f>
        <v/>
      </c>
      <c r="I2" s="54">
        <f>IF($B2="","",IFERROR(INDEX(Proyectos!$C$2:$C$41,MATCH($B2,Proyectos!$A$2:$A$41,0)),"⚠ ID no encontrado"))</f>
        <v/>
      </c>
      <c r="J2" s="54">
        <f>IF($B2="","",IFERROR(INDEX(Proyectos!$D$2:$D$41,MATCH($B2,Proyectos!$A$2:$A$41,0)),"⚠ ID no encontrado"))</f>
        <v/>
      </c>
      <c r="K2" s="52">
        <f>IF($A2="","",IF(OR($F2="Completado",$F2="Cancelado"),"",IF($E2="","",$E2-TODAY())))</f>
        <v/>
      </c>
      <c r="L2" s="54">
        <f>IF($A2="","",IF(OR($F2="Completado",$F2="Cancelado"),"—",IF($K2="","",IF($K2&lt;0,"Vencido",IF($K2&lt;=7,"Esta semana",IF($K2&lt;=30,"Próximos 30 días","En plazo"))))))</f>
        <v/>
      </c>
    </row>
    <row r="3" ht="17" customHeight="1">
      <c r="A3" s="45" t="inlineStr">
        <is>
          <t>H-033</t>
        </is>
      </c>
      <c r="B3" s="45" t="inlineStr">
        <is>
          <t>GRW-010</t>
        </is>
      </c>
      <c r="C3" s="46" t="inlineStr">
        <is>
          <t>Mapa de embudo de checkout con drop-offs</t>
        </is>
      </c>
      <c r="D3" s="45" t="inlineStr">
        <is>
          <t>Por asignar</t>
        </is>
      </c>
      <c r="E3" s="47" t="n">
        <v>46193</v>
      </c>
      <c r="F3" s="45" t="inlineStr">
        <is>
          <t>Completado</t>
        </is>
      </c>
      <c r="G3" s="50" t="inlineStr">
        <is>
          <t>Funnel en GA4</t>
        </is>
      </c>
      <c r="H3" s="62">
        <f>IF($B3="","",IFERROR(INDEX(Proyectos!$B$2:$B$41,MATCH($B3,Proyectos!$A$2:$A$41,0)),"⚠ ID no encontrado"))</f>
        <v/>
      </c>
      <c r="I3" s="54">
        <f>IF($B3="","",IFERROR(INDEX(Proyectos!$C$2:$C$41,MATCH($B3,Proyectos!$A$2:$A$41,0)),"⚠ ID no encontrado"))</f>
        <v/>
      </c>
      <c r="J3" s="54">
        <f>IF($B3="","",IFERROR(INDEX(Proyectos!$D$2:$D$41,MATCH($B3,Proyectos!$A$2:$A$41,0)),"⚠ ID no encontrado"))</f>
        <v/>
      </c>
      <c r="K3" s="52">
        <f>IF($A3="","",IF(OR($F3="Completado",$F3="Cancelado"),"",IF($E3="","",$E3-TODAY())))</f>
        <v/>
      </c>
      <c r="L3" s="54">
        <f>IF($A3="","",IF(OR($F3="Completado",$F3="Cancelado"),"—",IF($K3="","",IF($K3&lt;0,"Vencido",IF($K3&lt;=7,"Esta semana",IF($K3&lt;=30,"Próximos 30 días","En plazo"))))))</f>
        <v/>
      </c>
    </row>
    <row r="4" ht="17" customHeight="1">
      <c r="A4" s="45" t="inlineStr">
        <is>
          <t>H-009</t>
        </is>
      </c>
      <c r="B4" s="45" t="inlineStr">
        <is>
          <t>GRW-003</t>
        </is>
      </c>
      <c r="C4" s="46" t="inlineStr">
        <is>
          <t>Keyword research y mapa de cluster</t>
        </is>
      </c>
      <c r="D4" s="45" t="inlineStr">
        <is>
          <t>Por asignar</t>
        </is>
      </c>
      <c r="E4" s="47" t="n">
        <v>46203</v>
      </c>
      <c r="F4" s="45" t="inlineStr">
        <is>
          <t>Completado</t>
        </is>
      </c>
      <c r="G4" s="50" t="inlineStr">
        <is>
          <t>Hoja con 40 keywords y intención</t>
        </is>
      </c>
      <c r="H4" s="62">
        <f>IF($B4="","",IFERROR(INDEX(Proyectos!$B$2:$B$41,MATCH($B4,Proyectos!$A$2:$A$41,0)),"⚠ ID no encontrado"))</f>
        <v/>
      </c>
      <c r="I4" s="54">
        <f>IF($B4="","",IFERROR(INDEX(Proyectos!$C$2:$C$41,MATCH($B4,Proyectos!$A$2:$A$41,0)),"⚠ ID no encontrado"))</f>
        <v/>
      </c>
      <c r="J4" s="54">
        <f>IF($B4="","",IFERROR(INDEX(Proyectos!$D$2:$D$41,MATCH($B4,Proyectos!$A$2:$A$41,0)),"⚠ ID no encontrado"))</f>
        <v/>
      </c>
      <c r="K4" s="52">
        <f>IF($A4="","",IF(OR($F4="Completado",$F4="Cancelado"),"",IF($E4="","",$E4-TODAY())))</f>
        <v/>
      </c>
      <c r="L4" s="54">
        <f>IF($A4="","",IF(OR($F4="Completado",$F4="Cancelado"),"—",IF($K4="","",IF($K4&lt;0,"Vencido",IF($K4&lt;=7,"Esta semana",IF($K4&lt;=30,"Próximos 30 días","En plazo"))))))</f>
        <v/>
      </c>
    </row>
    <row r="5" ht="17" customHeight="1">
      <c r="A5" s="45" t="inlineStr">
        <is>
          <t>H-013</t>
        </is>
      </c>
      <c r="B5" s="45" t="inlineStr">
        <is>
          <t>GRW-004</t>
        </is>
      </c>
      <c r="C5" s="46" t="inlineStr">
        <is>
          <t>Limpieza y deduplicado de contactos</t>
        </is>
      </c>
      <c r="D5" s="45" t="inlineStr">
        <is>
          <t>Por asignar</t>
        </is>
      </c>
      <c r="E5" s="47" t="n">
        <v>46234</v>
      </c>
      <c r="F5" s="45" t="inlineStr">
        <is>
          <t>Completado</t>
        </is>
      </c>
      <c r="G5" s="50" t="inlineStr">
        <is>
          <t>Base con 0% duplicados</t>
        </is>
      </c>
      <c r="H5" s="62">
        <f>IF($B5="","",IFERROR(INDEX(Proyectos!$B$2:$B$41,MATCH($B5,Proyectos!$A$2:$A$41,0)),"⚠ ID no encontrado"))</f>
        <v/>
      </c>
      <c r="I5" s="54">
        <f>IF($B5="","",IFERROR(INDEX(Proyectos!$C$2:$C$41,MATCH($B5,Proyectos!$A$2:$A$41,0)),"⚠ ID no encontrado"))</f>
        <v/>
      </c>
      <c r="J5" s="54">
        <f>IF($B5="","",IFERROR(INDEX(Proyectos!$D$2:$D$41,MATCH($B5,Proyectos!$A$2:$A$41,0)),"⚠ ID no encontrado"))</f>
        <v/>
      </c>
      <c r="K5" s="52">
        <f>IF($A5="","",IF(OR($F5="Completado",$F5="Cancelado"),"",IF($E5="","",$E5-TODAY())))</f>
        <v/>
      </c>
      <c r="L5" s="54">
        <f>IF($A5="","",IF(OR($F5="Completado",$F5="Cancelado"),"—",IF($K5="","",IF($K5&lt;0,"Vencido",IF($K5&lt;=7,"Esta semana",IF($K5&lt;=30,"Próximos 30 días","En plazo"))))))</f>
        <v/>
      </c>
    </row>
    <row r="6" ht="17" customHeight="1">
      <c r="A6" s="45" t="inlineStr">
        <is>
          <t>H-034</t>
        </is>
      </c>
      <c r="B6" s="45" t="inlineStr">
        <is>
          <t>GRW-010</t>
        </is>
      </c>
      <c r="C6" s="46" t="inlineStr">
        <is>
          <t>Variante con financiación en primer paso</t>
        </is>
      </c>
      <c r="D6" s="45" t="inlineStr">
        <is>
          <t>Por asignar</t>
        </is>
      </c>
      <c r="E6" s="47" t="n">
        <v>46235</v>
      </c>
      <c r="F6" s="45" t="inlineStr">
        <is>
          <t>Completado</t>
        </is>
      </c>
      <c r="G6" s="50" t="inlineStr">
        <is>
          <t>Variante B en producción</t>
        </is>
      </c>
      <c r="H6" s="62">
        <f>IF($B6="","",IFERROR(INDEX(Proyectos!$B$2:$B$41,MATCH($B6,Proyectos!$A$2:$A$41,0)),"⚠ ID no encontrado"))</f>
        <v/>
      </c>
      <c r="I6" s="54">
        <f>IF($B6="","",IFERROR(INDEX(Proyectos!$C$2:$C$41,MATCH($B6,Proyectos!$A$2:$A$41,0)),"⚠ ID no encontrado"))</f>
        <v/>
      </c>
      <c r="J6" s="54">
        <f>IF($B6="","",IFERROR(INDEX(Proyectos!$D$2:$D$41,MATCH($B6,Proyectos!$A$2:$A$41,0)),"⚠ ID no encontrado"))</f>
        <v/>
      </c>
      <c r="K6" s="52">
        <f>IF($A6="","",IF(OR($F6="Completado",$F6="Cancelado"),"",IF($E6="","",$E6-TODAY())))</f>
        <v/>
      </c>
      <c r="L6" s="54">
        <f>IF($A6="","",IF(OR($F6="Completado",$F6="Cancelado"),"—",IF($K6="","",IF($K6&lt;0,"Vencido",IF($K6&lt;=7,"Esta semana",IF($K6&lt;=30,"Próximos 30 días","En plazo"))))))</f>
        <v/>
      </c>
    </row>
    <row r="7" ht="17" customHeight="1">
      <c r="A7" s="45" t="inlineStr">
        <is>
          <t>H-020</t>
        </is>
      </c>
      <c r="B7" s="45" t="inlineStr">
        <is>
          <t>GRW-006</t>
        </is>
      </c>
      <c r="C7" s="46" t="inlineStr">
        <is>
          <t>Copy y estructura de secciones</t>
        </is>
      </c>
      <c r="D7" s="45" t="inlineStr">
        <is>
          <t>Por asignar</t>
        </is>
      </c>
      <c r="E7" s="47" t="n">
        <v>46239</v>
      </c>
      <c r="F7" s="45" t="inlineStr">
        <is>
          <t>Completado</t>
        </is>
      </c>
      <c r="G7" s="50" t="inlineStr">
        <is>
          <t>Documento de copy aprobado</t>
        </is>
      </c>
      <c r="H7" s="62">
        <f>IF($B7="","",IFERROR(INDEX(Proyectos!$B$2:$B$41,MATCH($B7,Proyectos!$A$2:$A$41,0)),"⚠ ID no encontrado"))</f>
        <v/>
      </c>
      <c r="I7" s="54">
        <f>IF($B7="","",IFERROR(INDEX(Proyectos!$C$2:$C$41,MATCH($B7,Proyectos!$A$2:$A$41,0)),"⚠ ID no encontrado"))</f>
        <v/>
      </c>
      <c r="J7" s="54">
        <f>IF($B7="","",IFERROR(INDEX(Proyectos!$D$2:$D$41,MATCH($B7,Proyectos!$A$2:$A$41,0)),"⚠ ID no encontrado"))</f>
        <v/>
      </c>
      <c r="K7" s="52">
        <f>IF($A7="","",IF(OR($F7="Completado",$F7="Cancelado"),"",IF($E7="","",$E7-TODAY())))</f>
        <v/>
      </c>
      <c r="L7" s="54">
        <f>IF($A7="","",IF(OR($F7="Completado",$F7="Cancelado"),"—",IF($K7="","",IF($K7&lt;0,"Vencido",IF($K7&lt;=7,"Esta semana",IF($K7&lt;=30,"Próximos 30 días","En plazo"))))))</f>
        <v/>
      </c>
    </row>
    <row r="8" ht="17" customHeight="1">
      <c r="A8" s="45" t="inlineStr">
        <is>
          <t>H-023</t>
        </is>
      </c>
      <c r="B8" s="45" t="inlineStr">
        <is>
          <t>GRW-007</t>
        </is>
      </c>
      <c r="C8" s="46" t="inlineStr">
        <is>
          <t>Auditoría del dataLayer actual</t>
        </is>
      </c>
      <c r="D8" s="45" t="inlineStr">
        <is>
          <t>Por asignar</t>
        </is>
      </c>
      <c r="E8" s="47" t="n">
        <v>46242</v>
      </c>
      <c r="F8" s="45" t="inlineStr">
        <is>
          <t>Completado</t>
        </is>
      </c>
      <c r="G8" s="50" t="inlineStr">
        <is>
          <t>Informe de eventos perdidos</t>
        </is>
      </c>
      <c r="H8" s="62">
        <f>IF($B8="","",IFERROR(INDEX(Proyectos!$B$2:$B$41,MATCH($B8,Proyectos!$A$2:$A$41,0)),"⚠ ID no encontrado"))</f>
        <v/>
      </c>
      <c r="I8" s="54">
        <f>IF($B8="","",IFERROR(INDEX(Proyectos!$C$2:$C$41,MATCH($B8,Proyectos!$A$2:$A$41,0)),"⚠ ID no encontrado"))</f>
        <v/>
      </c>
      <c r="J8" s="54">
        <f>IF($B8="","",IFERROR(INDEX(Proyectos!$D$2:$D$41,MATCH($B8,Proyectos!$A$2:$A$41,0)),"⚠ ID no encontrado"))</f>
        <v/>
      </c>
      <c r="K8" s="52">
        <f>IF($A8="","",IF(OR($F8="Completado",$F8="Cancelado"),"",IF($E8="","",$E8-TODAY())))</f>
        <v/>
      </c>
      <c r="L8" s="54">
        <f>IF($A8="","",IF(OR($F8="Completado",$F8="Cancelado"),"—",IF($K8="","",IF($K8&lt;0,"Vencido",IF($K8&lt;=7,"Esta semana",IF($K8&lt;=30,"Próximos 30 días","En plazo"))))))</f>
        <v/>
      </c>
    </row>
    <row r="9" ht="17" customHeight="1">
      <c r="A9" s="45" t="inlineStr">
        <is>
          <t>H-014</t>
        </is>
      </c>
      <c r="B9" s="45" t="inlineStr">
        <is>
          <t>GRW-004</t>
        </is>
      </c>
      <c r="C9" s="46" t="inlineStr">
        <is>
          <t>Definición de scoring MQL</t>
        </is>
      </c>
      <c r="D9" s="45" t="inlineStr">
        <is>
          <t>Por asignar</t>
        </is>
      </c>
      <c r="E9" s="47" t="n">
        <v>46256</v>
      </c>
      <c r="F9" s="45" t="inlineStr">
        <is>
          <t>Completado</t>
        </is>
      </c>
      <c r="G9" s="50" t="inlineStr">
        <is>
          <t>Modelo de scoring documentado</t>
        </is>
      </c>
      <c r="H9" s="62">
        <f>IF($B9="","",IFERROR(INDEX(Proyectos!$B$2:$B$41,MATCH($B9,Proyectos!$A$2:$A$41,0)),"⚠ ID no encontrado"))</f>
        <v/>
      </c>
      <c r="I9" s="54">
        <f>IF($B9="","",IFERROR(INDEX(Proyectos!$C$2:$C$41,MATCH($B9,Proyectos!$A$2:$A$41,0)),"⚠ ID no encontrado"))</f>
        <v/>
      </c>
      <c r="J9" s="54">
        <f>IF($B9="","",IFERROR(INDEX(Proyectos!$D$2:$D$41,MATCH($B9,Proyectos!$A$2:$A$41,0)),"⚠ ID no encontrado"))</f>
        <v/>
      </c>
      <c r="K9" s="52">
        <f>IF($A9="","",IF(OR($F9="Completado",$F9="Cancelado"),"",IF($E9="","",$E9-TODAY())))</f>
        <v/>
      </c>
      <c r="L9" s="54">
        <f>IF($A9="","",IF(OR($F9="Completado",$F9="Cancelado"),"—",IF($K9="","",IF($K9&lt;0,"Vencido",IF($K9&lt;=7,"Esta semana",IF($K9&lt;=30,"Próximos 30 días","En plazo"))))))</f>
        <v/>
      </c>
    </row>
    <row r="10" ht="17" customHeight="1">
      <c r="A10" s="45" t="inlineStr">
        <is>
          <t>H-021</t>
        </is>
      </c>
      <c r="B10" s="45" t="inlineStr">
        <is>
          <t>GRW-006</t>
        </is>
      </c>
      <c r="C10" s="46" t="inlineStr">
        <is>
          <t>Maquetación y QA responsive</t>
        </is>
      </c>
      <c r="D10" s="45" t="inlineStr">
        <is>
          <t>Por asignar</t>
        </is>
      </c>
      <c r="E10" s="47" t="n">
        <v>46256</v>
      </c>
      <c r="F10" s="45" t="inlineStr">
        <is>
          <t>Completado</t>
        </is>
      </c>
      <c r="G10" s="50" t="inlineStr">
        <is>
          <t>index.html en el repo</t>
        </is>
      </c>
      <c r="H10" s="62">
        <f>IF($B10="","",IFERROR(INDEX(Proyectos!$B$2:$B$41,MATCH($B10,Proyectos!$A$2:$A$41,0)),"⚠ ID no encontrado"))</f>
        <v/>
      </c>
      <c r="I10" s="54">
        <f>IF($B10="","",IFERROR(INDEX(Proyectos!$C$2:$C$41,MATCH($B10,Proyectos!$A$2:$A$41,0)),"⚠ ID no encontrado"))</f>
        <v/>
      </c>
      <c r="J10" s="54">
        <f>IF($B10="","",IFERROR(INDEX(Proyectos!$D$2:$D$41,MATCH($B10,Proyectos!$A$2:$A$41,0)),"⚠ ID no encontrado"))</f>
        <v/>
      </c>
      <c r="K10" s="52">
        <f>IF($A10="","",IF(OR($F10="Completado",$F10="Cancelado"),"",IF($E10="","",$E10-TODAY())))</f>
        <v/>
      </c>
      <c r="L10" s="54">
        <f>IF($A10="","",IF(OR($F10="Completado",$F10="Cancelado"),"—",IF($K10="","",IF($K10&lt;0,"Vencido",IF($K10&lt;=7,"Esta semana",IF($K10&lt;=30,"Próximos 30 días","En plazo"))))))</f>
        <v/>
      </c>
    </row>
    <row r="11" ht="17" customHeight="1">
      <c r="A11" s="45" t="inlineStr">
        <is>
          <t>H-005</t>
        </is>
      </c>
      <c r="B11" s="45" t="inlineStr">
        <is>
          <t>GRW-002</t>
        </is>
      </c>
      <c r="C11" s="46" t="inlineStr">
        <is>
          <t>Auditoría CRO de la landing actual</t>
        </is>
      </c>
      <c r="D11" s="45" t="inlineStr">
        <is>
          <t>Por asignar</t>
        </is>
      </c>
      <c r="E11" s="47" t="n">
        <v>46263</v>
      </c>
      <c r="F11" s="45" t="inlineStr">
        <is>
          <t>Completado</t>
        </is>
      </c>
      <c r="G11" s="50" t="inlineStr">
        <is>
          <t>Informe con 18 hipótesis priorizadas</t>
        </is>
      </c>
      <c r="H11" s="62">
        <f>IF($B11="","",IFERROR(INDEX(Proyectos!$B$2:$B$41,MATCH($B11,Proyectos!$A$2:$A$41,0)),"⚠ ID no encontrado"))</f>
        <v/>
      </c>
      <c r="I11" s="54">
        <f>IF($B11="","",IFERROR(INDEX(Proyectos!$C$2:$C$41,MATCH($B11,Proyectos!$A$2:$A$41,0)),"⚠ ID no encontrado"))</f>
        <v/>
      </c>
      <c r="J11" s="54">
        <f>IF($B11="","",IFERROR(INDEX(Proyectos!$D$2:$D$41,MATCH($B11,Proyectos!$A$2:$A$41,0)),"⚠ ID no encontrado"))</f>
        <v/>
      </c>
      <c r="K11" s="52">
        <f>IF($A11="","",IF(OR($F11="Completado",$F11="Cancelado"),"",IF($E11="","",$E11-TODAY())))</f>
        <v/>
      </c>
      <c r="L11" s="54">
        <f>IF($A11="","",IF(OR($F11="Completado",$F11="Cancelado"),"—",IF($K11="","",IF($K11&lt;0,"Vencido",IF($K11&lt;=7,"Esta semana",IF($K11&lt;=30,"Próximos 30 días","En plazo"))))))</f>
        <v/>
      </c>
    </row>
    <row r="12" ht="17" customHeight="1">
      <c r="A12" s="45" t="inlineStr">
        <is>
          <t>H-022</t>
        </is>
      </c>
      <c r="B12" s="45" t="inlineStr">
        <is>
          <t>GRW-006</t>
        </is>
      </c>
      <c r="C12" s="46" t="inlineStr">
        <is>
          <t>Publicación en producción</t>
        </is>
      </c>
      <c r="D12" s="45" t="inlineStr">
        <is>
          <t>Por asignar</t>
        </is>
      </c>
      <c r="E12" s="47" t="n">
        <v>46263</v>
      </c>
      <c r="F12" s="45" t="inlineStr">
        <is>
          <t>Completado</t>
        </is>
      </c>
      <c r="G12" s="50" t="inlineStr">
        <is>
          <t>URL pública con tracking</t>
        </is>
      </c>
      <c r="H12" s="62">
        <f>IF($B12="","",IFERROR(INDEX(Proyectos!$B$2:$B$41,MATCH($B12,Proyectos!$A$2:$A$41,0)),"⚠ ID no encontrado"))</f>
        <v/>
      </c>
      <c r="I12" s="54">
        <f>IF($B12="","",IFERROR(INDEX(Proyectos!$C$2:$C$41,MATCH($B12,Proyectos!$A$2:$A$41,0)),"⚠ ID no encontrado"))</f>
        <v/>
      </c>
      <c r="J12" s="54">
        <f>IF($B12="","",IFERROR(INDEX(Proyectos!$D$2:$D$41,MATCH($B12,Proyectos!$A$2:$A$41,0)),"⚠ ID no encontrado"))</f>
        <v/>
      </c>
      <c r="K12" s="52">
        <f>IF($A12="","",IF(OR($F12="Completado",$F12="Cancelado"),"",IF($E12="","",$E12-TODAY())))</f>
        <v/>
      </c>
      <c r="L12" s="54">
        <f>IF($A12="","",IF(OR($F12="Completado",$F12="Cancelado"),"—",IF($K12="","",IF($K12&lt;0,"Vencido",IF($K12&lt;=7,"Esta semana",IF($K12&lt;=30,"Próximos 30 días","En plazo"))))))</f>
        <v/>
      </c>
    </row>
    <row r="13" ht="17" customHeight="1">
      <c r="A13" s="45" t="inlineStr">
        <is>
          <t>H-010</t>
        </is>
      </c>
      <c r="B13" s="45" t="inlineStr">
        <is>
          <t>GRW-003</t>
        </is>
      </c>
      <c r="C13" s="46" t="inlineStr">
        <is>
          <t>20 artículos publicados</t>
        </is>
      </c>
      <c r="D13" s="45" t="inlineStr">
        <is>
          <t>Por asignar</t>
        </is>
      </c>
      <c r="E13" s="47" t="n">
        <v>46266</v>
      </c>
      <c r="F13" s="45" t="inlineStr">
        <is>
          <t>Retrasado</t>
        </is>
      </c>
      <c r="G13" s="50" t="inlineStr">
        <is>
          <t>20 URLs indexadas</t>
        </is>
      </c>
      <c r="H13" s="62">
        <f>IF($B13="","",IFERROR(INDEX(Proyectos!$B$2:$B$41,MATCH($B13,Proyectos!$A$2:$A$41,0)),"⚠ ID no encontrado"))</f>
        <v/>
      </c>
      <c r="I13" s="54">
        <f>IF($B13="","",IFERROR(INDEX(Proyectos!$C$2:$C$41,MATCH($B13,Proyectos!$A$2:$A$41,0)),"⚠ ID no encontrado"))</f>
        <v/>
      </c>
      <c r="J13" s="54">
        <f>IF($B13="","",IFERROR(INDEX(Proyectos!$D$2:$D$41,MATCH($B13,Proyectos!$A$2:$A$41,0)),"⚠ ID no encontrado"))</f>
        <v/>
      </c>
      <c r="K13" s="52">
        <f>IF($A13="","",IF(OR($F13="Completado",$F13="Cancelado"),"",IF($E13="","",$E13-TODAY())))</f>
        <v/>
      </c>
      <c r="L13" s="54">
        <f>IF($A13="","",IF(OR($F13="Completado",$F13="Cancelado"),"—",IF($K13="","",IF($K13&lt;0,"Vencido",IF($K13&lt;=7,"Esta semana",IF($K13&lt;=30,"Próximos 30 días","En plazo"))))))</f>
        <v/>
      </c>
    </row>
    <row r="14" ht="17" customHeight="1">
      <c r="A14" s="45" t="inlineStr">
        <is>
          <t>H-001</t>
        </is>
      </c>
      <c r="B14" s="45" t="inlineStr">
        <is>
          <t>GRW-001</t>
        </is>
      </c>
      <c r="C14" s="46" t="inlineStr">
        <is>
          <t>Estructura de cuentas y naming de campañas</t>
        </is>
      </c>
      <c r="D14" s="45" t="inlineStr">
        <is>
          <t>Por asignar</t>
        </is>
      </c>
      <c r="E14" s="47" t="n">
        <v>46270</v>
      </c>
      <c r="F14" s="45" t="inlineStr">
        <is>
          <t>Completado</t>
        </is>
      </c>
      <c r="G14" s="50" t="inlineStr">
        <is>
          <t>Documento de nomenclatura + cuentas creadas</t>
        </is>
      </c>
      <c r="H14" s="62">
        <f>IF($B14="","",IFERROR(INDEX(Proyectos!$B$2:$B$41,MATCH($B14,Proyectos!$A$2:$A$41,0)),"⚠ ID no encontrado"))</f>
        <v/>
      </c>
      <c r="I14" s="54">
        <f>IF($B14="","",IFERROR(INDEX(Proyectos!$C$2:$C$41,MATCH($B14,Proyectos!$A$2:$A$41,0)),"⚠ ID no encontrado"))</f>
        <v/>
      </c>
      <c r="J14" s="54">
        <f>IF($B14="","",IFERROR(INDEX(Proyectos!$D$2:$D$41,MATCH($B14,Proyectos!$A$2:$A$41,0)),"⚠ ID no encontrado"))</f>
        <v/>
      </c>
      <c r="K14" s="52">
        <f>IF($A14="","",IF(OR($F14="Completado",$F14="Cancelado"),"",IF($E14="","",$E14-TODAY())))</f>
        <v/>
      </c>
      <c r="L14" s="54">
        <f>IF($A14="","",IF(OR($F14="Completado",$F14="Cancelado"),"—",IF($K14="","",IF($K14&lt;0,"Vencido",IF($K14&lt;=7,"Esta semana",IF($K14&lt;=30,"Próximos 30 días","En plazo"))))))</f>
        <v/>
      </c>
    </row>
    <row r="15" ht="17" customHeight="1">
      <c r="A15" s="45" t="inlineStr">
        <is>
          <t>H-015</t>
        </is>
      </c>
      <c r="B15" s="45" t="inlineStr">
        <is>
          <t>GRW-004</t>
        </is>
      </c>
      <c r="C15" s="46" t="inlineStr">
        <is>
          <t>5 secuencias por programa en producción</t>
        </is>
      </c>
      <c r="D15" s="45" t="inlineStr">
        <is>
          <t>Por asignar</t>
        </is>
      </c>
      <c r="E15" s="47" t="n">
        <v>46270</v>
      </c>
      <c r="F15" s="45" t="inlineStr">
        <is>
          <t>Retrasado</t>
        </is>
      </c>
      <c r="G15" s="50" t="inlineStr">
        <is>
          <t>Workflows activos en HubSpot</t>
        </is>
      </c>
      <c r="H15" s="62">
        <f>IF($B15="","",IFERROR(INDEX(Proyectos!$B$2:$B$41,MATCH($B15,Proyectos!$A$2:$A$41,0)),"⚠ ID no encontrado"))</f>
        <v/>
      </c>
      <c r="I15" s="54">
        <f>IF($B15="","",IFERROR(INDEX(Proyectos!$C$2:$C$41,MATCH($B15,Proyectos!$A$2:$A$41,0)),"⚠ ID no encontrado"))</f>
        <v/>
      </c>
      <c r="J15" s="54">
        <f>IF($B15="","",IFERROR(INDEX(Proyectos!$D$2:$D$41,MATCH($B15,Proyectos!$A$2:$A$41,0)),"⚠ ID no encontrado"))</f>
        <v/>
      </c>
      <c r="K15" s="52">
        <f>IF($A15="","",IF(OR($F15="Completado",$F15="Cancelado"),"",IF($E15="","",$E15-TODAY())))</f>
        <v/>
      </c>
      <c r="L15" s="54">
        <f>IF($A15="","",IF(OR($F15="Completado",$F15="Cancelado"),"—",IF($K15="","",IF($K15&lt;0,"Vencido",IF($K15&lt;=7,"Esta semana",IF($K15&lt;=30,"Próximos 30 días","En plazo"))))))</f>
        <v/>
      </c>
    </row>
    <row r="16" ht="17" customHeight="1">
      <c r="A16" s="45" t="inlineStr">
        <is>
          <t>H-024</t>
        </is>
      </c>
      <c r="B16" s="45" t="inlineStr">
        <is>
          <t>GRW-007</t>
        </is>
      </c>
      <c r="C16" s="46" t="inlineStr">
        <is>
          <t>Contenedor server-side desplegado</t>
        </is>
      </c>
      <c r="D16" s="45" t="inlineStr">
        <is>
          <t>Por asignar</t>
        </is>
      </c>
      <c r="E16" s="47" t="n">
        <v>46270</v>
      </c>
      <c r="F16" s="45" t="inlineStr">
        <is>
          <t>Completado</t>
        </is>
      </c>
      <c r="G16" s="50" t="inlineStr">
        <is>
          <t>GTM SS en producción</t>
        </is>
      </c>
      <c r="H16" s="62">
        <f>IF($B16="","",IFERROR(INDEX(Proyectos!$B$2:$B$41,MATCH($B16,Proyectos!$A$2:$A$41,0)),"⚠ ID no encontrado"))</f>
        <v/>
      </c>
      <c r="I16" s="54">
        <f>IF($B16="","",IFERROR(INDEX(Proyectos!$C$2:$C$41,MATCH($B16,Proyectos!$A$2:$A$41,0)),"⚠ ID no encontrado"))</f>
        <v/>
      </c>
      <c r="J16" s="54">
        <f>IF($B16="","",IFERROR(INDEX(Proyectos!$D$2:$D$41,MATCH($B16,Proyectos!$A$2:$A$41,0)),"⚠ ID no encontrado"))</f>
        <v/>
      </c>
      <c r="K16" s="52">
        <f>IF($A16="","",IF(OR($F16="Completado",$F16="Cancelado"),"",IF($E16="","",$E16-TODAY())))</f>
        <v/>
      </c>
      <c r="L16" s="54">
        <f>IF($A16="","",IF(OR($F16="Completado",$F16="Cancelado"),"—",IF($K16="","",IF($K16&lt;0,"Vencido",IF($K16&lt;=7,"Esta semana",IF($K16&lt;=30,"Próximos 30 días","En plazo"))))))</f>
        <v/>
      </c>
    </row>
    <row r="17" ht="17" customHeight="1">
      <c r="A17" s="45" t="inlineStr">
        <is>
          <t>H-006</t>
        </is>
      </c>
      <c r="B17" s="45" t="inlineStr">
        <is>
          <t>GRW-002</t>
        </is>
      </c>
      <c r="C17" s="46" t="inlineStr">
        <is>
          <t>Wireframes mobile-first aprobados</t>
        </is>
      </c>
      <c r="D17" s="45" t="inlineStr">
        <is>
          <t>Por asignar</t>
        </is>
      </c>
      <c r="E17" s="47" t="n">
        <v>46277</v>
      </c>
      <c r="F17" s="45" t="inlineStr">
        <is>
          <t>En curso</t>
        </is>
      </c>
      <c r="G17" s="50" t="inlineStr">
        <is>
          <t>Figma con hero + pricing card</t>
        </is>
      </c>
      <c r="H17" s="62">
        <f>IF($B17="","",IFERROR(INDEX(Proyectos!$B$2:$B$41,MATCH($B17,Proyectos!$A$2:$A$41,0)),"⚠ ID no encontrado"))</f>
        <v/>
      </c>
      <c r="I17" s="54">
        <f>IF($B17="","",IFERROR(INDEX(Proyectos!$C$2:$C$41,MATCH($B17,Proyectos!$A$2:$A$41,0)),"⚠ ID no encontrado"))</f>
        <v/>
      </c>
      <c r="J17" s="54">
        <f>IF($B17="","",IFERROR(INDEX(Proyectos!$D$2:$D$41,MATCH($B17,Proyectos!$A$2:$A$41,0)),"⚠ ID no encontrado"))</f>
        <v/>
      </c>
      <c r="K17" s="52">
        <f>IF($A17="","",IF(OR($F17="Completado",$F17="Cancelado"),"",IF($E17="","",$E17-TODAY())))</f>
        <v/>
      </c>
      <c r="L17" s="54">
        <f>IF($A17="","",IF(OR($F17="Completado",$F17="Cancelado"),"—",IF($K17="","",IF($K17&lt;0,"Vencido",IF($K17&lt;=7,"Esta semana",IF($K17&lt;=30,"Próximos 30 días","En plazo"))))))</f>
        <v/>
      </c>
    </row>
    <row r="18" ht="17" customHeight="1">
      <c r="A18" s="45" t="inlineStr">
        <is>
          <t>H-027</t>
        </is>
      </c>
      <c r="B18" s="45" t="inlineStr">
        <is>
          <t>GRW-008</t>
        </is>
      </c>
      <c r="C18" s="46" t="inlineStr">
        <is>
          <t>Calendario editorial Q4 con profesores</t>
        </is>
      </c>
      <c r="D18" s="45" t="inlineStr">
        <is>
          <t>Por asignar</t>
        </is>
      </c>
      <c r="E18" s="47" t="n">
        <v>46280</v>
      </c>
      <c r="F18" s="45" t="inlineStr">
        <is>
          <t>En curso</t>
        </is>
      </c>
      <c r="G18" s="50" t="inlineStr">
        <is>
          <t>6 sesiones con ponente confirmado</t>
        </is>
      </c>
      <c r="H18" s="62">
        <f>IF($B18="","",IFERROR(INDEX(Proyectos!$B$2:$B$41,MATCH($B18,Proyectos!$A$2:$A$41,0)),"⚠ ID no encontrado"))</f>
        <v/>
      </c>
      <c r="I18" s="54">
        <f>IF($B18="","",IFERROR(INDEX(Proyectos!$C$2:$C$41,MATCH($B18,Proyectos!$A$2:$A$41,0)),"⚠ ID no encontrado"))</f>
        <v/>
      </c>
      <c r="J18" s="54">
        <f>IF($B18="","",IFERROR(INDEX(Proyectos!$D$2:$D$41,MATCH($B18,Proyectos!$A$2:$A$41,0)),"⚠ ID no encontrado"))</f>
        <v/>
      </c>
      <c r="K18" s="52">
        <f>IF($A18="","",IF(OR($F18="Completado",$F18="Cancelado"),"",IF($E18="","",$E18-TODAY())))</f>
        <v/>
      </c>
      <c r="L18" s="54">
        <f>IF($A18="","",IF(OR($F18="Completado",$F18="Cancelado"),"—",IF($K18="","",IF($K18&lt;0,"Vencido",IF($K18&lt;=7,"Esta semana",IF($K18&lt;=30,"Próximos 30 días","En plazo"))))))</f>
        <v/>
      </c>
    </row>
    <row r="19" ht="17" customHeight="1">
      <c r="A19" s="45" t="inlineStr">
        <is>
          <t>H-002</t>
        </is>
      </c>
      <c r="B19" s="45" t="inlineStr">
        <is>
          <t>GRW-001</t>
        </is>
      </c>
      <c r="C19" s="46" t="inlineStr">
        <is>
          <t>Producción de 12 creatividades por programa</t>
        </is>
      </c>
      <c r="D19" s="45" t="inlineStr">
        <is>
          <t>Por asignar</t>
        </is>
      </c>
      <c r="E19" s="47" t="n">
        <v>46284</v>
      </c>
      <c r="F19" s="45" t="inlineStr">
        <is>
          <t>En curso</t>
        </is>
      </c>
      <c r="G19" s="50" t="inlineStr">
        <is>
          <t>Batch de vídeos y estáticos en Drive</t>
        </is>
      </c>
      <c r="H19" s="62">
        <f>IF($B19="","",IFERROR(INDEX(Proyectos!$B$2:$B$41,MATCH($B19,Proyectos!$A$2:$A$41,0)),"⚠ ID no encontrado"))</f>
        <v/>
      </c>
      <c r="I19" s="54">
        <f>IF($B19="","",IFERROR(INDEX(Proyectos!$C$2:$C$41,MATCH($B19,Proyectos!$A$2:$A$41,0)),"⚠ ID no encontrado"))</f>
        <v/>
      </c>
      <c r="J19" s="54">
        <f>IF($B19="","",IFERROR(INDEX(Proyectos!$D$2:$D$41,MATCH($B19,Proyectos!$A$2:$A$41,0)),"⚠ ID no encontrado"))</f>
        <v/>
      </c>
      <c r="K19" s="52">
        <f>IF($A19="","",IF(OR($F19="Completado",$F19="Cancelado"),"",IF($E19="","",$E19-TODAY())))</f>
        <v/>
      </c>
      <c r="L19" s="54">
        <f>IF($A19="","",IF(OR($F19="Completado",$F19="Cancelado"),"—",IF($K19="","",IF($K19&lt;0,"Vencido",IF($K19&lt;=7,"Esta semana",IF($K19&lt;=30,"Próximos 30 días","En plazo"))))))</f>
        <v/>
      </c>
    </row>
    <row r="20" ht="17" customHeight="1">
      <c r="A20" s="45" t="inlineStr">
        <is>
          <t>H-025</t>
        </is>
      </c>
      <c r="B20" s="45" t="inlineStr">
        <is>
          <t>GRW-007</t>
        </is>
      </c>
      <c r="C20" s="46" t="inlineStr">
        <is>
          <t>Conversiones enhanced a Meta y Google</t>
        </is>
      </c>
      <c r="D20" s="45" t="inlineStr">
        <is>
          <t>Por asignar</t>
        </is>
      </c>
      <c r="E20" s="47" t="n">
        <v>46291</v>
      </c>
      <c r="F20" s="45" t="inlineStr">
        <is>
          <t>En curso</t>
        </is>
      </c>
      <c r="G20" s="50" t="inlineStr">
        <is>
          <t>Eventos de matrícula llegando a las plataformas</t>
        </is>
      </c>
      <c r="H20" s="62">
        <f>IF($B20="","",IFERROR(INDEX(Proyectos!$B$2:$B$41,MATCH($B20,Proyectos!$A$2:$A$41,0)),"⚠ ID no encontrado"))</f>
        <v/>
      </c>
      <c r="I20" s="54">
        <f>IF($B20="","",IFERROR(INDEX(Proyectos!$C$2:$C$41,MATCH($B20,Proyectos!$A$2:$A$41,0)),"⚠ ID no encontrado"))</f>
        <v/>
      </c>
      <c r="J20" s="54">
        <f>IF($B20="","",IFERROR(INDEX(Proyectos!$D$2:$D$41,MATCH($B20,Proyectos!$A$2:$A$41,0)),"⚠ ID no encontrado"))</f>
        <v/>
      </c>
      <c r="K20" s="52">
        <f>IF($A20="","",IF(OR($F20="Completado",$F20="Cancelado"),"",IF($E20="","",$E20-TODAY())))</f>
        <v/>
      </c>
      <c r="L20" s="54">
        <f>IF($A20="","",IF(OR($F20="Completado",$F20="Cancelado"),"—",IF($K20="","",IF($K20&lt;0,"Vencido",IF($K20&lt;=7,"Esta semana",IF($K20&lt;=30,"Próximos 30 días","En plazo"))))))</f>
        <v/>
      </c>
    </row>
    <row r="21" ht="17" customHeight="1">
      <c r="A21" s="45" t="inlineStr">
        <is>
          <t>H-035</t>
        </is>
      </c>
      <c r="B21" s="45" t="inlineStr">
        <is>
          <t>GRW-010</t>
        </is>
      </c>
      <c r="C21" s="46" t="inlineStr">
        <is>
          <t>Cierre del test y decisión</t>
        </is>
      </c>
      <c r="D21" s="45" t="inlineStr">
        <is>
          <t>Por asignar</t>
        </is>
      </c>
      <c r="E21" s="47" t="n">
        <v>46295</v>
      </c>
      <c r="F21" s="45" t="inlineStr">
        <is>
          <t>En curso</t>
        </is>
      </c>
      <c r="G21" s="50" t="inlineStr">
        <is>
          <t>Informe de significancia y rollout</t>
        </is>
      </c>
      <c r="H21" s="62">
        <f>IF($B21="","",IFERROR(INDEX(Proyectos!$B$2:$B$41,MATCH($B21,Proyectos!$A$2:$A$41,0)),"⚠ ID no encontrado"))</f>
        <v/>
      </c>
      <c r="I21" s="54">
        <f>IF($B21="","",IFERROR(INDEX(Proyectos!$C$2:$C$41,MATCH($B21,Proyectos!$A$2:$A$41,0)),"⚠ ID no encontrado"))</f>
        <v/>
      </c>
      <c r="J21" s="54">
        <f>IF($B21="","",IFERROR(INDEX(Proyectos!$D$2:$D$41,MATCH($B21,Proyectos!$A$2:$A$41,0)),"⚠ ID no encontrado"))</f>
        <v/>
      </c>
      <c r="K21" s="52">
        <f>IF($A21="","",IF(OR($F21="Completado",$F21="Cancelado"),"",IF($E21="","",$E21-TODAY())))</f>
        <v/>
      </c>
      <c r="L21" s="54">
        <f>IF($A21="","",IF(OR($F21="Completado",$F21="Cancelado"),"—",IF($K21="","",IF($K21&lt;0,"Vencido",IF($K21&lt;=7,"Esta semana",IF($K21&lt;=30,"Próximos 30 días","En plazo"))))))</f>
        <v/>
      </c>
    </row>
    <row r="22" ht="17" customHeight="1">
      <c r="A22" s="45" t="inlineStr">
        <is>
          <t>H-037</t>
        </is>
      </c>
      <c r="B22" s="45" t="inlineStr">
        <is>
          <t>GRW-011</t>
        </is>
      </c>
      <c r="C22" s="46" t="inlineStr">
        <is>
          <t>Captación cruzada desde webinars y LPs</t>
        </is>
      </c>
      <c r="D22" s="45" t="inlineStr">
        <is>
          <t>Por asignar</t>
        </is>
      </c>
      <c r="E22" s="47" t="n">
        <v>46295</v>
      </c>
      <c r="F22" s="45" t="inlineStr">
        <is>
          <t>En curso</t>
        </is>
      </c>
      <c r="G22" s="50" t="inlineStr">
        <is>
          <t>Formularios de suscripción en 8 páginas</t>
        </is>
      </c>
      <c r="H22" s="62">
        <f>IF($B22="","",IFERROR(INDEX(Proyectos!$B$2:$B$41,MATCH($B22,Proyectos!$A$2:$A$41,0)),"⚠ ID no encontrado"))</f>
        <v/>
      </c>
      <c r="I22" s="54">
        <f>IF($B22="","",IFERROR(INDEX(Proyectos!$C$2:$C$41,MATCH($B22,Proyectos!$A$2:$A$41,0)),"⚠ ID no encontrado"))</f>
        <v/>
      </c>
      <c r="J22" s="54">
        <f>IF($B22="","",IFERROR(INDEX(Proyectos!$D$2:$D$41,MATCH($B22,Proyectos!$A$2:$A$41,0)),"⚠ ID no encontrado"))</f>
        <v/>
      </c>
      <c r="K22" s="52">
        <f>IF($A22="","",IF(OR($F22="Completado",$F22="Cancelado"),"",IF($E22="","",$E22-TODAY())))</f>
        <v/>
      </c>
      <c r="L22" s="54">
        <f>IF($A22="","",IF(OR($F22="Completado",$F22="Cancelado"),"—",IF($K22="","",IF($K22&lt;0,"Vencido",IF($K22&lt;=7,"Esta semana",IF($K22&lt;=30,"Próximos 30 días","En plazo"))))))</f>
        <v/>
      </c>
    </row>
    <row r="23" ht="17" customHeight="1">
      <c r="A23" s="45" t="inlineStr">
        <is>
          <t>H-028</t>
        </is>
      </c>
      <c r="B23" s="45" t="inlineStr">
        <is>
          <t>GRW-008</t>
        </is>
      </c>
      <c r="C23" s="46" t="inlineStr">
        <is>
          <t>Automatización de recordatorios</t>
        </is>
      </c>
      <c r="D23" s="45" t="inlineStr">
        <is>
          <t>Por asignar</t>
        </is>
      </c>
      <c r="E23" s="47" t="n">
        <v>46298</v>
      </c>
      <c r="F23" s="45" t="inlineStr">
        <is>
          <t>Pendiente</t>
        </is>
      </c>
      <c r="G23" s="50" t="inlineStr">
        <is>
          <t>Secuencia de 3 recordatorios activa</t>
        </is>
      </c>
      <c r="H23" s="62">
        <f>IF($B23="","",IFERROR(INDEX(Proyectos!$B$2:$B$41,MATCH($B23,Proyectos!$A$2:$A$41,0)),"⚠ ID no encontrado"))</f>
        <v/>
      </c>
      <c r="I23" s="54">
        <f>IF($B23="","",IFERROR(INDEX(Proyectos!$C$2:$C$41,MATCH($B23,Proyectos!$A$2:$A$41,0)),"⚠ ID no encontrado"))</f>
        <v/>
      </c>
      <c r="J23" s="54">
        <f>IF($B23="","",IFERROR(INDEX(Proyectos!$D$2:$D$41,MATCH($B23,Proyectos!$A$2:$A$41,0)),"⚠ ID no encontrado"))</f>
        <v/>
      </c>
      <c r="K23" s="52">
        <f>IF($A23="","",IF(OR($F23="Completado",$F23="Cancelado"),"",IF($E23="","",$E23-TODAY())))</f>
        <v/>
      </c>
      <c r="L23" s="54">
        <f>IF($A23="","",IF(OR($F23="Completado",$F23="Cancelado"),"—",IF($K23="","",IF($K23&lt;0,"Vencido",IF($K23&lt;=7,"Esta semana",IF($K23&lt;=30,"Próximos 30 días","En plazo"))))))</f>
        <v/>
      </c>
    </row>
    <row r="24" ht="17" customHeight="1">
      <c r="A24" s="45" t="inlineStr">
        <is>
          <t>H-007</t>
        </is>
      </c>
      <c r="B24" s="45" t="inlineStr">
        <is>
          <t>GRW-002</t>
        </is>
      </c>
      <c r="C24" s="46" t="inlineStr">
        <is>
          <t>Maquetación HTML/CSS con tokens de marca</t>
        </is>
      </c>
      <c r="D24" s="45" t="inlineStr">
        <is>
          <t>Por asignar</t>
        </is>
      </c>
      <c r="E24" s="47" t="n">
        <v>46305</v>
      </c>
      <c r="F24" s="45" t="inlineStr">
        <is>
          <t>Pendiente</t>
        </is>
      </c>
      <c r="G24" s="50" t="inlineStr">
        <is>
          <t>LP en staging</t>
        </is>
      </c>
      <c r="H24" s="62">
        <f>IF($B24="","",IFERROR(INDEX(Proyectos!$B$2:$B$41,MATCH($B24,Proyectos!$A$2:$A$41,0)),"⚠ ID no encontrado"))</f>
        <v/>
      </c>
      <c r="I24" s="54">
        <f>IF($B24="","",IFERROR(INDEX(Proyectos!$C$2:$C$41,MATCH($B24,Proyectos!$A$2:$A$41,0)),"⚠ ID no encontrado"))</f>
        <v/>
      </c>
      <c r="J24" s="54">
        <f>IF($B24="","",IFERROR(INDEX(Proyectos!$D$2:$D$41,MATCH($B24,Proyectos!$A$2:$A$41,0)),"⚠ ID no encontrado"))</f>
        <v/>
      </c>
      <c r="K24" s="52">
        <f>IF($A24="","",IF(OR($F24="Completado",$F24="Cancelado"),"",IF($E24="","",$E24-TODAY())))</f>
        <v/>
      </c>
      <c r="L24" s="54">
        <f>IF($A24="","",IF(OR($F24="Completado",$F24="Cancelado"),"—",IF($K24="","",IF($K24&lt;0,"Vencido",IF($K24&lt;=7,"Esta semana",IF($K24&lt;=30,"Próximos 30 días","En plazo"))))))</f>
        <v/>
      </c>
    </row>
    <row r="25" ht="17" customHeight="1">
      <c r="A25" s="45" t="inlineStr">
        <is>
          <t>H-017</t>
        </is>
      </c>
      <c r="B25" s="45" t="inlineStr">
        <is>
          <t>GRW-005</t>
        </is>
      </c>
      <c r="C25" s="46" t="inlineStr">
        <is>
          <t>Modelo de comisión aprobado por Finanzas</t>
        </is>
      </c>
      <c r="D25" s="45" t="inlineStr">
        <is>
          <t>Por asignar</t>
        </is>
      </c>
      <c r="E25" s="47" t="n">
        <v>46305</v>
      </c>
      <c r="F25" s="45" t="inlineStr">
        <is>
          <t>Pendiente</t>
        </is>
      </c>
      <c r="G25" s="50" t="inlineStr">
        <is>
          <t>Acta de aprobación</t>
        </is>
      </c>
      <c r="H25" s="62">
        <f>IF($B25="","",IFERROR(INDEX(Proyectos!$B$2:$B$41,MATCH($B25,Proyectos!$A$2:$A$41,0)),"⚠ ID no encontrado"))</f>
        <v/>
      </c>
      <c r="I25" s="54">
        <f>IF($B25="","",IFERROR(INDEX(Proyectos!$C$2:$C$41,MATCH($B25,Proyectos!$A$2:$A$41,0)),"⚠ ID no encontrado"))</f>
        <v/>
      </c>
      <c r="J25" s="54">
        <f>IF($B25="","",IFERROR(INDEX(Proyectos!$D$2:$D$41,MATCH($B25,Proyectos!$A$2:$A$41,0)),"⚠ ID no encontrado"))</f>
        <v/>
      </c>
      <c r="K25" s="52">
        <f>IF($A25="","",IF(OR($F25="Completado",$F25="Cancelado"),"",IF($E25="","",$E25-TODAY())))</f>
        <v/>
      </c>
      <c r="L25" s="54">
        <f>IF($A25="","",IF(OR($F25="Completado",$F25="Cancelado"),"—",IF($K25="","",IF($K25&lt;0,"Vencido",IF($K25&lt;=7,"Esta semana",IF($K25&lt;=30,"Próximos 30 días","En plazo"))))))</f>
        <v/>
      </c>
    </row>
    <row r="26" ht="17" customHeight="1">
      <c r="A26" s="45" t="inlineStr">
        <is>
          <t>H-026</t>
        </is>
      </c>
      <c r="B26" s="45" t="inlineStr">
        <is>
          <t>GRW-007</t>
        </is>
      </c>
      <c r="C26" s="46" t="inlineStr">
        <is>
          <t>Reconciliación GA4 vs HubSpot &lt;5%</t>
        </is>
      </c>
      <c r="D26" s="45" t="inlineStr">
        <is>
          <t>Por asignar</t>
        </is>
      </c>
      <c r="E26" s="47" t="n">
        <v>46305</v>
      </c>
      <c r="F26" s="45" t="inlineStr">
        <is>
          <t>Pendiente</t>
        </is>
      </c>
      <c r="G26" s="50" t="inlineStr">
        <is>
          <t>Informe de desviación firmado</t>
        </is>
      </c>
      <c r="H26" s="62">
        <f>IF($B26="","",IFERROR(INDEX(Proyectos!$B$2:$B$41,MATCH($B26,Proyectos!$A$2:$A$41,0)),"⚠ ID no encontrado"))</f>
        <v/>
      </c>
      <c r="I26" s="54">
        <f>IF($B26="","",IFERROR(INDEX(Proyectos!$C$2:$C$41,MATCH($B26,Proyectos!$A$2:$A$41,0)),"⚠ ID no encontrado"))</f>
        <v/>
      </c>
      <c r="J26" s="54">
        <f>IF($B26="","",IFERROR(INDEX(Proyectos!$D$2:$D$41,MATCH($B26,Proyectos!$A$2:$A$41,0)),"⚠ ID no encontrado"))</f>
        <v/>
      </c>
      <c r="K26" s="52">
        <f>IF($A26="","",IF(OR($F26="Completado",$F26="Cancelado"),"",IF($E26="","",$E26-TODAY())))</f>
        <v/>
      </c>
      <c r="L26" s="54">
        <f>IF($A26="","",IF(OR($F26="Completado",$F26="Cancelado"),"—",IF($K26="","",IF($K26&lt;0,"Vencido",IF($K26&lt;=7,"Esta semana",IF($K26&lt;=30,"Próximos 30 días","En plazo"))))))</f>
        <v/>
      </c>
    </row>
    <row r="27" ht="17" customHeight="1">
      <c r="A27" s="45" t="inlineStr">
        <is>
          <t>H-003</t>
        </is>
      </c>
      <c r="B27" s="45" t="inlineStr">
        <is>
          <t>GRW-001</t>
        </is>
      </c>
      <c r="C27" s="46" t="inlineStr">
        <is>
          <t>Activación de smart bidding a matrícula</t>
        </is>
      </c>
      <c r="D27" s="45" t="inlineStr">
        <is>
          <t>Por asignar</t>
        </is>
      </c>
      <c r="E27" s="47" t="n">
        <v>46310</v>
      </c>
      <c r="F27" s="45" t="inlineStr">
        <is>
          <t>Pendiente</t>
        </is>
      </c>
      <c r="G27" s="50" t="inlineStr">
        <is>
          <t>Campañas migradas a tCPA</t>
        </is>
      </c>
      <c r="H27" s="62">
        <f>IF($B27="","",IFERROR(INDEX(Proyectos!$B$2:$B$41,MATCH($B27,Proyectos!$A$2:$A$41,0)),"⚠ ID no encontrado"))</f>
        <v/>
      </c>
      <c r="I27" s="54">
        <f>IF($B27="","",IFERROR(INDEX(Proyectos!$C$2:$C$41,MATCH($B27,Proyectos!$A$2:$A$41,0)),"⚠ ID no encontrado"))</f>
        <v/>
      </c>
      <c r="J27" s="54">
        <f>IF($B27="","",IFERROR(INDEX(Proyectos!$D$2:$D$41,MATCH($B27,Proyectos!$A$2:$A$41,0)),"⚠ ID no encontrado"))</f>
        <v/>
      </c>
      <c r="K27" s="52">
        <f>IF($A27="","",IF(OR($F27="Completado",$F27="Cancelado"),"",IF($E27="","",$E27-TODAY())))</f>
        <v/>
      </c>
      <c r="L27" s="54">
        <f>IF($A27="","",IF(OR($F27="Completado",$F27="Cancelado"),"—",IF($K27="","",IF($K27&lt;0,"Vencido",IF($K27&lt;=7,"Esta semana",IF($K27&lt;=30,"Próximos 30 días","En plazo"))))))</f>
        <v/>
      </c>
    </row>
    <row r="28" ht="17" customHeight="1">
      <c r="A28" s="45" t="inlineStr">
        <is>
          <t>H-016</t>
        </is>
      </c>
      <c r="B28" s="45" t="inlineStr">
        <is>
          <t>GRW-004</t>
        </is>
      </c>
      <c r="C28" s="46" t="inlineStr">
        <is>
          <t>Handoff automático a Ventas</t>
        </is>
      </c>
      <c r="D28" s="45" t="inlineStr">
        <is>
          <t>Por asignar</t>
        </is>
      </c>
      <c r="E28" s="47" t="n">
        <v>46310</v>
      </c>
      <c r="F28" s="45" t="inlineStr">
        <is>
          <t>Pendiente</t>
        </is>
      </c>
      <c r="G28" s="50" t="inlineStr">
        <is>
          <t>SLA de contacto &lt;2h configurado</t>
        </is>
      </c>
      <c r="H28" s="62">
        <f>IF($B28="","",IFERROR(INDEX(Proyectos!$B$2:$B$41,MATCH($B28,Proyectos!$A$2:$A$41,0)),"⚠ ID no encontrado"))</f>
        <v/>
      </c>
      <c r="I28" s="54">
        <f>IF($B28="","",IFERROR(INDEX(Proyectos!$C$2:$C$41,MATCH($B28,Proyectos!$A$2:$A$41,0)),"⚠ ID no encontrado"))</f>
        <v/>
      </c>
      <c r="J28" s="54">
        <f>IF($B28="","",IFERROR(INDEX(Proyectos!$D$2:$D$41,MATCH($B28,Proyectos!$A$2:$A$41,0)),"⚠ ID no encontrado"))</f>
        <v/>
      </c>
      <c r="K28" s="52">
        <f>IF($A28="","",IF(OR($F28="Completado",$F28="Cancelado"),"",IF($E28="","",$E28-TODAY())))</f>
        <v/>
      </c>
      <c r="L28" s="54">
        <f>IF($A28="","",IF(OR($F28="Completado",$F28="Cancelado"),"—",IF($K28="","",IF($K28&lt;0,"Vencido",IF($K28&lt;=7,"Esta semana",IF($K28&lt;=30,"Próximos 30 días","En plazo"))))))</f>
        <v/>
      </c>
    </row>
    <row r="29" ht="17" customHeight="1">
      <c r="A29" s="45" t="inlineStr">
        <is>
          <t>H-030</t>
        </is>
      </c>
      <c r="B29" s="45" t="inlineStr">
        <is>
          <t>GRW-009</t>
        </is>
      </c>
      <c r="C29" s="46" t="inlineStr">
        <is>
          <t>Pricing y catálogo B2B aprobados</t>
        </is>
      </c>
      <c r="D29" s="45" t="inlineStr">
        <is>
          <t>Por asignar</t>
        </is>
      </c>
      <c r="E29" s="47" t="n">
        <v>46315</v>
      </c>
      <c r="F29" s="45" t="inlineStr">
        <is>
          <t>Pendiente</t>
        </is>
      </c>
      <c r="G29" s="50" t="inlineStr">
        <is>
          <t>Tarifario corporativo</t>
        </is>
      </c>
      <c r="H29" s="62">
        <f>IF($B29="","",IFERROR(INDEX(Proyectos!$B$2:$B$41,MATCH($B29,Proyectos!$A$2:$A$41,0)),"⚠ ID no encontrado"))</f>
        <v/>
      </c>
      <c r="I29" s="54">
        <f>IF($B29="","",IFERROR(INDEX(Proyectos!$C$2:$C$41,MATCH($B29,Proyectos!$A$2:$A$41,0)),"⚠ ID no encontrado"))</f>
        <v/>
      </c>
      <c r="J29" s="54">
        <f>IF($B29="","",IFERROR(INDEX(Proyectos!$D$2:$D$41,MATCH($B29,Proyectos!$A$2:$A$41,0)),"⚠ ID no encontrado"))</f>
        <v/>
      </c>
      <c r="K29" s="52">
        <f>IF($A29="","",IF(OR($F29="Completado",$F29="Cancelado"),"",IF($E29="","",$E29-TODAY())))</f>
        <v/>
      </c>
      <c r="L29" s="54">
        <f>IF($A29="","",IF(OR($F29="Completado",$F29="Cancelado"),"—",IF($K29="","",IF($K29&lt;0,"Vencido",IF($K29&lt;=7,"Esta semana",IF($K29&lt;=30,"Próximos 30 días","En plazo"))))))</f>
        <v/>
      </c>
    </row>
    <row r="30" ht="17" customHeight="1">
      <c r="A30" s="45" t="inlineStr">
        <is>
          <t>H-039</t>
        </is>
      </c>
      <c r="B30" s="45" t="inlineStr">
        <is>
          <t>GRW-012</t>
        </is>
      </c>
      <c r="C30" s="46" t="inlineStr">
        <is>
          <t>Inventario de informes manuales</t>
        </is>
      </c>
      <c r="D30" s="45" t="inlineStr">
        <is>
          <t>Por asignar</t>
        </is>
      </c>
      <c r="E30" s="47" t="n">
        <v>46319</v>
      </c>
      <c r="F30" s="45" t="inlineStr">
        <is>
          <t>Pendiente</t>
        </is>
      </c>
      <c r="G30" s="50" t="inlineStr">
        <is>
          <t>Lista de 5 informes a automatizar</t>
        </is>
      </c>
      <c r="H30" s="62">
        <f>IF($B30="","",IFERROR(INDEX(Proyectos!$B$2:$B$41,MATCH($B30,Proyectos!$A$2:$A$41,0)),"⚠ ID no encontrado"))</f>
        <v/>
      </c>
      <c r="I30" s="54">
        <f>IF($B30="","",IFERROR(INDEX(Proyectos!$C$2:$C$41,MATCH($B30,Proyectos!$A$2:$A$41,0)),"⚠ ID no encontrado"))</f>
        <v/>
      </c>
      <c r="J30" s="54">
        <f>IF($B30="","",IFERROR(INDEX(Proyectos!$D$2:$D$41,MATCH($B30,Proyectos!$A$2:$A$41,0)),"⚠ ID no encontrado"))</f>
        <v/>
      </c>
      <c r="K30" s="52">
        <f>IF($A30="","",IF(OR($F30="Completado",$F30="Cancelado"),"",IF($E30="","",$E30-TODAY())))</f>
        <v/>
      </c>
      <c r="L30" s="54">
        <f>IF($A30="","",IF(OR($F30="Completado",$F30="Cancelado"),"—",IF($K30="","",IF($K30&lt;0,"Vencido",IF($K30&lt;=7,"Esta semana",IF($K30&lt;=30,"Próximos 30 días","En plazo"))))))</f>
        <v/>
      </c>
    </row>
    <row r="31" ht="17" customHeight="1">
      <c r="A31" s="45" t="inlineStr">
        <is>
          <t>H-008</t>
        </is>
      </c>
      <c r="B31" s="45" t="inlineStr">
        <is>
          <t>GRW-002</t>
        </is>
      </c>
      <c r="C31" s="46" t="inlineStr">
        <is>
          <t>Lanzamiento test A/B contra control</t>
        </is>
      </c>
      <c r="D31" s="45" t="inlineStr">
        <is>
          <t>Por asignar</t>
        </is>
      </c>
      <c r="E31" s="47" t="n">
        <v>46326</v>
      </c>
      <c r="F31" s="45" t="inlineStr">
        <is>
          <t>Pendiente</t>
        </is>
      </c>
      <c r="G31" s="50" t="inlineStr">
        <is>
          <t>Test en marcha con tamaño de muestra calculado</t>
        </is>
      </c>
      <c r="H31" s="62">
        <f>IF($B31="","",IFERROR(INDEX(Proyectos!$B$2:$B$41,MATCH($B31,Proyectos!$A$2:$A$41,0)),"⚠ ID no encontrado"))</f>
        <v/>
      </c>
      <c r="I31" s="54">
        <f>IF($B31="","",IFERROR(INDEX(Proyectos!$C$2:$C$41,MATCH($B31,Proyectos!$A$2:$A$41,0)),"⚠ ID no encontrado"))</f>
        <v/>
      </c>
      <c r="J31" s="54">
        <f>IF($B31="","",IFERROR(INDEX(Proyectos!$D$2:$D$41,MATCH($B31,Proyectos!$A$2:$A$41,0)),"⚠ ID no encontrado"))</f>
        <v/>
      </c>
      <c r="K31" s="52">
        <f>IF($A31="","",IF(OR($F31="Completado",$F31="Cancelado"),"",IF($E31="","",$E31-TODAY())))</f>
        <v/>
      </c>
      <c r="L31" s="54">
        <f>IF($A31="","",IF(OR($F31="Completado",$F31="Cancelado"),"—",IF($K31="","",IF($K31&lt;0,"Vencido",IF($K31&lt;=7,"Esta semana",IF($K31&lt;=30,"Próximos 30 días","En plazo"))))))</f>
        <v/>
      </c>
    </row>
    <row r="32" ht="17" customHeight="1">
      <c r="A32" s="45" t="inlineStr">
        <is>
          <t>H-029</t>
        </is>
      </c>
      <c r="B32" s="45" t="inlineStr">
        <is>
          <t>GRW-008</t>
        </is>
      </c>
      <c r="C32" s="46" t="inlineStr">
        <is>
          <t>Paso a 2 sesiones/mes</t>
        </is>
      </c>
      <c r="D32" s="45" t="inlineStr">
        <is>
          <t>Por asignar</t>
        </is>
      </c>
      <c r="E32" s="47" t="n">
        <v>46327</v>
      </c>
      <c r="F32" s="45" t="inlineStr">
        <is>
          <t>Pendiente</t>
        </is>
      </c>
      <c r="G32" s="50" t="inlineStr">
        <is>
          <t>Dos webinars ejecutados en el mes</t>
        </is>
      </c>
      <c r="H32" s="62">
        <f>IF($B32="","",IFERROR(INDEX(Proyectos!$B$2:$B$41,MATCH($B32,Proyectos!$A$2:$A$41,0)),"⚠ ID no encontrado"))</f>
        <v/>
      </c>
      <c r="I32" s="54">
        <f>IF($B32="","",IFERROR(INDEX(Proyectos!$C$2:$C$41,MATCH($B32,Proyectos!$A$2:$A$41,0)),"⚠ ID no encontrado"))</f>
        <v/>
      </c>
      <c r="J32" s="54">
        <f>IF($B32="","",IFERROR(INDEX(Proyectos!$D$2:$D$41,MATCH($B32,Proyectos!$A$2:$A$41,0)),"⚠ ID no encontrado"))</f>
        <v/>
      </c>
      <c r="K32" s="52">
        <f>IF($A32="","",IF(OR($F32="Completado",$F32="Cancelado"),"",IF($E32="","",$E32-TODAY())))</f>
        <v/>
      </c>
      <c r="L32" s="54">
        <f>IF($A32="","",IF(OR($F32="Completado",$F32="Cancelado"),"—",IF($K32="","",IF($K32&lt;0,"Vencido",IF($K32&lt;=7,"Esta semana",IF($K32&lt;=30,"Próximos 30 días","En plazo"))))))</f>
        <v/>
      </c>
    </row>
    <row r="33" ht="17" customHeight="1">
      <c r="A33" s="45" t="inlineStr">
        <is>
          <t>H-004</t>
        </is>
      </c>
      <c r="B33" s="45" t="inlineStr">
        <is>
          <t>GRW-001</t>
        </is>
      </c>
      <c r="C33" s="46" t="inlineStr">
        <is>
          <t>Revisión de mid-quarter y reasignación de budget</t>
        </is>
      </c>
      <c r="D33" s="45" t="inlineStr">
        <is>
          <t>Por asignar</t>
        </is>
      </c>
      <c r="E33" s="47" t="n">
        <v>46336</v>
      </c>
      <c r="F33" s="45" t="inlineStr">
        <is>
          <t>Pendiente</t>
        </is>
      </c>
      <c r="G33" s="50" t="inlineStr">
        <is>
          <t>Informe de reasignación</t>
        </is>
      </c>
      <c r="H33" s="62">
        <f>IF($B33="","",IFERROR(INDEX(Proyectos!$B$2:$B$41,MATCH($B33,Proyectos!$A$2:$A$41,0)),"⚠ ID no encontrado"))</f>
        <v/>
      </c>
      <c r="I33" s="54">
        <f>IF($B33="","",IFERROR(INDEX(Proyectos!$C$2:$C$41,MATCH($B33,Proyectos!$A$2:$A$41,0)),"⚠ ID no encontrado"))</f>
        <v/>
      </c>
      <c r="J33" s="54">
        <f>IF($B33="","",IFERROR(INDEX(Proyectos!$D$2:$D$41,MATCH($B33,Proyectos!$A$2:$A$41,0)),"⚠ ID no encontrado"))</f>
        <v/>
      </c>
      <c r="K33" s="52">
        <f>IF($A33="","",IF(OR($F33="Completado",$F33="Cancelado"),"",IF($E33="","",$E33-TODAY())))</f>
        <v/>
      </c>
      <c r="L33" s="54">
        <f>IF($A33="","",IF(OR($F33="Completado",$F33="Cancelado"),"—",IF($K33="","",IF($K33&lt;0,"Vencido",IF($K33&lt;=7,"Esta semana",IF($K33&lt;=30,"Próximos 30 días","En plazo"))))))</f>
        <v/>
      </c>
    </row>
    <row r="34" ht="17" customHeight="1">
      <c r="A34" s="45" t="inlineStr">
        <is>
          <t>H-018</t>
        </is>
      </c>
      <c r="B34" s="45" t="inlineStr">
        <is>
          <t>GRW-005</t>
        </is>
      </c>
      <c r="C34" s="46" t="inlineStr">
        <is>
          <t>Plataforma de tracking de referidos elegida</t>
        </is>
      </c>
      <c r="D34" s="45" t="inlineStr">
        <is>
          <t>Por asignar</t>
        </is>
      </c>
      <c r="E34" s="47" t="n">
        <v>46340</v>
      </c>
      <c r="F34" s="45" t="inlineStr">
        <is>
          <t>Pendiente</t>
        </is>
      </c>
      <c r="G34" s="50" t="inlineStr">
        <is>
          <t>Comparativa y contrato firmado</t>
        </is>
      </c>
      <c r="H34" s="62">
        <f>IF($B34="","",IFERROR(INDEX(Proyectos!$B$2:$B$41,MATCH($B34,Proyectos!$A$2:$A$41,0)),"⚠ ID no encontrado"))</f>
        <v/>
      </c>
      <c r="I34" s="54">
        <f>IF($B34="","",IFERROR(INDEX(Proyectos!$C$2:$C$41,MATCH($B34,Proyectos!$A$2:$A$41,0)),"⚠ ID no encontrado"))</f>
        <v/>
      </c>
      <c r="J34" s="54">
        <f>IF($B34="","",IFERROR(INDEX(Proyectos!$D$2:$D$41,MATCH($B34,Proyectos!$A$2:$A$41,0)),"⚠ ID no encontrado"))</f>
        <v/>
      </c>
      <c r="K34" s="52">
        <f>IF($A34="","",IF(OR($F34="Completado",$F34="Cancelado"),"",IF($E34="","",$E34-TODAY())))</f>
        <v/>
      </c>
      <c r="L34" s="54">
        <f>IF($A34="","",IF(OR($F34="Completado",$F34="Cancelado"),"—",IF($K34="","",IF($K34&lt;0,"Vencido",IF($K34&lt;=7,"Esta semana",IF($K34&lt;=30,"Próximos 30 días","En plazo"))))))</f>
        <v/>
      </c>
    </row>
    <row r="35" ht="17" customHeight="1">
      <c r="A35" s="45" t="inlineStr">
        <is>
          <t>H-031</t>
        </is>
      </c>
      <c r="B35" s="45" t="inlineStr">
        <is>
          <t>GRW-009</t>
        </is>
      </c>
      <c r="C35" s="46" t="inlineStr">
        <is>
          <t>Landing y formulario B2B</t>
        </is>
      </c>
      <c r="D35" s="45" t="inlineStr">
        <is>
          <t>Por asignar</t>
        </is>
      </c>
      <c r="E35" s="47" t="n">
        <v>46347</v>
      </c>
      <c r="F35" s="45" t="inlineStr">
        <is>
          <t>Pendiente</t>
        </is>
      </c>
      <c r="G35" s="50" t="inlineStr">
        <is>
          <t>LP empresas publicada</t>
        </is>
      </c>
      <c r="H35" s="62">
        <f>IF($B35="","",IFERROR(INDEX(Proyectos!$B$2:$B$41,MATCH($B35,Proyectos!$A$2:$A$41,0)),"⚠ ID no encontrado"))</f>
        <v/>
      </c>
      <c r="I35" s="54">
        <f>IF($B35="","",IFERROR(INDEX(Proyectos!$C$2:$C$41,MATCH($B35,Proyectos!$A$2:$A$41,0)),"⚠ ID no encontrado"))</f>
        <v/>
      </c>
      <c r="J35" s="54">
        <f>IF($B35="","",IFERROR(INDEX(Proyectos!$D$2:$D$41,MATCH($B35,Proyectos!$A$2:$A$41,0)),"⚠ ID no encontrado"))</f>
        <v/>
      </c>
      <c r="K35" s="52">
        <f>IF($A35="","",IF(OR($F35="Completado",$F35="Cancelado"),"",IF($E35="","",$E35-TODAY())))</f>
        <v/>
      </c>
      <c r="L35" s="54">
        <f>IF($A35="","",IF(OR($F35="Completado",$F35="Cancelado"),"—",IF($K35="","",IF($K35&lt;0,"Vencido",IF($K35&lt;=7,"Esta semana",IF($K35&lt;=30,"Próximos 30 días","En plazo"))))))</f>
        <v/>
      </c>
    </row>
    <row r="36" ht="17" customHeight="1">
      <c r="A36" s="45" t="inlineStr">
        <is>
          <t>H-040</t>
        </is>
      </c>
      <c r="B36" s="45" t="inlineStr">
        <is>
          <t>GRW-012</t>
        </is>
      </c>
      <c r="C36" s="46" t="inlineStr">
        <is>
          <t>Escenarios de Make en producción</t>
        </is>
      </c>
      <c r="D36" s="45" t="inlineStr">
        <is>
          <t>Por asignar</t>
        </is>
      </c>
      <c r="E36" s="47" t="n">
        <v>46354</v>
      </c>
      <c r="F36" s="45" t="inlineStr">
        <is>
          <t>Pendiente</t>
        </is>
      </c>
      <c r="G36" s="50" t="inlineStr">
        <is>
          <t>5 escenarios activos y monitorizados</t>
        </is>
      </c>
      <c r="H36" s="62">
        <f>IF($B36="","",IFERROR(INDEX(Proyectos!$B$2:$B$41,MATCH($B36,Proyectos!$A$2:$A$41,0)),"⚠ ID no encontrado"))</f>
        <v/>
      </c>
      <c r="I36" s="54">
        <f>IF($B36="","",IFERROR(INDEX(Proyectos!$C$2:$C$41,MATCH($B36,Proyectos!$A$2:$A$41,0)),"⚠ ID no encontrado"))</f>
        <v/>
      </c>
      <c r="J36" s="54">
        <f>IF($B36="","",IFERROR(INDEX(Proyectos!$D$2:$D$41,MATCH($B36,Proyectos!$A$2:$A$41,0)),"⚠ ID no encontrado"))</f>
        <v/>
      </c>
      <c r="K36" s="52">
        <f>IF($A36="","",IF(OR($F36="Completado",$F36="Cancelado"),"",IF($E36="","",$E36-TODAY())))</f>
        <v/>
      </c>
      <c r="L36" s="54">
        <f>IF($A36="","",IF(OR($F36="Completado",$F36="Cancelado"),"—",IF($K36="","",IF($K36&lt;0,"Vencido",IF($K36&lt;=7,"Esta semana",IF($K36&lt;=30,"Próximos 30 días","En plazo"))))))</f>
        <v/>
      </c>
    </row>
    <row r="37" ht="17" customHeight="1">
      <c r="A37" s="45" t="inlineStr">
        <is>
          <t>H-011</t>
        </is>
      </c>
      <c r="B37" s="45" t="inlineStr">
        <is>
          <t>GRW-003</t>
        </is>
      </c>
      <c r="C37" s="46" t="inlineStr">
        <is>
          <t>40 artículos publicados</t>
        </is>
      </c>
      <c r="D37" s="45" t="inlineStr">
        <is>
          <t>Por asignar</t>
        </is>
      </c>
      <c r="E37" s="47" t="n">
        <v>46371</v>
      </c>
      <c r="F37" s="45" t="inlineStr">
        <is>
          <t>Pendiente</t>
        </is>
      </c>
      <c r="G37" s="50" t="inlineStr">
        <is>
          <t>Cluster completo con enlazado interno</t>
        </is>
      </c>
      <c r="H37" s="62">
        <f>IF($B37="","",IFERROR(INDEX(Proyectos!$B$2:$B$41,MATCH($B37,Proyectos!$A$2:$A$41,0)),"⚠ ID no encontrado"))</f>
        <v/>
      </c>
      <c r="I37" s="54">
        <f>IF($B37="","",IFERROR(INDEX(Proyectos!$C$2:$C$41,MATCH($B37,Proyectos!$A$2:$A$41,0)),"⚠ ID no encontrado"))</f>
        <v/>
      </c>
      <c r="J37" s="54">
        <f>IF($B37="","",IFERROR(INDEX(Proyectos!$D$2:$D$41,MATCH($B37,Proyectos!$A$2:$A$41,0)),"⚠ ID no encontrado"))</f>
        <v/>
      </c>
      <c r="K37" s="52">
        <f>IF($A37="","",IF(OR($F37="Completado",$F37="Cancelado"),"",IF($E37="","",$E37-TODAY())))</f>
        <v/>
      </c>
      <c r="L37" s="54">
        <f>IF($A37="","",IF(OR($F37="Completado",$F37="Cancelado"),"—",IF($K37="","",IF($K37&lt;0,"Vencido",IF($K37&lt;=7,"Esta semana",IF($K37&lt;=30,"Próximos 30 días","En plazo"))))))</f>
        <v/>
      </c>
    </row>
    <row r="38" ht="17" customHeight="1">
      <c r="A38" s="45" t="inlineStr">
        <is>
          <t>H-041</t>
        </is>
      </c>
      <c r="B38" s="45" t="inlineStr">
        <is>
          <t>GRW-012</t>
        </is>
      </c>
      <c r="C38" s="46" t="inlineStr">
        <is>
          <t>Primer informe semanal automático enviado</t>
        </is>
      </c>
      <c r="D38" s="45" t="inlineStr">
        <is>
          <t>Por asignar</t>
        </is>
      </c>
      <c r="E38" s="47" t="n">
        <v>46371</v>
      </c>
      <c r="F38" s="45" t="inlineStr">
        <is>
          <t>Pendiente</t>
        </is>
      </c>
      <c r="G38" s="50" t="inlineStr">
        <is>
          <t>Email automático a Dirección</t>
        </is>
      </c>
      <c r="H38" s="62">
        <f>IF($B38="","",IFERROR(INDEX(Proyectos!$B$2:$B$41,MATCH($B38,Proyectos!$A$2:$A$41,0)),"⚠ ID no encontrado"))</f>
        <v/>
      </c>
      <c r="I38" s="54">
        <f>IF($B38="","",IFERROR(INDEX(Proyectos!$C$2:$C$41,MATCH($B38,Proyectos!$A$2:$A$41,0)),"⚠ ID no encontrado"))</f>
        <v/>
      </c>
      <c r="J38" s="54">
        <f>IF($B38="","",IFERROR(INDEX(Proyectos!$D$2:$D$41,MATCH($B38,Proyectos!$A$2:$A$41,0)),"⚠ ID no encontrado"))</f>
        <v/>
      </c>
      <c r="K38" s="52">
        <f>IF($A38="","",IF(OR($F38="Completado",$F38="Cancelado"),"",IF($E38="","",$E38-TODAY())))</f>
        <v/>
      </c>
      <c r="L38" s="54">
        <f>IF($A38="","",IF(OR($F38="Completado",$F38="Cancelado"),"—",IF($K38="","",IF($K38&lt;0,"Vencido",IF($K38&lt;=7,"Esta semana",IF($K38&lt;=30,"Próximos 30 días","En plazo"))))))</f>
        <v/>
      </c>
    </row>
    <row r="39" ht="17" customHeight="1">
      <c r="A39" s="45" t="inlineStr">
        <is>
          <t>H-038</t>
        </is>
      </c>
      <c r="B39" s="45" t="inlineStr">
        <is>
          <t>GRW-011</t>
        </is>
      </c>
      <c r="C39" s="46" t="inlineStr">
        <is>
          <t>50.000 suscriptores</t>
        </is>
      </c>
      <c r="D39" s="45" t="inlineStr">
        <is>
          <t>Por asignar</t>
        </is>
      </c>
      <c r="E39" s="47" t="n">
        <v>46387</v>
      </c>
      <c r="F39" s="45" t="inlineStr">
        <is>
          <t>Pendiente</t>
        </is>
      </c>
      <c r="G39" s="50" t="inlineStr">
        <is>
          <t>Base a 50k con &lt;1,2% de bajas</t>
        </is>
      </c>
      <c r="H39" s="62">
        <f>IF($B39="","",IFERROR(INDEX(Proyectos!$B$2:$B$41,MATCH($B39,Proyectos!$A$2:$A$41,0)),"⚠ ID no encontrado"))</f>
        <v/>
      </c>
      <c r="I39" s="54">
        <f>IF($B39="","",IFERROR(INDEX(Proyectos!$C$2:$C$41,MATCH($B39,Proyectos!$A$2:$A$41,0)),"⚠ ID no encontrado"))</f>
        <v/>
      </c>
      <c r="J39" s="54">
        <f>IF($B39="","",IFERROR(INDEX(Proyectos!$D$2:$D$41,MATCH($B39,Proyectos!$A$2:$A$41,0)),"⚠ ID no encontrado"))</f>
        <v/>
      </c>
      <c r="K39" s="52">
        <f>IF($A39="","",IF(OR($F39="Completado",$F39="Cancelado"),"",IF($E39="","",$E39-TODAY())))</f>
        <v/>
      </c>
      <c r="L39" s="54">
        <f>IF($A39="","",IF(OR($F39="Completado",$F39="Cancelado"),"—",IF($K39="","",IF($K39&lt;0,"Vencido",IF($K39&lt;=7,"Esta semana",IF($K39&lt;=30,"Próximos 30 días","En plazo"))))))</f>
        <v/>
      </c>
    </row>
    <row r="40" ht="17" customHeight="1">
      <c r="A40" s="45" t="inlineStr">
        <is>
          <t>H-032</t>
        </is>
      </c>
      <c r="B40" s="45" t="inlineStr">
        <is>
          <t>GRW-009</t>
        </is>
      </c>
      <c r="C40" s="46" t="inlineStr">
        <is>
          <t>Primeras 3 cuentas en pipeline</t>
        </is>
      </c>
      <c r="D40" s="45" t="inlineStr">
        <is>
          <t>Por asignar</t>
        </is>
      </c>
      <c r="E40" s="47" t="n">
        <v>46402</v>
      </c>
      <c r="F40" s="45" t="inlineStr">
        <is>
          <t>Pendiente</t>
        </is>
      </c>
      <c r="G40" s="50" t="inlineStr">
        <is>
          <t>3 oportunidades en HubSpot</t>
        </is>
      </c>
      <c r="H40" s="62">
        <f>IF($B40="","",IFERROR(INDEX(Proyectos!$B$2:$B$41,MATCH($B40,Proyectos!$A$2:$A$41,0)),"⚠ ID no encontrado"))</f>
        <v/>
      </c>
      <c r="I40" s="54">
        <f>IF($B40="","",IFERROR(INDEX(Proyectos!$C$2:$C$41,MATCH($B40,Proyectos!$A$2:$A$41,0)),"⚠ ID no encontrado"))</f>
        <v/>
      </c>
      <c r="J40" s="54">
        <f>IF($B40="","",IFERROR(INDEX(Proyectos!$D$2:$D$41,MATCH($B40,Proyectos!$A$2:$A$41,0)),"⚠ ID no encontrado"))</f>
        <v/>
      </c>
      <c r="K40" s="52">
        <f>IF($A40="","",IF(OR($F40="Completado",$F40="Cancelado"),"",IF($E40="","",$E40-TODAY())))</f>
        <v/>
      </c>
      <c r="L40" s="54">
        <f>IF($A40="","",IF(OR($F40="Completado",$F40="Cancelado"),"—",IF($K40="","",IF($K40&lt;0,"Vencido",IF($K40&lt;=7,"Esta semana",IF($K40&lt;=30,"Próximos 30 días","En plazo"))))))</f>
        <v/>
      </c>
    </row>
    <row r="41" ht="17" customHeight="1">
      <c r="A41" s="45" t="inlineStr">
        <is>
          <t>H-019</t>
        </is>
      </c>
      <c r="B41" s="45" t="inlineStr">
        <is>
          <t>GRW-005</t>
        </is>
      </c>
      <c r="C41" s="46" t="inlineStr">
        <is>
          <t>Onboarding de los 20 primeros embajadores</t>
        </is>
      </c>
      <c r="D41" s="45" t="inlineStr">
        <is>
          <t>Por asignar</t>
        </is>
      </c>
      <c r="E41" s="47" t="n">
        <v>46403</v>
      </c>
      <c r="F41" s="45" t="inlineStr">
        <is>
          <t>Pendiente</t>
        </is>
      </c>
      <c r="G41" s="50" t="inlineStr">
        <is>
          <t>20 embajadores con enlace activo</t>
        </is>
      </c>
      <c r="H41" s="62">
        <f>IF($B41="","",IFERROR(INDEX(Proyectos!$B$2:$B$41,MATCH($B41,Proyectos!$A$2:$A$41,0)),"⚠ ID no encontrado"))</f>
        <v/>
      </c>
      <c r="I41" s="54">
        <f>IF($B41="","",IFERROR(INDEX(Proyectos!$C$2:$C$41,MATCH($B41,Proyectos!$A$2:$A$41,0)),"⚠ ID no encontrado"))</f>
        <v/>
      </c>
      <c r="J41" s="54">
        <f>IF($B41="","",IFERROR(INDEX(Proyectos!$D$2:$D$41,MATCH($B41,Proyectos!$A$2:$A$41,0)),"⚠ ID no encontrado"))</f>
        <v/>
      </c>
      <c r="K41" s="52">
        <f>IF($A41="","",IF(OR($F41="Completado",$F41="Cancelado"),"",IF($E41="","",$E41-TODAY())))</f>
        <v/>
      </c>
      <c r="L41" s="54">
        <f>IF($A41="","",IF(OR($F41="Completado",$F41="Cancelado"),"—",IF($K41="","",IF($K41&lt;0,"Vencido",IF($K41&lt;=7,"Esta semana",IF($K41&lt;=30,"Próximos 30 días","En plazo"))))))</f>
        <v/>
      </c>
    </row>
    <row r="42" ht="17" customHeight="1">
      <c r="A42" s="45" t="inlineStr">
        <is>
          <t>H-012</t>
        </is>
      </c>
      <c r="B42" s="45" t="inlineStr">
        <is>
          <t>GRW-003</t>
        </is>
      </c>
      <c r="C42" s="46" t="inlineStr">
        <is>
          <t>Campaña de link building a pilares</t>
        </is>
      </c>
      <c r="D42" s="45" t="inlineStr">
        <is>
          <t>Por asignar</t>
        </is>
      </c>
      <c r="E42" s="47" t="n">
        <v>46418</v>
      </c>
      <c r="F42" s="45" t="inlineStr">
        <is>
          <t>Pendiente</t>
        </is>
      </c>
      <c r="G42" s="50" t="inlineStr">
        <is>
          <t>25 backlinks DR&gt;40</t>
        </is>
      </c>
      <c r="H42" s="62">
        <f>IF($B42="","",IFERROR(INDEX(Proyectos!$B$2:$B$41,MATCH($B42,Proyectos!$A$2:$A$41,0)),"⚠ ID no encontrado"))</f>
        <v/>
      </c>
      <c r="I42" s="54">
        <f>IF($B42="","",IFERROR(INDEX(Proyectos!$C$2:$C$41,MATCH($B42,Proyectos!$A$2:$A$41,0)),"⚠ ID no encontrado"))</f>
        <v/>
      </c>
      <c r="J42" s="54">
        <f>IF($B42="","",IFERROR(INDEX(Proyectos!$D$2:$D$41,MATCH($B42,Proyectos!$A$2:$A$41,0)),"⚠ ID no encontrado"))</f>
        <v/>
      </c>
      <c r="K42" s="52">
        <f>IF($A42="","",IF(OR($F42="Completado",$F42="Cancelado"),"",IF($E42="","",$E42-TODAY())))</f>
        <v/>
      </c>
      <c r="L42" s="54">
        <f>IF($A42="","",IF(OR($F42="Completado",$F42="Cancelado"),"—",IF($K42="","",IF($K42&lt;0,"Vencido",IF($K42&lt;=7,"Esta semana",IF($K42&lt;=30,"Próximos 30 días","En plazo"))))))</f>
        <v/>
      </c>
    </row>
    <row r="43" ht="17" customHeight="1">
      <c r="A43" s="45" t="n"/>
      <c r="B43" s="45" t="n"/>
      <c r="C43" s="46" t="n"/>
      <c r="D43" s="45" t="n"/>
      <c r="E43" s="47" t="n"/>
      <c r="F43" s="45" t="n"/>
      <c r="G43" s="50" t="n"/>
      <c r="H43" s="62">
        <f>IF($B43="","",IFERROR(INDEX(Proyectos!$B$2:$B$41,MATCH($B43,Proyectos!$A$2:$A$41,0)),"⚠ ID no encontrado"))</f>
        <v/>
      </c>
      <c r="I43" s="54">
        <f>IF($B43="","",IFERROR(INDEX(Proyectos!$C$2:$C$41,MATCH($B43,Proyectos!$A$2:$A$41,0)),"⚠ ID no encontrado"))</f>
        <v/>
      </c>
      <c r="J43" s="54">
        <f>IF($B43="","",IFERROR(INDEX(Proyectos!$D$2:$D$41,MATCH($B43,Proyectos!$A$2:$A$41,0)),"⚠ ID no encontrado"))</f>
        <v/>
      </c>
      <c r="K43" s="52">
        <f>IF($A43="","",IF(OR($F43="Completado",$F43="Cancelado"),"",IF($E43="","",$E43-TODAY())))</f>
        <v/>
      </c>
      <c r="L43" s="54">
        <f>IF($A43="","",IF(OR($F43="Completado",$F43="Cancelado"),"—",IF($K43="","",IF($K43&lt;0,"Vencido",IF($K43&lt;=7,"Esta semana",IF($K43&lt;=30,"Próximos 30 días","En plazo"))))))</f>
        <v/>
      </c>
    </row>
    <row r="44" ht="17" customHeight="1">
      <c r="A44" s="45" t="n"/>
      <c r="B44" s="45" t="n"/>
      <c r="C44" s="46" t="n"/>
      <c r="D44" s="45" t="n"/>
      <c r="E44" s="47" t="n"/>
      <c r="F44" s="45" t="n"/>
      <c r="G44" s="50" t="n"/>
      <c r="H44" s="62">
        <f>IF($B44="","",IFERROR(INDEX(Proyectos!$B$2:$B$41,MATCH($B44,Proyectos!$A$2:$A$41,0)),"⚠ ID no encontrado"))</f>
        <v/>
      </c>
      <c r="I44" s="54">
        <f>IF($B44="","",IFERROR(INDEX(Proyectos!$C$2:$C$41,MATCH($B44,Proyectos!$A$2:$A$41,0)),"⚠ ID no encontrado"))</f>
        <v/>
      </c>
      <c r="J44" s="54">
        <f>IF($B44="","",IFERROR(INDEX(Proyectos!$D$2:$D$41,MATCH($B44,Proyectos!$A$2:$A$41,0)),"⚠ ID no encontrado"))</f>
        <v/>
      </c>
      <c r="K44" s="52">
        <f>IF($A44="","",IF(OR($F44="Completado",$F44="Cancelado"),"",IF($E44="","",$E44-TODAY())))</f>
        <v/>
      </c>
      <c r="L44" s="54">
        <f>IF($A44="","",IF(OR($F44="Completado",$F44="Cancelado"),"—",IF($K44="","",IF($K44&lt;0,"Vencido",IF($K44&lt;=7,"Esta semana",IF($K44&lt;=30,"Próximos 30 días","En plazo"))))))</f>
        <v/>
      </c>
    </row>
    <row r="45" ht="17" customHeight="1">
      <c r="A45" s="45" t="n"/>
      <c r="B45" s="45" t="n"/>
      <c r="C45" s="46" t="n"/>
      <c r="D45" s="45" t="n"/>
      <c r="E45" s="47" t="n"/>
      <c r="F45" s="45" t="n"/>
      <c r="G45" s="50" t="n"/>
      <c r="H45" s="62">
        <f>IF($B45="","",IFERROR(INDEX(Proyectos!$B$2:$B$41,MATCH($B45,Proyectos!$A$2:$A$41,0)),"⚠ ID no encontrado"))</f>
        <v/>
      </c>
      <c r="I45" s="54">
        <f>IF($B45="","",IFERROR(INDEX(Proyectos!$C$2:$C$41,MATCH($B45,Proyectos!$A$2:$A$41,0)),"⚠ ID no encontrado"))</f>
        <v/>
      </c>
      <c r="J45" s="54">
        <f>IF($B45="","",IFERROR(INDEX(Proyectos!$D$2:$D$41,MATCH($B45,Proyectos!$A$2:$A$41,0)),"⚠ ID no encontrado"))</f>
        <v/>
      </c>
      <c r="K45" s="52">
        <f>IF($A45="","",IF(OR($F45="Completado",$F45="Cancelado"),"",IF($E45="","",$E45-TODAY())))</f>
        <v/>
      </c>
      <c r="L45" s="54">
        <f>IF($A45="","",IF(OR($F45="Completado",$F45="Cancelado"),"—",IF($K45="","",IF($K45&lt;0,"Vencido",IF($K45&lt;=7,"Esta semana",IF($K45&lt;=30,"Próximos 30 días","En plazo"))))))</f>
        <v/>
      </c>
    </row>
    <row r="46" ht="17" customHeight="1">
      <c r="A46" s="45" t="n"/>
      <c r="B46" s="45" t="n"/>
      <c r="C46" s="46" t="n"/>
      <c r="D46" s="45" t="n"/>
      <c r="E46" s="47" t="n"/>
      <c r="F46" s="45" t="n"/>
      <c r="G46" s="50" t="n"/>
      <c r="H46" s="62">
        <f>IF($B46="","",IFERROR(INDEX(Proyectos!$B$2:$B$41,MATCH($B46,Proyectos!$A$2:$A$41,0)),"⚠ ID no encontrado"))</f>
        <v/>
      </c>
      <c r="I46" s="54">
        <f>IF($B46="","",IFERROR(INDEX(Proyectos!$C$2:$C$41,MATCH($B46,Proyectos!$A$2:$A$41,0)),"⚠ ID no encontrado"))</f>
        <v/>
      </c>
      <c r="J46" s="54">
        <f>IF($B46="","",IFERROR(INDEX(Proyectos!$D$2:$D$41,MATCH($B46,Proyectos!$A$2:$A$41,0)),"⚠ ID no encontrado"))</f>
        <v/>
      </c>
      <c r="K46" s="52">
        <f>IF($A46="","",IF(OR($F46="Completado",$F46="Cancelado"),"",IF($E46="","",$E46-TODAY())))</f>
        <v/>
      </c>
      <c r="L46" s="54">
        <f>IF($A46="","",IF(OR($F46="Completado",$F46="Cancelado"),"—",IF($K46="","",IF($K46&lt;0,"Vencido",IF($K46&lt;=7,"Esta semana",IF($K46&lt;=30,"Próximos 30 días","En plazo"))))))</f>
        <v/>
      </c>
    </row>
    <row r="47" ht="17" customHeight="1">
      <c r="A47" s="45" t="n"/>
      <c r="B47" s="45" t="n"/>
      <c r="C47" s="46" t="n"/>
      <c r="D47" s="45" t="n"/>
      <c r="E47" s="47" t="n"/>
      <c r="F47" s="45" t="n"/>
      <c r="G47" s="50" t="n"/>
      <c r="H47" s="62">
        <f>IF($B47="","",IFERROR(INDEX(Proyectos!$B$2:$B$41,MATCH($B47,Proyectos!$A$2:$A$41,0)),"⚠ ID no encontrado"))</f>
        <v/>
      </c>
      <c r="I47" s="54">
        <f>IF($B47="","",IFERROR(INDEX(Proyectos!$C$2:$C$41,MATCH($B47,Proyectos!$A$2:$A$41,0)),"⚠ ID no encontrado"))</f>
        <v/>
      </c>
      <c r="J47" s="54">
        <f>IF($B47="","",IFERROR(INDEX(Proyectos!$D$2:$D$41,MATCH($B47,Proyectos!$A$2:$A$41,0)),"⚠ ID no encontrado"))</f>
        <v/>
      </c>
      <c r="K47" s="52">
        <f>IF($A47="","",IF(OR($F47="Completado",$F47="Cancelado"),"",IF($E47="","",$E47-TODAY())))</f>
        <v/>
      </c>
      <c r="L47" s="54">
        <f>IF($A47="","",IF(OR($F47="Completado",$F47="Cancelado"),"—",IF($K47="","",IF($K47&lt;0,"Vencido",IF($K47&lt;=7,"Esta semana",IF($K47&lt;=30,"Próximos 30 días","En plazo"))))))</f>
        <v/>
      </c>
    </row>
    <row r="48" ht="17" customHeight="1">
      <c r="A48" s="45" t="n"/>
      <c r="B48" s="45" t="n"/>
      <c r="C48" s="46" t="n"/>
      <c r="D48" s="45" t="n"/>
      <c r="E48" s="47" t="n"/>
      <c r="F48" s="45" t="n"/>
      <c r="G48" s="50" t="n"/>
      <c r="H48" s="62">
        <f>IF($B48="","",IFERROR(INDEX(Proyectos!$B$2:$B$41,MATCH($B48,Proyectos!$A$2:$A$41,0)),"⚠ ID no encontrado"))</f>
        <v/>
      </c>
      <c r="I48" s="54">
        <f>IF($B48="","",IFERROR(INDEX(Proyectos!$C$2:$C$41,MATCH($B48,Proyectos!$A$2:$A$41,0)),"⚠ ID no encontrado"))</f>
        <v/>
      </c>
      <c r="J48" s="54">
        <f>IF($B48="","",IFERROR(INDEX(Proyectos!$D$2:$D$41,MATCH($B48,Proyectos!$A$2:$A$41,0)),"⚠ ID no encontrado"))</f>
        <v/>
      </c>
      <c r="K48" s="52">
        <f>IF($A48="","",IF(OR($F48="Completado",$F48="Cancelado"),"",IF($E48="","",$E48-TODAY())))</f>
        <v/>
      </c>
      <c r="L48" s="54">
        <f>IF($A48="","",IF(OR($F48="Completado",$F48="Cancelado"),"—",IF($K48="","",IF($K48&lt;0,"Vencido",IF($K48&lt;=7,"Esta semana",IF($K48&lt;=30,"Próximos 30 días","En plazo"))))))</f>
        <v/>
      </c>
    </row>
    <row r="49" ht="17" customHeight="1">
      <c r="A49" s="45" t="n"/>
      <c r="B49" s="45" t="n"/>
      <c r="C49" s="46" t="n"/>
      <c r="D49" s="45" t="n"/>
      <c r="E49" s="47" t="n"/>
      <c r="F49" s="45" t="n"/>
      <c r="G49" s="50" t="n"/>
      <c r="H49" s="62">
        <f>IF($B49="","",IFERROR(INDEX(Proyectos!$B$2:$B$41,MATCH($B49,Proyectos!$A$2:$A$41,0)),"⚠ ID no encontrado"))</f>
        <v/>
      </c>
      <c r="I49" s="54">
        <f>IF($B49="","",IFERROR(INDEX(Proyectos!$C$2:$C$41,MATCH($B49,Proyectos!$A$2:$A$41,0)),"⚠ ID no encontrado"))</f>
        <v/>
      </c>
      <c r="J49" s="54">
        <f>IF($B49="","",IFERROR(INDEX(Proyectos!$D$2:$D$41,MATCH($B49,Proyectos!$A$2:$A$41,0)),"⚠ ID no encontrado"))</f>
        <v/>
      </c>
      <c r="K49" s="52">
        <f>IF($A49="","",IF(OR($F49="Completado",$F49="Cancelado"),"",IF($E49="","",$E49-TODAY())))</f>
        <v/>
      </c>
      <c r="L49" s="54">
        <f>IF($A49="","",IF(OR($F49="Completado",$F49="Cancelado"),"—",IF($K49="","",IF($K49&lt;0,"Vencido",IF($K49&lt;=7,"Esta semana",IF($K49&lt;=30,"Próximos 30 días","En plazo"))))))</f>
        <v/>
      </c>
    </row>
    <row r="50" ht="17" customHeight="1">
      <c r="A50" s="45" t="n"/>
      <c r="B50" s="45" t="n"/>
      <c r="C50" s="46" t="n"/>
      <c r="D50" s="45" t="n"/>
      <c r="E50" s="47" t="n"/>
      <c r="F50" s="45" t="n"/>
      <c r="G50" s="50" t="n"/>
      <c r="H50" s="62">
        <f>IF($B50="","",IFERROR(INDEX(Proyectos!$B$2:$B$41,MATCH($B50,Proyectos!$A$2:$A$41,0)),"⚠ ID no encontrado"))</f>
        <v/>
      </c>
      <c r="I50" s="54">
        <f>IF($B50="","",IFERROR(INDEX(Proyectos!$C$2:$C$41,MATCH($B50,Proyectos!$A$2:$A$41,0)),"⚠ ID no encontrado"))</f>
        <v/>
      </c>
      <c r="J50" s="54">
        <f>IF($B50="","",IFERROR(INDEX(Proyectos!$D$2:$D$41,MATCH($B50,Proyectos!$A$2:$A$41,0)),"⚠ ID no encontrado"))</f>
        <v/>
      </c>
      <c r="K50" s="52">
        <f>IF($A50="","",IF(OR($F50="Completado",$F50="Cancelado"),"",IF($E50="","",$E50-TODAY())))</f>
        <v/>
      </c>
      <c r="L50" s="54">
        <f>IF($A50="","",IF(OR($F50="Completado",$F50="Cancelado"),"—",IF($K50="","",IF($K50&lt;0,"Vencido",IF($K50&lt;=7,"Esta semana",IF($K50&lt;=30,"Próximos 30 días","En plazo"))))))</f>
        <v/>
      </c>
    </row>
    <row r="51" ht="17" customHeight="1">
      <c r="A51" s="45" t="n"/>
      <c r="B51" s="45" t="n"/>
      <c r="C51" s="46" t="n"/>
      <c r="D51" s="45" t="n"/>
      <c r="E51" s="47" t="n"/>
      <c r="F51" s="45" t="n"/>
      <c r="G51" s="50" t="n"/>
      <c r="H51" s="62">
        <f>IF($B51="","",IFERROR(INDEX(Proyectos!$B$2:$B$41,MATCH($B51,Proyectos!$A$2:$A$41,0)),"⚠ ID no encontrado"))</f>
        <v/>
      </c>
      <c r="I51" s="54">
        <f>IF($B51="","",IFERROR(INDEX(Proyectos!$C$2:$C$41,MATCH($B51,Proyectos!$A$2:$A$41,0)),"⚠ ID no encontrado"))</f>
        <v/>
      </c>
      <c r="J51" s="54">
        <f>IF($B51="","",IFERROR(INDEX(Proyectos!$D$2:$D$41,MATCH($B51,Proyectos!$A$2:$A$41,0)),"⚠ ID no encontrado"))</f>
        <v/>
      </c>
      <c r="K51" s="52">
        <f>IF($A51="","",IF(OR($F51="Completado",$F51="Cancelado"),"",IF($E51="","",$E51-TODAY())))</f>
        <v/>
      </c>
      <c r="L51" s="54">
        <f>IF($A51="","",IF(OR($F51="Completado",$F51="Cancelado"),"—",IF($K51="","",IF($K51&lt;0,"Vencido",IF($K51&lt;=7,"Esta semana",IF($K51&lt;=30,"Próximos 30 días","En plazo"))))))</f>
        <v/>
      </c>
    </row>
    <row r="52" ht="17" customHeight="1">
      <c r="A52" s="45" t="n"/>
      <c r="B52" s="45" t="n"/>
      <c r="C52" s="46" t="n"/>
      <c r="D52" s="45" t="n"/>
      <c r="E52" s="47" t="n"/>
      <c r="F52" s="45" t="n"/>
      <c r="G52" s="50" t="n"/>
      <c r="H52" s="62">
        <f>IF($B52="","",IFERROR(INDEX(Proyectos!$B$2:$B$41,MATCH($B52,Proyectos!$A$2:$A$41,0)),"⚠ ID no encontrado"))</f>
        <v/>
      </c>
      <c r="I52" s="54">
        <f>IF($B52="","",IFERROR(INDEX(Proyectos!$C$2:$C$41,MATCH($B52,Proyectos!$A$2:$A$41,0)),"⚠ ID no encontrado"))</f>
        <v/>
      </c>
      <c r="J52" s="54">
        <f>IF($B52="","",IFERROR(INDEX(Proyectos!$D$2:$D$41,MATCH($B52,Proyectos!$A$2:$A$41,0)),"⚠ ID no encontrado"))</f>
        <v/>
      </c>
      <c r="K52" s="52">
        <f>IF($A52="","",IF(OR($F52="Completado",$F52="Cancelado"),"",IF($E52="","",$E52-TODAY())))</f>
        <v/>
      </c>
      <c r="L52" s="54">
        <f>IF($A52="","",IF(OR($F52="Completado",$F52="Cancelado"),"—",IF($K52="","",IF($K52&lt;0,"Vencido",IF($K52&lt;=7,"Esta semana",IF($K52&lt;=30,"Próximos 30 días","En plazo"))))))</f>
        <v/>
      </c>
    </row>
    <row r="53" ht="17" customHeight="1">
      <c r="A53" s="45" t="n"/>
      <c r="B53" s="45" t="n"/>
      <c r="C53" s="46" t="n"/>
      <c r="D53" s="45" t="n"/>
      <c r="E53" s="47" t="n"/>
      <c r="F53" s="45" t="n"/>
      <c r="G53" s="50" t="n"/>
      <c r="H53" s="62">
        <f>IF($B53="","",IFERROR(INDEX(Proyectos!$B$2:$B$41,MATCH($B53,Proyectos!$A$2:$A$41,0)),"⚠ ID no encontrado"))</f>
        <v/>
      </c>
      <c r="I53" s="54">
        <f>IF($B53="","",IFERROR(INDEX(Proyectos!$C$2:$C$41,MATCH($B53,Proyectos!$A$2:$A$41,0)),"⚠ ID no encontrado"))</f>
        <v/>
      </c>
      <c r="J53" s="54">
        <f>IF($B53="","",IFERROR(INDEX(Proyectos!$D$2:$D$41,MATCH($B53,Proyectos!$A$2:$A$41,0)),"⚠ ID no encontrado"))</f>
        <v/>
      </c>
      <c r="K53" s="52">
        <f>IF($A53="","",IF(OR($F53="Completado",$F53="Cancelado"),"",IF($E53="","",$E53-TODAY())))</f>
        <v/>
      </c>
      <c r="L53" s="54">
        <f>IF($A53="","",IF(OR($F53="Completado",$F53="Cancelado"),"—",IF($K53="","",IF($K53&lt;0,"Vencido",IF($K53&lt;=7,"Esta semana",IF($K53&lt;=30,"Próximos 30 días","En plazo"))))))</f>
        <v/>
      </c>
    </row>
    <row r="54" ht="17" customHeight="1">
      <c r="A54" s="45" t="n"/>
      <c r="B54" s="45" t="n"/>
      <c r="C54" s="46" t="n"/>
      <c r="D54" s="45" t="n"/>
      <c r="E54" s="47" t="n"/>
      <c r="F54" s="45" t="n"/>
      <c r="G54" s="50" t="n"/>
      <c r="H54" s="62">
        <f>IF($B54="","",IFERROR(INDEX(Proyectos!$B$2:$B$41,MATCH($B54,Proyectos!$A$2:$A$41,0)),"⚠ ID no encontrado"))</f>
        <v/>
      </c>
      <c r="I54" s="54">
        <f>IF($B54="","",IFERROR(INDEX(Proyectos!$C$2:$C$41,MATCH($B54,Proyectos!$A$2:$A$41,0)),"⚠ ID no encontrado"))</f>
        <v/>
      </c>
      <c r="J54" s="54">
        <f>IF($B54="","",IFERROR(INDEX(Proyectos!$D$2:$D$41,MATCH($B54,Proyectos!$A$2:$A$41,0)),"⚠ ID no encontrado"))</f>
        <v/>
      </c>
      <c r="K54" s="52">
        <f>IF($A54="","",IF(OR($F54="Completado",$F54="Cancelado"),"",IF($E54="","",$E54-TODAY())))</f>
        <v/>
      </c>
      <c r="L54" s="54">
        <f>IF($A54="","",IF(OR($F54="Completado",$F54="Cancelado"),"—",IF($K54="","",IF($K54&lt;0,"Vencido",IF($K54&lt;=7,"Esta semana",IF($K54&lt;=30,"Próximos 30 días","En plazo"))))))</f>
        <v/>
      </c>
    </row>
    <row r="55" ht="17" customHeight="1">
      <c r="A55" s="45" t="n"/>
      <c r="B55" s="45" t="n"/>
      <c r="C55" s="46" t="n"/>
      <c r="D55" s="45" t="n"/>
      <c r="E55" s="47" t="n"/>
      <c r="F55" s="45" t="n"/>
      <c r="G55" s="50" t="n"/>
      <c r="H55" s="62">
        <f>IF($B55="","",IFERROR(INDEX(Proyectos!$B$2:$B$41,MATCH($B55,Proyectos!$A$2:$A$41,0)),"⚠ ID no encontrado"))</f>
        <v/>
      </c>
      <c r="I55" s="54">
        <f>IF($B55="","",IFERROR(INDEX(Proyectos!$C$2:$C$41,MATCH($B55,Proyectos!$A$2:$A$41,0)),"⚠ ID no encontrado"))</f>
        <v/>
      </c>
      <c r="J55" s="54">
        <f>IF($B55="","",IFERROR(INDEX(Proyectos!$D$2:$D$41,MATCH($B55,Proyectos!$A$2:$A$41,0)),"⚠ ID no encontrado"))</f>
        <v/>
      </c>
      <c r="K55" s="52">
        <f>IF($A55="","",IF(OR($F55="Completado",$F55="Cancelado"),"",IF($E55="","",$E55-TODAY())))</f>
        <v/>
      </c>
      <c r="L55" s="54">
        <f>IF($A55="","",IF(OR($F55="Completado",$F55="Cancelado"),"—",IF($K55="","",IF($K55&lt;0,"Vencido",IF($K55&lt;=7,"Esta semana",IF($K55&lt;=30,"Próximos 30 días","En plazo"))))))</f>
        <v/>
      </c>
    </row>
    <row r="56" ht="17" customHeight="1">
      <c r="A56" s="45" t="n"/>
      <c r="B56" s="45" t="n"/>
      <c r="C56" s="46" t="n"/>
      <c r="D56" s="45" t="n"/>
      <c r="E56" s="47" t="n"/>
      <c r="F56" s="45" t="n"/>
      <c r="G56" s="50" t="n"/>
      <c r="H56" s="62">
        <f>IF($B56="","",IFERROR(INDEX(Proyectos!$B$2:$B$41,MATCH($B56,Proyectos!$A$2:$A$41,0)),"⚠ ID no encontrado"))</f>
        <v/>
      </c>
      <c r="I56" s="54">
        <f>IF($B56="","",IFERROR(INDEX(Proyectos!$C$2:$C$41,MATCH($B56,Proyectos!$A$2:$A$41,0)),"⚠ ID no encontrado"))</f>
        <v/>
      </c>
      <c r="J56" s="54">
        <f>IF($B56="","",IFERROR(INDEX(Proyectos!$D$2:$D$41,MATCH($B56,Proyectos!$A$2:$A$41,0)),"⚠ ID no encontrado"))</f>
        <v/>
      </c>
      <c r="K56" s="52">
        <f>IF($A56="","",IF(OR($F56="Completado",$F56="Cancelado"),"",IF($E56="","",$E56-TODAY())))</f>
        <v/>
      </c>
      <c r="L56" s="54">
        <f>IF($A56="","",IF(OR($F56="Completado",$F56="Cancelado"),"—",IF($K56="","",IF($K56&lt;0,"Vencido",IF($K56&lt;=7,"Esta semana",IF($K56&lt;=30,"Próximos 30 días","En plazo"))))))</f>
        <v/>
      </c>
    </row>
    <row r="57" ht="17" customHeight="1">
      <c r="A57" s="45" t="n"/>
      <c r="B57" s="45" t="n"/>
      <c r="C57" s="46" t="n"/>
      <c r="D57" s="45" t="n"/>
      <c r="E57" s="47" t="n"/>
      <c r="F57" s="45" t="n"/>
      <c r="G57" s="50" t="n"/>
      <c r="H57" s="62">
        <f>IF($B57="","",IFERROR(INDEX(Proyectos!$B$2:$B$41,MATCH($B57,Proyectos!$A$2:$A$41,0)),"⚠ ID no encontrado"))</f>
        <v/>
      </c>
      <c r="I57" s="54">
        <f>IF($B57="","",IFERROR(INDEX(Proyectos!$C$2:$C$41,MATCH($B57,Proyectos!$A$2:$A$41,0)),"⚠ ID no encontrado"))</f>
        <v/>
      </c>
      <c r="J57" s="54">
        <f>IF($B57="","",IFERROR(INDEX(Proyectos!$D$2:$D$41,MATCH($B57,Proyectos!$A$2:$A$41,0)),"⚠ ID no encontrado"))</f>
        <v/>
      </c>
      <c r="K57" s="52">
        <f>IF($A57="","",IF(OR($F57="Completado",$F57="Cancelado"),"",IF($E57="","",$E57-TODAY())))</f>
        <v/>
      </c>
      <c r="L57" s="54">
        <f>IF($A57="","",IF(OR($F57="Completado",$F57="Cancelado"),"—",IF($K57="","",IF($K57&lt;0,"Vencido",IF($K57&lt;=7,"Esta semana",IF($K57&lt;=30,"Próximos 30 días","En plazo"))))))</f>
        <v/>
      </c>
    </row>
    <row r="58" ht="17" customHeight="1">
      <c r="A58" s="45" t="n"/>
      <c r="B58" s="45" t="n"/>
      <c r="C58" s="46" t="n"/>
      <c r="D58" s="45" t="n"/>
      <c r="E58" s="47" t="n"/>
      <c r="F58" s="45" t="n"/>
      <c r="G58" s="50" t="n"/>
      <c r="H58" s="62">
        <f>IF($B58="","",IFERROR(INDEX(Proyectos!$B$2:$B$41,MATCH($B58,Proyectos!$A$2:$A$41,0)),"⚠ ID no encontrado"))</f>
        <v/>
      </c>
      <c r="I58" s="54">
        <f>IF($B58="","",IFERROR(INDEX(Proyectos!$C$2:$C$41,MATCH($B58,Proyectos!$A$2:$A$41,0)),"⚠ ID no encontrado"))</f>
        <v/>
      </c>
      <c r="J58" s="54">
        <f>IF($B58="","",IFERROR(INDEX(Proyectos!$D$2:$D$41,MATCH($B58,Proyectos!$A$2:$A$41,0)),"⚠ ID no encontrado"))</f>
        <v/>
      </c>
      <c r="K58" s="52">
        <f>IF($A58="","",IF(OR($F58="Completado",$F58="Cancelado"),"",IF($E58="","",$E58-TODAY())))</f>
        <v/>
      </c>
      <c r="L58" s="54">
        <f>IF($A58="","",IF(OR($F58="Completado",$F58="Cancelado"),"—",IF($K58="","",IF($K58&lt;0,"Vencido",IF($K58&lt;=7,"Esta semana",IF($K58&lt;=30,"Próximos 30 días","En plazo"))))))</f>
        <v/>
      </c>
    </row>
    <row r="59" ht="17" customHeight="1">
      <c r="A59" s="45" t="n"/>
      <c r="B59" s="45" t="n"/>
      <c r="C59" s="46" t="n"/>
      <c r="D59" s="45" t="n"/>
      <c r="E59" s="47" t="n"/>
      <c r="F59" s="45" t="n"/>
      <c r="G59" s="50" t="n"/>
      <c r="H59" s="62">
        <f>IF($B59="","",IFERROR(INDEX(Proyectos!$B$2:$B$41,MATCH($B59,Proyectos!$A$2:$A$41,0)),"⚠ ID no encontrado"))</f>
        <v/>
      </c>
      <c r="I59" s="54">
        <f>IF($B59="","",IFERROR(INDEX(Proyectos!$C$2:$C$41,MATCH($B59,Proyectos!$A$2:$A$41,0)),"⚠ ID no encontrado"))</f>
        <v/>
      </c>
      <c r="J59" s="54">
        <f>IF($B59="","",IFERROR(INDEX(Proyectos!$D$2:$D$41,MATCH($B59,Proyectos!$A$2:$A$41,0)),"⚠ ID no encontrado"))</f>
        <v/>
      </c>
      <c r="K59" s="52">
        <f>IF($A59="","",IF(OR($F59="Completado",$F59="Cancelado"),"",IF($E59="","",$E59-TODAY())))</f>
        <v/>
      </c>
      <c r="L59" s="54">
        <f>IF($A59="","",IF(OR($F59="Completado",$F59="Cancelado"),"—",IF($K59="","",IF($K59&lt;0,"Vencido",IF($K59&lt;=7,"Esta semana",IF($K59&lt;=30,"Próximos 30 días","En plazo"))))))</f>
        <v/>
      </c>
    </row>
    <row r="60" ht="17" customHeight="1">
      <c r="A60" s="45" t="n"/>
      <c r="B60" s="45" t="n"/>
      <c r="C60" s="46" t="n"/>
      <c r="D60" s="45" t="n"/>
      <c r="E60" s="47" t="n"/>
      <c r="F60" s="45" t="n"/>
      <c r="G60" s="50" t="n"/>
      <c r="H60" s="62">
        <f>IF($B60="","",IFERROR(INDEX(Proyectos!$B$2:$B$41,MATCH($B60,Proyectos!$A$2:$A$41,0)),"⚠ ID no encontrado"))</f>
        <v/>
      </c>
      <c r="I60" s="54">
        <f>IF($B60="","",IFERROR(INDEX(Proyectos!$C$2:$C$41,MATCH($B60,Proyectos!$A$2:$A$41,0)),"⚠ ID no encontrado"))</f>
        <v/>
      </c>
      <c r="J60" s="54">
        <f>IF($B60="","",IFERROR(INDEX(Proyectos!$D$2:$D$41,MATCH($B60,Proyectos!$A$2:$A$41,0)),"⚠ ID no encontrado"))</f>
        <v/>
      </c>
      <c r="K60" s="52">
        <f>IF($A60="","",IF(OR($F60="Completado",$F60="Cancelado"),"",IF($E60="","",$E60-TODAY())))</f>
        <v/>
      </c>
      <c r="L60" s="54">
        <f>IF($A60="","",IF(OR($F60="Completado",$F60="Cancelado"),"—",IF($K60="","",IF($K60&lt;0,"Vencido",IF($K60&lt;=7,"Esta semana",IF($K60&lt;=30,"Próximos 30 días","En plazo"))))))</f>
        <v/>
      </c>
    </row>
    <row r="61" ht="17" customHeight="1">
      <c r="A61" s="45" t="n"/>
      <c r="B61" s="45" t="n"/>
      <c r="C61" s="46" t="n"/>
      <c r="D61" s="45" t="n"/>
      <c r="E61" s="47" t="n"/>
      <c r="F61" s="45" t="n"/>
      <c r="G61" s="50" t="n"/>
      <c r="H61" s="62">
        <f>IF($B61="","",IFERROR(INDEX(Proyectos!$B$2:$B$41,MATCH($B61,Proyectos!$A$2:$A$41,0)),"⚠ ID no encontrado"))</f>
        <v/>
      </c>
      <c r="I61" s="54">
        <f>IF($B61="","",IFERROR(INDEX(Proyectos!$C$2:$C$41,MATCH($B61,Proyectos!$A$2:$A$41,0)),"⚠ ID no encontrado"))</f>
        <v/>
      </c>
      <c r="J61" s="54">
        <f>IF($B61="","",IFERROR(INDEX(Proyectos!$D$2:$D$41,MATCH($B61,Proyectos!$A$2:$A$41,0)),"⚠ ID no encontrado"))</f>
        <v/>
      </c>
      <c r="K61" s="52">
        <f>IF($A61="","",IF(OR($F61="Completado",$F61="Cancelado"),"",IF($E61="","",$E61-TODAY())))</f>
        <v/>
      </c>
      <c r="L61" s="54">
        <f>IF($A61="","",IF(OR($F61="Completado",$F61="Cancelado"),"—",IF($K61="","",IF($K61&lt;0,"Vencido",IF($K61&lt;=7,"Esta semana",IF($K61&lt;=30,"Próximos 30 días","En plazo"))))))</f>
        <v/>
      </c>
    </row>
    <row r="62" ht="17" customHeight="1">
      <c r="A62" s="45" t="n"/>
      <c r="B62" s="45" t="n"/>
      <c r="C62" s="46" t="n"/>
      <c r="D62" s="45" t="n"/>
      <c r="E62" s="47" t="n"/>
      <c r="F62" s="45" t="n"/>
      <c r="G62" s="50" t="n"/>
      <c r="H62" s="62">
        <f>IF($B62="","",IFERROR(INDEX(Proyectos!$B$2:$B$41,MATCH($B62,Proyectos!$A$2:$A$41,0)),"⚠ ID no encontrado"))</f>
        <v/>
      </c>
      <c r="I62" s="54">
        <f>IF($B62="","",IFERROR(INDEX(Proyectos!$C$2:$C$41,MATCH($B62,Proyectos!$A$2:$A$41,0)),"⚠ ID no encontrado"))</f>
        <v/>
      </c>
      <c r="J62" s="54">
        <f>IF($B62="","",IFERROR(INDEX(Proyectos!$D$2:$D$41,MATCH($B62,Proyectos!$A$2:$A$41,0)),"⚠ ID no encontrado"))</f>
        <v/>
      </c>
      <c r="K62" s="52">
        <f>IF($A62="","",IF(OR($F62="Completado",$F62="Cancelado"),"",IF($E62="","",$E62-TODAY())))</f>
        <v/>
      </c>
      <c r="L62" s="54">
        <f>IF($A62="","",IF(OR($F62="Completado",$F62="Cancelado"),"—",IF($K62="","",IF($K62&lt;0,"Vencido",IF($K62&lt;=7,"Esta semana",IF($K62&lt;=30,"Próximos 30 días","En plazo"))))))</f>
        <v/>
      </c>
    </row>
    <row r="63" ht="17" customHeight="1">
      <c r="A63" s="45" t="n"/>
      <c r="B63" s="45" t="n"/>
      <c r="C63" s="46" t="n"/>
      <c r="D63" s="45" t="n"/>
      <c r="E63" s="47" t="n"/>
      <c r="F63" s="45" t="n"/>
      <c r="G63" s="50" t="n"/>
      <c r="H63" s="62">
        <f>IF($B63="","",IFERROR(INDEX(Proyectos!$B$2:$B$41,MATCH($B63,Proyectos!$A$2:$A$41,0)),"⚠ ID no encontrado"))</f>
        <v/>
      </c>
      <c r="I63" s="54">
        <f>IF($B63="","",IFERROR(INDEX(Proyectos!$C$2:$C$41,MATCH($B63,Proyectos!$A$2:$A$41,0)),"⚠ ID no encontrado"))</f>
        <v/>
      </c>
      <c r="J63" s="54">
        <f>IF($B63="","",IFERROR(INDEX(Proyectos!$D$2:$D$41,MATCH($B63,Proyectos!$A$2:$A$41,0)),"⚠ ID no encontrado"))</f>
        <v/>
      </c>
      <c r="K63" s="52">
        <f>IF($A63="","",IF(OR($F63="Completado",$F63="Cancelado"),"",IF($E63="","",$E63-TODAY())))</f>
        <v/>
      </c>
      <c r="L63" s="54">
        <f>IF($A63="","",IF(OR($F63="Completado",$F63="Cancelado"),"—",IF($K63="","",IF($K63&lt;0,"Vencido",IF($K63&lt;=7,"Esta semana",IF($K63&lt;=30,"Próximos 30 días","En plazo"))))))</f>
        <v/>
      </c>
    </row>
    <row r="64" ht="17" customHeight="1">
      <c r="A64" s="45" t="n"/>
      <c r="B64" s="45" t="n"/>
      <c r="C64" s="46" t="n"/>
      <c r="D64" s="45" t="n"/>
      <c r="E64" s="47" t="n"/>
      <c r="F64" s="45" t="n"/>
      <c r="G64" s="50" t="n"/>
      <c r="H64" s="62">
        <f>IF($B64="","",IFERROR(INDEX(Proyectos!$B$2:$B$41,MATCH($B64,Proyectos!$A$2:$A$41,0)),"⚠ ID no encontrado"))</f>
        <v/>
      </c>
      <c r="I64" s="54">
        <f>IF($B64="","",IFERROR(INDEX(Proyectos!$C$2:$C$41,MATCH($B64,Proyectos!$A$2:$A$41,0)),"⚠ ID no encontrado"))</f>
        <v/>
      </c>
      <c r="J64" s="54">
        <f>IF($B64="","",IFERROR(INDEX(Proyectos!$D$2:$D$41,MATCH($B64,Proyectos!$A$2:$A$41,0)),"⚠ ID no encontrado"))</f>
        <v/>
      </c>
      <c r="K64" s="52">
        <f>IF($A64="","",IF(OR($F64="Completado",$F64="Cancelado"),"",IF($E64="","",$E64-TODAY())))</f>
        <v/>
      </c>
      <c r="L64" s="54">
        <f>IF($A64="","",IF(OR($F64="Completado",$F64="Cancelado"),"—",IF($K64="","",IF($K64&lt;0,"Vencido",IF($K64&lt;=7,"Esta semana",IF($K64&lt;=30,"Próximos 30 días","En plazo"))))))</f>
        <v/>
      </c>
    </row>
    <row r="65" ht="17" customHeight="1">
      <c r="A65" s="45" t="n"/>
      <c r="B65" s="45" t="n"/>
      <c r="C65" s="46" t="n"/>
      <c r="D65" s="45" t="n"/>
      <c r="E65" s="47" t="n"/>
      <c r="F65" s="45" t="n"/>
      <c r="G65" s="50" t="n"/>
      <c r="H65" s="62">
        <f>IF($B65="","",IFERROR(INDEX(Proyectos!$B$2:$B$41,MATCH($B65,Proyectos!$A$2:$A$41,0)),"⚠ ID no encontrado"))</f>
        <v/>
      </c>
      <c r="I65" s="54">
        <f>IF($B65="","",IFERROR(INDEX(Proyectos!$C$2:$C$41,MATCH($B65,Proyectos!$A$2:$A$41,0)),"⚠ ID no encontrado"))</f>
        <v/>
      </c>
      <c r="J65" s="54">
        <f>IF($B65="","",IFERROR(INDEX(Proyectos!$D$2:$D$41,MATCH($B65,Proyectos!$A$2:$A$41,0)),"⚠ ID no encontrado"))</f>
        <v/>
      </c>
      <c r="K65" s="52">
        <f>IF($A65="","",IF(OR($F65="Completado",$F65="Cancelado"),"",IF($E65="","",$E65-TODAY())))</f>
        <v/>
      </c>
      <c r="L65" s="54">
        <f>IF($A65="","",IF(OR($F65="Completado",$F65="Cancelado"),"—",IF($K65="","",IF($K65&lt;0,"Vencido",IF($K65&lt;=7,"Esta semana",IF($K65&lt;=30,"Próximos 30 días","En plazo"))))))</f>
        <v/>
      </c>
    </row>
    <row r="66" ht="17" customHeight="1">
      <c r="A66" s="45" t="n"/>
      <c r="B66" s="45" t="n"/>
      <c r="C66" s="46" t="n"/>
      <c r="D66" s="45" t="n"/>
      <c r="E66" s="47" t="n"/>
      <c r="F66" s="45" t="n"/>
      <c r="G66" s="50" t="n"/>
      <c r="H66" s="62">
        <f>IF($B66="","",IFERROR(INDEX(Proyectos!$B$2:$B$41,MATCH($B66,Proyectos!$A$2:$A$41,0)),"⚠ ID no encontrado"))</f>
        <v/>
      </c>
      <c r="I66" s="54">
        <f>IF($B66="","",IFERROR(INDEX(Proyectos!$C$2:$C$41,MATCH($B66,Proyectos!$A$2:$A$41,0)),"⚠ ID no encontrado"))</f>
        <v/>
      </c>
      <c r="J66" s="54">
        <f>IF($B66="","",IFERROR(INDEX(Proyectos!$D$2:$D$41,MATCH($B66,Proyectos!$A$2:$A$41,0)),"⚠ ID no encontrado"))</f>
        <v/>
      </c>
      <c r="K66" s="52">
        <f>IF($A66="","",IF(OR($F66="Completado",$F66="Cancelado"),"",IF($E66="","",$E66-TODAY())))</f>
        <v/>
      </c>
      <c r="L66" s="54">
        <f>IF($A66="","",IF(OR($F66="Completado",$F66="Cancelado"),"—",IF($K66="","",IF($K66&lt;0,"Vencido",IF($K66&lt;=7,"Esta semana",IF($K66&lt;=30,"Próximos 30 días","En plazo"))))))</f>
        <v/>
      </c>
    </row>
    <row r="67" ht="17" customHeight="1">
      <c r="A67" s="45" t="n"/>
      <c r="B67" s="45" t="n"/>
      <c r="C67" s="46" t="n"/>
      <c r="D67" s="45" t="n"/>
      <c r="E67" s="47" t="n"/>
      <c r="F67" s="45" t="n"/>
      <c r="G67" s="50" t="n"/>
      <c r="H67" s="62">
        <f>IF($B67="","",IFERROR(INDEX(Proyectos!$B$2:$B$41,MATCH($B67,Proyectos!$A$2:$A$41,0)),"⚠ ID no encontrado"))</f>
        <v/>
      </c>
      <c r="I67" s="54">
        <f>IF($B67="","",IFERROR(INDEX(Proyectos!$C$2:$C$41,MATCH($B67,Proyectos!$A$2:$A$41,0)),"⚠ ID no encontrado"))</f>
        <v/>
      </c>
      <c r="J67" s="54">
        <f>IF($B67="","",IFERROR(INDEX(Proyectos!$D$2:$D$41,MATCH($B67,Proyectos!$A$2:$A$41,0)),"⚠ ID no encontrado"))</f>
        <v/>
      </c>
      <c r="K67" s="52">
        <f>IF($A67="","",IF(OR($F67="Completado",$F67="Cancelado"),"",IF($E67="","",$E67-TODAY())))</f>
        <v/>
      </c>
      <c r="L67" s="54">
        <f>IF($A67="","",IF(OR($F67="Completado",$F67="Cancelado"),"—",IF($K67="","",IF($K67&lt;0,"Vencido",IF($K67&lt;=7,"Esta semana",IF($K67&lt;=30,"Próximos 30 días","En plazo"))))))</f>
        <v/>
      </c>
    </row>
    <row r="68" ht="17" customHeight="1">
      <c r="A68" s="45" t="n"/>
      <c r="B68" s="45" t="n"/>
      <c r="C68" s="46" t="n"/>
      <c r="D68" s="45" t="n"/>
      <c r="E68" s="47" t="n"/>
      <c r="F68" s="45" t="n"/>
      <c r="G68" s="50" t="n"/>
      <c r="H68" s="62">
        <f>IF($B68="","",IFERROR(INDEX(Proyectos!$B$2:$B$41,MATCH($B68,Proyectos!$A$2:$A$41,0)),"⚠ ID no encontrado"))</f>
        <v/>
      </c>
      <c r="I68" s="54">
        <f>IF($B68="","",IFERROR(INDEX(Proyectos!$C$2:$C$41,MATCH($B68,Proyectos!$A$2:$A$41,0)),"⚠ ID no encontrado"))</f>
        <v/>
      </c>
      <c r="J68" s="54">
        <f>IF($B68="","",IFERROR(INDEX(Proyectos!$D$2:$D$41,MATCH($B68,Proyectos!$A$2:$A$41,0)),"⚠ ID no encontrado"))</f>
        <v/>
      </c>
      <c r="K68" s="52">
        <f>IF($A68="","",IF(OR($F68="Completado",$F68="Cancelado"),"",IF($E68="","",$E68-TODAY())))</f>
        <v/>
      </c>
      <c r="L68" s="54">
        <f>IF($A68="","",IF(OR($F68="Completado",$F68="Cancelado"),"—",IF($K68="","",IF($K68&lt;0,"Vencido",IF($K68&lt;=7,"Esta semana",IF($K68&lt;=30,"Próximos 30 días","En plazo"))))))</f>
        <v/>
      </c>
    </row>
    <row r="69" ht="17" customHeight="1">
      <c r="A69" s="45" t="n"/>
      <c r="B69" s="45" t="n"/>
      <c r="C69" s="46" t="n"/>
      <c r="D69" s="45" t="n"/>
      <c r="E69" s="47" t="n"/>
      <c r="F69" s="45" t="n"/>
      <c r="G69" s="50" t="n"/>
      <c r="H69" s="62">
        <f>IF($B69="","",IFERROR(INDEX(Proyectos!$B$2:$B$41,MATCH($B69,Proyectos!$A$2:$A$41,0)),"⚠ ID no encontrado"))</f>
        <v/>
      </c>
      <c r="I69" s="54">
        <f>IF($B69="","",IFERROR(INDEX(Proyectos!$C$2:$C$41,MATCH($B69,Proyectos!$A$2:$A$41,0)),"⚠ ID no encontrado"))</f>
        <v/>
      </c>
      <c r="J69" s="54">
        <f>IF($B69="","",IFERROR(INDEX(Proyectos!$D$2:$D$41,MATCH($B69,Proyectos!$A$2:$A$41,0)),"⚠ ID no encontrado"))</f>
        <v/>
      </c>
      <c r="K69" s="52">
        <f>IF($A69="","",IF(OR($F69="Completado",$F69="Cancelado"),"",IF($E69="","",$E69-TODAY())))</f>
        <v/>
      </c>
      <c r="L69" s="54">
        <f>IF($A69="","",IF(OR($F69="Completado",$F69="Cancelado"),"—",IF($K69="","",IF($K69&lt;0,"Vencido",IF($K69&lt;=7,"Esta semana",IF($K69&lt;=30,"Próximos 30 días","En plazo"))))))</f>
        <v/>
      </c>
    </row>
    <row r="70" ht="17" customHeight="1">
      <c r="A70" s="45" t="n"/>
      <c r="B70" s="45" t="n"/>
      <c r="C70" s="46" t="n"/>
      <c r="D70" s="45" t="n"/>
      <c r="E70" s="47" t="n"/>
      <c r="F70" s="45" t="n"/>
      <c r="G70" s="50" t="n"/>
      <c r="H70" s="62">
        <f>IF($B70="","",IFERROR(INDEX(Proyectos!$B$2:$B$41,MATCH($B70,Proyectos!$A$2:$A$41,0)),"⚠ ID no encontrado"))</f>
        <v/>
      </c>
      <c r="I70" s="54">
        <f>IF($B70="","",IFERROR(INDEX(Proyectos!$C$2:$C$41,MATCH($B70,Proyectos!$A$2:$A$41,0)),"⚠ ID no encontrado"))</f>
        <v/>
      </c>
      <c r="J70" s="54">
        <f>IF($B70="","",IFERROR(INDEX(Proyectos!$D$2:$D$41,MATCH($B70,Proyectos!$A$2:$A$41,0)),"⚠ ID no encontrado"))</f>
        <v/>
      </c>
      <c r="K70" s="52">
        <f>IF($A70="","",IF(OR($F70="Completado",$F70="Cancelado"),"",IF($E70="","",$E70-TODAY())))</f>
        <v/>
      </c>
      <c r="L70" s="54">
        <f>IF($A70="","",IF(OR($F70="Completado",$F70="Cancelado"),"—",IF($K70="","",IF($K70&lt;0,"Vencido",IF($K70&lt;=7,"Esta semana",IF($K70&lt;=30,"Próximos 30 días","En plazo"))))))</f>
        <v/>
      </c>
    </row>
    <row r="71" ht="17" customHeight="1">
      <c r="A71" s="45" t="n"/>
      <c r="B71" s="45" t="n"/>
      <c r="C71" s="46" t="n"/>
      <c r="D71" s="45" t="n"/>
      <c r="E71" s="47" t="n"/>
      <c r="F71" s="45" t="n"/>
      <c r="G71" s="50" t="n"/>
      <c r="H71" s="62">
        <f>IF($B71="","",IFERROR(INDEX(Proyectos!$B$2:$B$41,MATCH($B71,Proyectos!$A$2:$A$41,0)),"⚠ ID no encontrado"))</f>
        <v/>
      </c>
      <c r="I71" s="54">
        <f>IF($B71="","",IFERROR(INDEX(Proyectos!$C$2:$C$41,MATCH($B71,Proyectos!$A$2:$A$41,0)),"⚠ ID no encontrado"))</f>
        <v/>
      </c>
      <c r="J71" s="54">
        <f>IF($B71="","",IFERROR(INDEX(Proyectos!$D$2:$D$41,MATCH($B71,Proyectos!$A$2:$A$41,0)),"⚠ ID no encontrado"))</f>
        <v/>
      </c>
      <c r="K71" s="52">
        <f>IF($A71="","",IF(OR($F71="Completado",$F71="Cancelado"),"",IF($E71="","",$E71-TODAY())))</f>
        <v/>
      </c>
      <c r="L71" s="54">
        <f>IF($A71="","",IF(OR($F71="Completado",$F71="Cancelado"),"—",IF($K71="","",IF($K71&lt;0,"Vencido",IF($K71&lt;=7,"Esta semana",IF($K71&lt;=30,"Próximos 30 días","En plazo"))))))</f>
        <v/>
      </c>
    </row>
    <row r="72" ht="17" customHeight="1">
      <c r="A72" s="45" t="n"/>
      <c r="B72" s="45" t="n"/>
      <c r="C72" s="46" t="n"/>
      <c r="D72" s="45" t="n"/>
      <c r="E72" s="47" t="n"/>
      <c r="F72" s="45" t="n"/>
      <c r="G72" s="50" t="n"/>
      <c r="H72" s="62">
        <f>IF($B72="","",IFERROR(INDEX(Proyectos!$B$2:$B$41,MATCH($B72,Proyectos!$A$2:$A$41,0)),"⚠ ID no encontrado"))</f>
        <v/>
      </c>
      <c r="I72" s="54">
        <f>IF($B72="","",IFERROR(INDEX(Proyectos!$C$2:$C$41,MATCH($B72,Proyectos!$A$2:$A$41,0)),"⚠ ID no encontrado"))</f>
        <v/>
      </c>
      <c r="J72" s="54">
        <f>IF($B72="","",IFERROR(INDEX(Proyectos!$D$2:$D$41,MATCH($B72,Proyectos!$A$2:$A$41,0)),"⚠ ID no encontrado"))</f>
        <v/>
      </c>
      <c r="K72" s="52">
        <f>IF($A72="","",IF(OR($F72="Completado",$F72="Cancelado"),"",IF($E72="","",$E72-TODAY())))</f>
        <v/>
      </c>
      <c r="L72" s="54">
        <f>IF($A72="","",IF(OR($F72="Completado",$F72="Cancelado"),"—",IF($K72="","",IF($K72&lt;0,"Vencido",IF($K72&lt;=7,"Esta semana",IF($K72&lt;=30,"Próximos 30 días","En plazo"))))))</f>
        <v/>
      </c>
    </row>
    <row r="73" ht="17" customHeight="1">
      <c r="A73" s="45" t="n"/>
      <c r="B73" s="45" t="n"/>
      <c r="C73" s="46" t="n"/>
      <c r="D73" s="45" t="n"/>
      <c r="E73" s="47" t="n"/>
      <c r="F73" s="45" t="n"/>
      <c r="G73" s="50" t="n"/>
      <c r="H73" s="62">
        <f>IF($B73="","",IFERROR(INDEX(Proyectos!$B$2:$B$41,MATCH($B73,Proyectos!$A$2:$A$41,0)),"⚠ ID no encontrado"))</f>
        <v/>
      </c>
      <c r="I73" s="54">
        <f>IF($B73="","",IFERROR(INDEX(Proyectos!$C$2:$C$41,MATCH($B73,Proyectos!$A$2:$A$41,0)),"⚠ ID no encontrado"))</f>
        <v/>
      </c>
      <c r="J73" s="54">
        <f>IF($B73="","",IFERROR(INDEX(Proyectos!$D$2:$D$41,MATCH($B73,Proyectos!$A$2:$A$41,0)),"⚠ ID no encontrado"))</f>
        <v/>
      </c>
      <c r="K73" s="52">
        <f>IF($A73="","",IF(OR($F73="Completado",$F73="Cancelado"),"",IF($E73="","",$E73-TODAY())))</f>
        <v/>
      </c>
      <c r="L73" s="54">
        <f>IF($A73="","",IF(OR($F73="Completado",$F73="Cancelado"),"—",IF($K73="","",IF($K73&lt;0,"Vencido",IF($K73&lt;=7,"Esta semana",IF($K73&lt;=30,"Próximos 30 días","En plazo"))))))</f>
        <v/>
      </c>
    </row>
    <row r="74" ht="17" customHeight="1">
      <c r="A74" s="45" t="n"/>
      <c r="B74" s="45" t="n"/>
      <c r="C74" s="46" t="n"/>
      <c r="D74" s="45" t="n"/>
      <c r="E74" s="47" t="n"/>
      <c r="F74" s="45" t="n"/>
      <c r="G74" s="50" t="n"/>
      <c r="H74" s="62">
        <f>IF($B74="","",IFERROR(INDEX(Proyectos!$B$2:$B$41,MATCH($B74,Proyectos!$A$2:$A$41,0)),"⚠ ID no encontrado"))</f>
        <v/>
      </c>
      <c r="I74" s="54">
        <f>IF($B74="","",IFERROR(INDEX(Proyectos!$C$2:$C$41,MATCH($B74,Proyectos!$A$2:$A$41,0)),"⚠ ID no encontrado"))</f>
        <v/>
      </c>
      <c r="J74" s="54">
        <f>IF($B74="","",IFERROR(INDEX(Proyectos!$D$2:$D$41,MATCH($B74,Proyectos!$A$2:$A$41,0)),"⚠ ID no encontrado"))</f>
        <v/>
      </c>
      <c r="K74" s="52">
        <f>IF($A74="","",IF(OR($F74="Completado",$F74="Cancelado"),"",IF($E74="","",$E74-TODAY())))</f>
        <v/>
      </c>
      <c r="L74" s="54">
        <f>IF($A74="","",IF(OR($F74="Completado",$F74="Cancelado"),"—",IF($K74="","",IF($K74&lt;0,"Vencido",IF($K74&lt;=7,"Esta semana",IF($K74&lt;=30,"Próximos 30 días","En plazo"))))))</f>
        <v/>
      </c>
    </row>
    <row r="75" ht="17" customHeight="1">
      <c r="A75" s="45" t="n"/>
      <c r="B75" s="45" t="n"/>
      <c r="C75" s="46" t="n"/>
      <c r="D75" s="45" t="n"/>
      <c r="E75" s="47" t="n"/>
      <c r="F75" s="45" t="n"/>
      <c r="G75" s="50" t="n"/>
      <c r="H75" s="62">
        <f>IF($B75="","",IFERROR(INDEX(Proyectos!$B$2:$B$41,MATCH($B75,Proyectos!$A$2:$A$41,0)),"⚠ ID no encontrado"))</f>
        <v/>
      </c>
      <c r="I75" s="54">
        <f>IF($B75="","",IFERROR(INDEX(Proyectos!$C$2:$C$41,MATCH($B75,Proyectos!$A$2:$A$41,0)),"⚠ ID no encontrado"))</f>
        <v/>
      </c>
      <c r="J75" s="54">
        <f>IF($B75="","",IFERROR(INDEX(Proyectos!$D$2:$D$41,MATCH($B75,Proyectos!$A$2:$A$41,0)),"⚠ ID no encontrado"))</f>
        <v/>
      </c>
      <c r="K75" s="52">
        <f>IF($A75="","",IF(OR($F75="Completado",$F75="Cancelado"),"",IF($E75="","",$E75-TODAY())))</f>
        <v/>
      </c>
      <c r="L75" s="54">
        <f>IF($A75="","",IF(OR($F75="Completado",$F75="Cancelado"),"—",IF($K75="","",IF($K75&lt;0,"Vencido",IF($K75&lt;=7,"Esta semana",IF($K75&lt;=30,"Próximos 30 días","En plazo"))))))</f>
        <v/>
      </c>
    </row>
    <row r="76" ht="17" customHeight="1">
      <c r="A76" s="45" t="n"/>
      <c r="B76" s="45" t="n"/>
      <c r="C76" s="46" t="n"/>
      <c r="D76" s="45" t="n"/>
      <c r="E76" s="47" t="n"/>
      <c r="F76" s="45" t="n"/>
      <c r="G76" s="50" t="n"/>
      <c r="H76" s="62">
        <f>IF($B76="","",IFERROR(INDEX(Proyectos!$B$2:$B$41,MATCH($B76,Proyectos!$A$2:$A$41,0)),"⚠ ID no encontrado"))</f>
        <v/>
      </c>
      <c r="I76" s="54">
        <f>IF($B76="","",IFERROR(INDEX(Proyectos!$C$2:$C$41,MATCH($B76,Proyectos!$A$2:$A$41,0)),"⚠ ID no encontrado"))</f>
        <v/>
      </c>
      <c r="J76" s="54">
        <f>IF($B76="","",IFERROR(INDEX(Proyectos!$D$2:$D$41,MATCH($B76,Proyectos!$A$2:$A$41,0)),"⚠ ID no encontrado"))</f>
        <v/>
      </c>
      <c r="K76" s="52">
        <f>IF($A76="","",IF(OR($F76="Completado",$F76="Cancelado"),"",IF($E76="","",$E76-TODAY())))</f>
        <v/>
      </c>
      <c r="L76" s="54">
        <f>IF($A76="","",IF(OR($F76="Completado",$F76="Cancelado"),"—",IF($K76="","",IF($K76&lt;0,"Vencido",IF($K76&lt;=7,"Esta semana",IF($K76&lt;=30,"Próximos 30 días","En plazo"))))))</f>
        <v/>
      </c>
    </row>
    <row r="77" ht="17" customHeight="1">
      <c r="A77" s="45" t="n"/>
      <c r="B77" s="45" t="n"/>
      <c r="C77" s="46" t="n"/>
      <c r="D77" s="45" t="n"/>
      <c r="E77" s="47" t="n"/>
      <c r="F77" s="45" t="n"/>
      <c r="G77" s="50" t="n"/>
      <c r="H77" s="62">
        <f>IF($B77="","",IFERROR(INDEX(Proyectos!$B$2:$B$41,MATCH($B77,Proyectos!$A$2:$A$41,0)),"⚠ ID no encontrado"))</f>
        <v/>
      </c>
      <c r="I77" s="54">
        <f>IF($B77="","",IFERROR(INDEX(Proyectos!$C$2:$C$41,MATCH($B77,Proyectos!$A$2:$A$41,0)),"⚠ ID no encontrado"))</f>
        <v/>
      </c>
      <c r="J77" s="54">
        <f>IF($B77="","",IFERROR(INDEX(Proyectos!$D$2:$D$41,MATCH($B77,Proyectos!$A$2:$A$41,0)),"⚠ ID no encontrado"))</f>
        <v/>
      </c>
      <c r="K77" s="52">
        <f>IF($A77="","",IF(OR($F77="Completado",$F77="Cancelado"),"",IF($E77="","",$E77-TODAY())))</f>
        <v/>
      </c>
      <c r="L77" s="54">
        <f>IF($A77="","",IF(OR($F77="Completado",$F77="Cancelado"),"—",IF($K77="","",IF($K77&lt;0,"Vencido",IF($K77&lt;=7,"Esta semana",IF($K77&lt;=30,"Próximos 30 días","En plazo"))))))</f>
        <v/>
      </c>
    </row>
    <row r="78" ht="17" customHeight="1">
      <c r="A78" s="45" t="n"/>
      <c r="B78" s="45" t="n"/>
      <c r="C78" s="46" t="n"/>
      <c r="D78" s="45" t="n"/>
      <c r="E78" s="47" t="n"/>
      <c r="F78" s="45" t="n"/>
      <c r="G78" s="50" t="n"/>
      <c r="H78" s="62">
        <f>IF($B78="","",IFERROR(INDEX(Proyectos!$B$2:$B$41,MATCH($B78,Proyectos!$A$2:$A$41,0)),"⚠ ID no encontrado"))</f>
        <v/>
      </c>
      <c r="I78" s="54">
        <f>IF($B78="","",IFERROR(INDEX(Proyectos!$C$2:$C$41,MATCH($B78,Proyectos!$A$2:$A$41,0)),"⚠ ID no encontrado"))</f>
        <v/>
      </c>
      <c r="J78" s="54">
        <f>IF($B78="","",IFERROR(INDEX(Proyectos!$D$2:$D$41,MATCH($B78,Proyectos!$A$2:$A$41,0)),"⚠ ID no encontrado"))</f>
        <v/>
      </c>
      <c r="K78" s="52">
        <f>IF($A78="","",IF(OR($F78="Completado",$F78="Cancelado"),"",IF($E78="","",$E78-TODAY())))</f>
        <v/>
      </c>
      <c r="L78" s="54">
        <f>IF($A78="","",IF(OR($F78="Completado",$F78="Cancelado"),"—",IF($K78="","",IF($K78&lt;0,"Vencido",IF($K78&lt;=7,"Esta semana",IF($K78&lt;=30,"Próximos 30 días","En plazo"))))))</f>
        <v/>
      </c>
    </row>
    <row r="79" ht="17" customHeight="1">
      <c r="A79" s="45" t="n"/>
      <c r="B79" s="45" t="n"/>
      <c r="C79" s="46" t="n"/>
      <c r="D79" s="45" t="n"/>
      <c r="E79" s="47" t="n"/>
      <c r="F79" s="45" t="n"/>
      <c r="G79" s="50" t="n"/>
      <c r="H79" s="62">
        <f>IF($B79="","",IFERROR(INDEX(Proyectos!$B$2:$B$41,MATCH($B79,Proyectos!$A$2:$A$41,0)),"⚠ ID no encontrado"))</f>
        <v/>
      </c>
      <c r="I79" s="54">
        <f>IF($B79="","",IFERROR(INDEX(Proyectos!$C$2:$C$41,MATCH($B79,Proyectos!$A$2:$A$41,0)),"⚠ ID no encontrado"))</f>
        <v/>
      </c>
      <c r="J79" s="54">
        <f>IF($B79="","",IFERROR(INDEX(Proyectos!$D$2:$D$41,MATCH($B79,Proyectos!$A$2:$A$41,0)),"⚠ ID no encontrado"))</f>
        <v/>
      </c>
      <c r="K79" s="52">
        <f>IF($A79="","",IF(OR($F79="Completado",$F79="Cancelado"),"",IF($E79="","",$E79-TODAY())))</f>
        <v/>
      </c>
      <c r="L79" s="54">
        <f>IF($A79="","",IF(OR($F79="Completado",$F79="Cancelado"),"—",IF($K79="","",IF($K79&lt;0,"Vencido",IF($K79&lt;=7,"Esta semana",IF($K79&lt;=30,"Próximos 30 días","En plazo"))))))</f>
        <v/>
      </c>
    </row>
    <row r="80" ht="17" customHeight="1">
      <c r="A80" s="45" t="n"/>
      <c r="B80" s="45" t="n"/>
      <c r="C80" s="46" t="n"/>
      <c r="D80" s="45" t="n"/>
      <c r="E80" s="47" t="n"/>
      <c r="F80" s="45" t="n"/>
      <c r="G80" s="50" t="n"/>
      <c r="H80" s="62">
        <f>IF($B80="","",IFERROR(INDEX(Proyectos!$B$2:$B$41,MATCH($B80,Proyectos!$A$2:$A$41,0)),"⚠ ID no encontrado"))</f>
        <v/>
      </c>
      <c r="I80" s="54">
        <f>IF($B80="","",IFERROR(INDEX(Proyectos!$C$2:$C$41,MATCH($B80,Proyectos!$A$2:$A$41,0)),"⚠ ID no encontrado"))</f>
        <v/>
      </c>
      <c r="J80" s="54">
        <f>IF($B80="","",IFERROR(INDEX(Proyectos!$D$2:$D$41,MATCH($B80,Proyectos!$A$2:$A$41,0)),"⚠ ID no encontrado"))</f>
        <v/>
      </c>
      <c r="K80" s="52">
        <f>IF($A80="","",IF(OR($F80="Completado",$F80="Cancelado"),"",IF($E80="","",$E80-TODAY())))</f>
        <v/>
      </c>
      <c r="L80" s="54">
        <f>IF($A80="","",IF(OR($F80="Completado",$F80="Cancelado"),"—",IF($K80="","",IF($K80&lt;0,"Vencido",IF($K80&lt;=7,"Esta semana",IF($K80&lt;=30,"Próximos 30 días","En plazo"))))))</f>
        <v/>
      </c>
    </row>
    <row r="81" ht="17" customHeight="1">
      <c r="A81" s="45" t="n"/>
      <c r="B81" s="45" t="n"/>
      <c r="C81" s="46" t="n"/>
      <c r="D81" s="45" t="n"/>
      <c r="E81" s="47" t="n"/>
      <c r="F81" s="45" t="n"/>
      <c r="G81" s="50" t="n"/>
      <c r="H81" s="62">
        <f>IF($B81="","",IFERROR(INDEX(Proyectos!$B$2:$B$41,MATCH($B81,Proyectos!$A$2:$A$41,0)),"⚠ ID no encontrado"))</f>
        <v/>
      </c>
      <c r="I81" s="54">
        <f>IF($B81="","",IFERROR(INDEX(Proyectos!$C$2:$C$41,MATCH($B81,Proyectos!$A$2:$A$41,0)),"⚠ ID no encontrado"))</f>
        <v/>
      </c>
      <c r="J81" s="54">
        <f>IF($B81="","",IFERROR(INDEX(Proyectos!$D$2:$D$41,MATCH($B81,Proyectos!$A$2:$A$41,0)),"⚠ ID no encontrado"))</f>
        <v/>
      </c>
      <c r="K81" s="52">
        <f>IF($A81="","",IF(OR($F81="Completado",$F81="Cancelado"),"",IF($E81="","",$E81-TODAY())))</f>
        <v/>
      </c>
      <c r="L81" s="54">
        <f>IF($A81="","",IF(OR($F81="Completado",$F81="Cancelado"),"—",IF($K81="","",IF($K81&lt;0,"Vencido",IF($K81&lt;=7,"Esta semana",IF($K81&lt;=30,"Próximos 30 días","En plazo"))))))</f>
        <v/>
      </c>
    </row>
  </sheetData>
  <autoFilter ref="A1:L81"/>
  <conditionalFormatting sqref="F2:F81">
    <cfRule type="cellIs" priority="1" operator="equal" dxfId="0">
      <formula>"Pendiente"</formula>
    </cfRule>
    <cfRule type="cellIs" priority="2" operator="equal" dxfId="1">
      <formula>"En curso"</formula>
    </cfRule>
    <cfRule type="cellIs" priority="3" operator="equal" dxfId="4">
      <formula>"Completado"</formula>
    </cfRule>
    <cfRule type="cellIs" priority="4" operator="equal" dxfId="3">
      <formula>"Retrasado"</formula>
    </cfRule>
    <cfRule type="cellIs" priority="5" operator="equal" dxfId="0">
      <formula>"Cancelado"</formula>
    </cfRule>
  </conditionalFormatting>
  <conditionalFormatting sqref="L2:L81">
    <cfRule type="cellIs" priority="6" operator="equal" dxfId="3">
      <formula>"Vencido"</formula>
    </cfRule>
    <cfRule type="cellIs" priority="7" operator="equal" dxfId="2">
      <formula>"Esta semana"</formula>
    </cfRule>
    <cfRule type="cellIs" priority="8" operator="equal" dxfId="1">
      <formula>"Próximos 30 días"</formula>
    </cfRule>
    <cfRule type="cellIs" priority="9" operator="equal" dxfId="4">
      <formula>"En plazo"</formula>
    </cfRule>
  </conditionalFormatting>
  <dataValidations count="3">
    <dataValidation sqref="B2:B81" showDropDown="0" showInputMessage="0" showErrorMessage="0" allowBlank="1" errorTitle="Valor no previsto" error="Valor fuera de la lista. Si necesitas uno nuevo, añádelo en taxonomia.yaml y regenera." type="list" errorStyle="warning">
      <formula1>=Proyectos!$A$2:$A$41</formula1>
    </dataValidation>
    <dataValidation sqref="D2:D81" showDropDown="0" showInputMessage="0" showErrorMessage="0" allowBlank="1" errorTitle="Valor no previsto" error="Valor fuera de la lista. Si necesitas uno nuevo, añádelo en taxonomia.yaml y regenera." type="list" errorStyle="warning">
      <formula1>=Config!$M$2:$M$3</formula1>
    </dataValidation>
    <dataValidation sqref="F2:F81" showDropDown="0" showInputMessage="0" showErrorMessage="0" allowBlank="1" errorTitle="Valor no previsto" error="Valor fuera de la lista. Si necesitas uno nuevo, añádelo en taxonomia.yaml y regenera." type="list" errorStyle="warning">
      <formula1>=Config!$F$2:$F$6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DCDCE6"/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30" customHeight="1">
      <c r="A1" s="63" t="inlineStr">
        <is>
          <t>Estado proyecto</t>
        </is>
      </c>
      <c r="B1" s="63" t="inlineStr">
        <is>
          <t>Fase</t>
        </is>
      </c>
      <c r="C1" s="63" t="inlineStr">
        <is>
          <t>Prioridad</t>
        </is>
      </c>
      <c r="D1" s="63" t="inlineStr">
        <is>
          <t>Tipo</t>
        </is>
      </c>
      <c r="E1" s="63" t="inlineStr">
        <is>
          <t>Riesgo</t>
        </is>
      </c>
      <c r="F1" s="63" t="inlineStr">
        <is>
          <t>Estado hito</t>
        </is>
      </c>
      <c r="G1" s="63" t="inlineStr">
        <is>
          <t>Unidad KPI</t>
        </is>
      </c>
      <c r="H1" s="63" t="inlineStr">
        <is>
          <t>Dirección KPI</t>
        </is>
      </c>
      <c r="I1" s="63" t="inlineStr">
        <is>
          <t>Frecuencia KPI</t>
        </is>
      </c>
      <c r="J1" s="63" t="inlineStr">
        <is>
          <t>Fuente dato</t>
        </is>
      </c>
      <c r="K1" s="63" t="inlineStr">
        <is>
          <t>Departamento</t>
        </is>
      </c>
      <c r="L1" s="63" t="inlineStr">
        <is>
          <t>Subárea</t>
        </is>
      </c>
      <c r="M1" s="63" t="inlineStr">
        <is>
          <t>Owner</t>
        </is>
      </c>
      <c r="N1" s="63" t="inlineStr">
        <is>
          <t>Estado activo</t>
        </is>
      </c>
      <c r="O1" s="63" t="inlineStr">
        <is>
          <t>Filtro departamento</t>
        </is>
      </c>
      <c r="P1" s="63" t="inlineStr">
        <is>
          <t>Filtro subárea</t>
        </is>
      </c>
      <c r="Q1" s="63" t="inlineStr">
        <is>
          <t>Filtro estado</t>
        </is>
      </c>
    </row>
    <row r="2">
      <c r="A2" s="64" t="inlineStr">
        <is>
          <t>Backlog</t>
        </is>
      </c>
      <c r="B2" s="64" t="inlineStr">
        <is>
          <t>Discovery</t>
        </is>
      </c>
      <c r="C2" s="64" t="inlineStr">
        <is>
          <t>P0</t>
        </is>
      </c>
      <c r="D2" s="64" t="inlineStr">
        <is>
          <t>Adquisición</t>
        </is>
      </c>
      <c r="E2" s="64" t="inlineStr">
        <is>
          <t>Bajo</t>
        </is>
      </c>
      <c r="F2" s="64" t="inlineStr">
        <is>
          <t>Pendiente</t>
        </is>
      </c>
      <c r="G2" s="64" t="inlineStr">
        <is>
          <t>EUR</t>
        </is>
      </c>
      <c r="H2" s="64" t="inlineStr">
        <is>
          <t>Subir</t>
        </is>
      </c>
      <c r="I2" s="64" t="inlineStr">
        <is>
          <t>Diaria</t>
        </is>
      </c>
      <c r="J2" s="64" t="inlineStr">
        <is>
          <t>HubSpot</t>
        </is>
      </c>
      <c r="K2" s="64" t="inlineStr">
        <is>
          <t>Growth</t>
        </is>
      </c>
      <c r="L2" s="64" t="inlineStr">
        <is>
          <t>Paid Media</t>
        </is>
      </c>
      <c r="M2" s="64" t="inlineStr">
        <is>
          <t>Pablo Rodríguez</t>
        </is>
      </c>
      <c r="N2" s="64" t="inlineStr">
        <is>
          <t>En curso</t>
        </is>
      </c>
      <c r="O2" s="64" t="inlineStr">
        <is>
          <t>(Todos)</t>
        </is>
      </c>
      <c r="P2" s="64" t="inlineStr">
        <is>
          <t>(Todas)</t>
        </is>
      </c>
      <c r="Q2" s="64" t="inlineStr">
        <is>
          <t>(Todos)</t>
        </is>
      </c>
    </row>
    <row r="3">
      <c r="A3" s="64" t="inlineStr">
        <is>
          <t>En curso</t>
        </is>
      </c>
      <c r="B3" s="64" t="inlineStr">
        <is>
          <t>Diseño</t>
        </is>
      </c>
      <c r="C3" s="64" t="inlineStr">
        <is>
          <t>P1</t>
        </is>
      </c>
      <c r="D3" s="64" t="inlineStr">
        <is>
          <t>Conversión</t>
        </is>
      </c>
      <c r="E3" s="64" t="inlineStr">
        <is>
          <t>Medio</t>
        </is>
      </c>
      <c r="F3" s="64" t="inlineStr">
        <is>
          <t>En curso</t>
        </is>
      </c>
      <c r="G3" s="64" t="inlineStr">
        <is>
          <t>%</t>
        </is>
      </c>
      <c r="H3" s="64" t="inlineStr">
        <is>
          <t>Bajar</t>
        </is>
      </c>
      <c r="I3" s="64" t="inlineStr">
        <is>
          <t>Semanal</t>
        </is>
      </c>
      <c r="J3" s="64" t="inlineStr">
        <is>
          <t>GA4</t>
        </is>
      </c>
      <c r="L3" s="64" t="inlineStr">
        <is>
          <t>SEO &amp; Contenido</t>
        </is>
      </c>
      <c r="M3" s="64" t="inlineStr">
        <is>
          <t>Por asignar</t>
        </is>
      </c>
      <c r="N3" s="64" t="inlineStr">
        <is>
          <t>En riesgo</t>
        </is>
      </c>
      <c r="O3" s="64" t="inlineStr">
        <is>
          <t>Growth</t>
        </is>
      </c>
      <c r="P3" s="64" t="inlineStr">
        <is>
          <t>Paid Media</t>
        </is>
      </c>
      <c r="Q3" s="64" t="inlineStr">
        <is>
          <t>Backlog</t>
        </is>
      </c>
    </row>
    <row r="4">
      <c r="A4" s="64" t="inlineStr">
        <is>
          <t>En riesgo</t>
        </is>
      </c>
      <c r="B4" s="64" t="inlineStr">
        <is>
          <t>Ejecución</t>
        </is>
      </c>
      <c r="C4" s="64" t="inlineStr">
        <is>
          <t>P2</t>
        </is>
      </c>
      <c r="D4" s="64" t="inlineStr">
        <is>
          <t>Retención</t>
        </is>
      </c>
      <c r="E4" s="64" t="inlineStr">
        <is>
          <t>Alto</t>
        </is>
      </c>
      <c r="F4" s="64" t="inlineStr">
        <is>
          <t>Completado</t>
        </is>
      </c>
      <c r="G4" s="64" t="inlineStr">
        <is>
          <t>nº</t>
        </is>
      </c>
      <c r="I4" s="64" t="inlineStr">
        <is>
          <t>Mensual</t>
        </is>
      </c>
      <c r="J4" s="64" t="inlineStr">
        <is>
          <t>Meta Ads</t>
        </is>
      </c>
      <c r="L4" s="64" t="inlineStr">
        <is>
          <t>CRO &amp; Web</t>
        </is>
      </c>
      <c r="N4" s="64" t="inlineStr">
        <is>
          <t>Bloqueado</t>
        </is>
      </c>
      <c r="P4" s="64" t="inlineStr">
        <is>
          <t>SEO &amp; Contenido</t>
        </is>
      </c>
      <c r="Q4" s="64" t="inlineStr">
        <is>
          <t>En curso</t>
        </is>
      </c>
    </row>
    <row r="5">
      <c r="A5" s="64" t="inlineStr">
        <is>
          <t>Bloqueado</t>
        </is>
      </c>
      <c r="B5" s="64" t="inlineStr">
        <is>
          <t>Medición</t>
        </is>
      </c>
      <c r="D5" s="64" t="inlineStr">
        <is>
          <t>Marca</t>
        </is>
      </c>
      <c r="F5" s="64" t="inlineStr">
        <is>
          <t>Retrasado</t>
        </is>
      </c>
      <c r="G5" s="64" t="inlineStr">
        <is>
          <t>ratio</t>
        </is>
      </c>
      <c r="I5" s="64" t="inlineStr">
        <is>
          <t>Trimestral</t>
        </is>
      </c>
      <c r="J5" s="64" t="inlineStr">
        <is>
          <t>Google Ads</t>
        </is>
      </c>
      <c r="L5" s="64" t="inlineStr">
        <is>
          <t>Lifecycle &amp; CRM</t>
        </is>
      </c>
      <c r="P5" s="64" t="inlineStr">
        <is>
          <t>CRO &amp; Web</t>
        </is>
      </c>
      <c r="Q5" s="64" t="inlineStr">
        <is>
          <t>En riesgo</t>
        </is>
      </c>
    </row>
    <row r="6">
      <c r="A6" s="64" t="inlineStr">
        <is>
          <t>Completado</t>
        </is>
      </c>
      <c r="B6" s="64" t="inlineStr">
        <is>
          <t>Cerrado</t>
        </is>
      </c>
      <c r="D6" s="64" t="inlineStr">
        <is>
          <t>Producto</t>
        </is>
      </c>
      <c r="F6" s="64" t="inlineStr">
        <is>
          <t>Cancelado</t>
        </is>
      </c>
      <c r="G6" s="64" t="inlineStr">
        <is>
          <t>días</t>
        </is>
      </c>
      <c r="J6" s="64" t="inlineStr">
        <is>
          <t>LinkedIn Ads</t>
        </is>
      </c>
      <c r="L6" s="64" t="inlineStr">
        <is>
          <t>Partnerships &amp; Afiliación</t>
        </is>
      </c>
      <c r="P6" s="64" t="inlineStr">
        <is>
          <t>Lifecycle &amp; CRM</t>
        </is>
      </c>
      <c r="Q6" s="64" t="inlineStr">
        <is>
          <t>Bloqueado</t>
        </is>
      </c>
    </row>
    <row r="7">
      <c r="A7" s="64" t="inlineStr">
        <is>
          <t>Cancelado</t>
        </is>
      </c>
      <c r="D7" s="64" t="inlineStr">
        <is>
          <t>Proceso interno</t>
        </is>
      </c>
      <c r="J7" s="64" t="inlineStr">
        <is>
          <t>Search Console</t>
        </is>
      </c>
      <c r="L7" s="64" t="inlineStr">
        <is>
          <t>Brand &amp; Social</t>
        </is>
      </c>
      <c r="P7" s="64" t="inlineStr">
        <is>
          <t>Partnerships &amp; Afiliación</t>
        </is>
      </c>
      <c r="Q7" s="64" t="inlineStr">
        <is>
          <t>Completado</t>
        </is>
      </c>
    </row>
    <row r="8">
      <c r="D8" s="64" t="inlineStr">
        <is>
          <t>Experimento</t>
        </is>
      </c>
      <c r="J8" s="64" t="inlineStr">
        <is>
          <t>Make</t>
        </is>
      </c>
      <c r="L8" s="64" t="inlineStr">
        <is>
          <t>Data &amp; Analytics</t>
        </is>
      </c>
      <c r="P8" s="64" t="inlineStr">
        <is>
          <t>Brand &amp; Social</t>
        </is>
      </c>
      <c r="Q8" s="64" t="inlineStr">
        <is>
          <t>Cancelado</t>
        </is>
      </c>
    </row>
    <row r="9">
      <c r="J9" s="64" t="inlineStr">
        <is>
          <t>ClickUp</t>
        </is>
      </c>
      <c r="P9" s="64" t="inlineStr">
        <is>
          <t>Data &amp; Analytics</t>
        </is>
      </c>
    </row>
    <row r="10">
      <c r="J10" s="6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Growth OS — growth-os/build_excel.py</dc:creator>
  <dc:title>Founderz Growth OS</dc:title>
  <dc:description>Generado desde growth-os/data/*.yaml. No editar las columnas calculadas: se regeneran.</dc:description>
  <dcterms:created xsi:type="dcterms:W3CDTF">2026-09-09T15:41:12Z</dcterms:created>
  <dcterms:modified xsi:type="dcterms:W3CDTF">2026-09-09T15:41:13Z</dcterms:modified>
</cp:coreProperties>
</file>